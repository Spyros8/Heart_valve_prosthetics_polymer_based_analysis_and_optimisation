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3.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charts/chart80.xml" ContentType="application/vnd.openxmlformats-officedocument.drawingml.chart+xml"/>
  <Override PartName="/xl/charts/style80.xml" ContentType="application/vnd.ms-office.chartstyle+xml"/>
  <Override PartName="/xl/charts/colors80.xml" ContentType="application/vnd.ms-office.chartcolorstyle+xml"/>
  <Override PartName="/xl/charts/chart81.xml" ContentType="application/vnd.openxmlformats-officedocument.drawingml.chart+xml"/>
  <Override PartName="/xl/charts/style81.xml" ContentType="application/vnd.ms-office.chartstyle+xml"/>
  <Override PartName="/xl/charts/colors81.xml" ContentType="application/vnd.ms-office.chartcolorstyle+xml"/>
  <Override PartName="/xl/charts/chart82.xml" ContentType="application/vnd.openxmlformats-officedocument.drawingml.chart+xml"/>
  <Override PartName="/xl/charts/style82.xml" ContentType="application/vnd.ms-office.chartstyle+xml"/>
  <Override PartName="/xl/charts/colors82.xml" ContentType="application/vnd.ms-office.chartcolorstyle+xml"/>
  <Override PartName="/xl/charts/chart83.xml" ContentType="application/vnd.openxmlformats-officedocument.drawingml.chart+xml"/>
  <Override PartName="/xl/charts/style83.xml" ContentType="application/vnd.ms-office.chartstyle+xml"/>
  <Override PartName="/xl/charts/colors83.xml" ContentType="application/vnd.ms-office.chartcolorstyle+xml"/>
  <Override PartName="/xl/charts/chart84.xml" ContentType="application/vnd.openxmlformats-officedocument.drawingml.chart+xml"/>
  <Override PartName="/xl/charts/style84.xml" ContentType="application/vnd.ms-office.chartstyle+xml"/>
  <Override PartName="/xl/charts/colors84.xml" ContentType="application/vnd.ms-office.chartcolorstyle+xml"/>
  <Override PartName="/xl/charts/chart85.xml" ContentType="application/vnd.openxmlformats-officedocument.drawingml.chart+xml"/>
  <Override PartName="/xl/charts/style85.xml" ContentType="application/vnd.ms-office.chartstyle+xml"/>
  <Override PartName="/xl/charts/colors85.xml" ContentType="application/vnd.ms-office.chartcolorstyle+xml"/>
  <Override PartName="/xl/charts/chart86.xml" ContentType="application/vnd.openxmlformats-officedocument.drawingml.chart+xml"/>
  <Override PartName="/xl/charts/style86.xml" ContentType="application/vnd.ms-office.chartstyle+xml"/>
  <Override PartName="/xl/charts/colors86.xml" ContentType="application/vnd.ms-office.chartcolorstyle+xml"/>
  <Override PartName="/xl/charts/chart87.xml" ContentType="application/vnd.openxmlformats-officedocument.drawingml.chart+xml"/>
  <Override PartName="/xl/charts/style87.xml" ContentType="application/vnd.ms-office.chartstyle+xml"/>
  <Override PartName="/xl/charts/colors87.xml" ContentType="application/vnd.ms-office.chartcolorstyle+xml"/>
  <Override PartName="/xl/charts/chart88.xml" ContentType="application/vnd.openxmlformats-officedocument.drawingml.chart+xml"/>
  <Override PartName="/xl/charts/style88.xml" ContentType="application/vnd.ms-office.chartstyle+xml"/>
  <Override PartName="/xl/charts/colors88.xml" ContentType="application/vnd.ms-office.chartcolorstyle+xml"/>
  <Override PartName="/xl/charts/chart89.xml" ContentType="application/vnd.openxmlformats-officedocument.drawingml.chart+xml"/>
  <Override PartName="/xl/charts/style89.xml" ContentType="application/vnd.ms-office.chartstyle+xml"/>
  <Override PartName="/xl/charts/colors89.xml" ContentType="application/vnd.ms-office.chartcolorstyle+xml"/>
  <Override PartName="/xl/charts/chart90.xml" ContentType="application/vnd.openxmlformats-officedocument.drawingml.chart+xml"/>
  <Override PartName="/xl/charts/style90.xml" ContentType="application/vnd.ms-office.chartstyle+xml"/>
  <Override PartName="/xl/charts/colors90.xml" ContentType="application/vnd.ms-office.chartcolorstyle+xml"/>
  <Override PartName="/xl/charts/chart91.xml" ContentType="application/vnd.openxmlformats-officedocument.drawingml.chart+xml"/>
  <Override PartName="/xl/charts/style91.xml" ContentType="application/vnd.ms-office.chartstyle+xml"/>
  <Override PartName="/xl/charts/colors91.xml" ContentType="application/vnd.ms-office.chartcolorstyle+xml"/>
  <Override PartName="/xl/charts/chart92.xml" ContentType="application/vnd.openxmlformats-officedocument.drawingml.chart+xml"/>
  <Override PartName="/xl/charts/style92.xml" ContentType="application/vnd.ms-office.chartstyle+xml"/>
  <Override PartName="/xl/charts/colors9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pyros\Desktop\DAWN DATA\files\"/>
    </mc:Choice>
  </mc:AlternateContent>
  <xr:revisionPtr revIDLastSave="0" documentId="13_ncr:1_{484BC708-D558-4AD2-8E5E-3450BFAF91F4}" xr6:coauthVersionLast="46" xr6:coauthVersionMax="46" xr10:uidLastSave="{00000000-0000-0000-0000-000000000000}"/>
  <bookViews>
    <workbookView xWindow="-120" yWindow="-120" windowWidth="29040" windowHeight="15840" activeTab="5" xr2:uid="{CA253134-21FC-406A-8311-117D04202720}"/>
  </bookViews>
  <sheets>
    <sheet name="estimates new" sheetId="2" r:id="rId1"/>
    <sheet name="Sheet2" sheetId="6" r:id="rId2"/>
    <sheet name="Sheet1" sheetId="5" r:id="rId3"/>
    <sheet name="NEW MODELLING FOR SHEAR RATES" sheetId="8" r:id="rId4"/>
    <sheet name="Plots for injection pts" sheetId="9" r:id="rId5"/>
    <sheet name="shear rates" sheetId="10" r:id="rId6"/>
  </sheets>
  <definedNames>
    <definedName name="solver_adj" localSheetId="3" hidden="1">'NEW MODELLING FOR SHEAR RATES'!$L$491</definedName>
    <definedName name="solver_adj" localSheetId="5" hidden="1">'shear rates'!$A$193</definedName>
    <definedName name="solver_cvg" localSheetId="3" hidden="1">0.0001</definedName>
    <definedName name="solver_cvg" localSheetId="5" hidden="1">0.0001</definedName>
    <definedName name="solver_drv" localSheetId="3" hidden="1">1</definedName>
    <definedName name="solver_drv" localSheetId="5" hidden="1">1</definedName>
    <definedName name="solver_eng" localSheetId="3" hidden="1">1</definedName>
    <definedName name="solver_eng" localSheetId="5" hidden="1">1</definedName>
    <definedName name="solver_est" localSheetId="3" hidden="1">1</definedName>
    <definedName name="solver_est" localSheetId="5" hidden="1">1</definedName>
    <definedName name="solver_itr" localSheetId="3" hidden="1">2147483647</definedName>
    <definedName name="solver_itr" localSheetId="5" hidden="1">2147483647</definedName>
    <definedName name="solver_mip" localSheetId="3" hidden="1">2147483647</definedName>
    <definedName name="solver_mip" localSheetId="5" hidden="1">2147483647</definedName>
    <definedName name="solver_mni" localSheetId="3" hidden="1">30</definedName>
    <definedName name="solver_mni" localSheetId="5" hidden="1">30</definedName>
    <definedName name="solver_mrt" localSheetId="3" hidden="1">0.075</definedName>
    <definedName name="solver_mrt" localSheetId="5" hidden="1">0.075</definedName>
    <definedName name="solver_msl" localSheetId="3" hidden="1">2</definedName>
    <definedName name="solver_msl" localSheetId="5" hidden="1">2</definedName>
    <definedName name="solver_neg" localSheetId="3" hidden="1">1</definedName>
    <definedName name="solver_neg" localSheetId="5" hidden="1">1</definedName>
    <definedName name="solver_nod" localSheetId="3" hidden="1">2147483647</definedName>
    <definedName name="solver_nod" localSheetId="5" hidden="1">2147483647</definedName>
    <definedName name="solver_num" localSheetId="3" hidden="1">0</definedName>
    <definedName name="solver_num" localSheetId="5" hidden="1">0</definedName>
    <definedName name="solver_nwt" localSheetId="3" hidden="1">1</definedName>
    <definedName name="solver_nwt" localSheetId="5" hidden="1">1</definedName>
    <definedName name="solver_opt" localSheetId="3" hidden="1">'NEW MODELLING FOR SHEAR RATES'!$M$491</definedName>
    <definedName name="solver_opt" localSheetId="5" hidden="1">'shear rates'!$AE$194</definedName>
    <definedName name="solver_pre" localSheetId="3" hidden="1">0.000001</definedName>
    <definedName name="solver_pre" localSheetId="5" hidden="1">0.000001</definedName>
    <definedName name="solver_rbv" localSheetId="3" hidden="1">1</definedName>
    <definedName name="solver_rbv" localSheetId="5" hidden="1">1</definedName>
    <definedName name="solver_rlx" localSheetId="3" hidden="1">2</definedName>
    <definedName name="solver_rlx" localSheetId="5" hidden="1">2</definedName>
    <definedName name="solver_rsd" localSheetId="3" hidden="1">0</definedName>
    <definedName name="solver_rsd" localSheetId="5" hidden="1">0</definedName>
    <definedName name="solver_scl" localSheetId="3" hidden="1">1</definedName>
    <definedName name="solver_scl" localSheetId="5" hidden="1">1</definedName>
    <definedName name="solver_sho" localSheetId="3" hidden="1">2</definedName>
    <definedName name="solver_sho" localSheetId="5" hidden="1">2</definedName>
    <definedName name="solver_ssz" localSheetId="3" hidden="1">100</definedName>
    <definedName name="solver_ssz" localSheetId="5" hidden="1">100</definedName>
    <definedName name="solver_tim" localSheetId="3" hidden="1">2147483647</definedName>
    <definedName name="solver_tim" localSheetId="5" hidden="1">2147483647</definedName>
    <definedName name="solver_tol" localSheetId="3" hidden="1">0.01</definedName>
    <definedName name="solver_tol" localSheetId="5" hidden="1">0.01</definedName>
    <definedName name="solver_typ" localSheetId="3" hidden="1">3</definedName>
    <definedName name="solver_typ" localSheetId="5" hidden="1">2</definedName>
    <definedName name="solver_val" localSheetId="3" hidden="1">0</definedName>
    <definedName name="solver_val" localSheetId="5" hidden="1">0</definedName>
    <definedName name="solver_ver" localSheetId="3" hidden="1">3</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J147" i="10" l="1"/>
  <c r="LO147" i="10" s="1"/>
  <c r="X14" i="10"/>
  <c r="CO287" i="10"/>
  <c r="CP287" i="10"/>
  <c r="CQ287" i="10"/>
  <c r="CR287" i="10"/>
  <c r="CS287" i="10"/>
  <c r="CT287" i="10"/>
  <c r="CU287" i="10"/>
  <c r="CV287" i="10"/>
  <c r="CW287" i="10"/>
  <c r="CX287" i="10"/>
  <c r="CY287" i="10"/>
  <c r="CZ287" i="10"/>
  <c r="DA287" i="10"/>
  <c r="DB287" i="10"/>
  <c r="DC287" i="10"/>
  <c r="DD287" i="10"/>
  <c r="DE287" i="10"/>
  <c r="DF287" i="10"/>
  <c r="DG287" i="10"/>
  <c r="DH287" i="10"/>
  <c r="DI287" i="10"/>
  <c r="DJ287" i="10"/>
  <c r="DK287" i="10"/>
  <c r="DL287" i="10"/>
  <c r="DM287" i="10"/>
  <c r="DN287" i="10"/>
  <c r="DO287" i="10"/>
  <c r="DP287" i="10"/>
  <c r="DQ287" i="10"/>
  <c r="DR287" i="10"/>
  <c r="DS287" i="10"/>
  <c r="DT287" i="10"/>
  <c r="DU287" i="10"/>
  <c r="DV287" i="10"/>
  <c r="DW287" i="10"/>
  <c r="DX287" i="10"/>
  <c r="DY287" i="10"/>
  <c r="DZ287" i="10"/>
  <c r="EA287" i="10"/>
  <c r="EB287" i="10"/>
  <c r="EC287" i="10"/>
  <c r="ED287" i="10"/>
  <c r="EE287" i="10"/>
  <c r="EF287" i="10"/>
  <c r="EG287" i="10"/>
  <c r="EH287" i="10"/>
  <c r="EI287" i="10"/>
  <c r="EJ287" i="10"/>
  <c r="EK287" i="10"/>
  <c r="EL287" i="10"/>
  <c r="EM287" i="10"/>
  <c r="EN287" i="10"/>
  <c r="EO287" i="10"/>
  <c r="EP287" i="10"/>
  <c r="EQ287" i="10"/>
  <c r="ER287" i="10"/>
  <c r="ES287" i="10"/>
  <c r="ET287" i="10"/>
  <c r="EU287" i="10"/>
  <c r="EV287" i="10"/>
  <c r="EW287" i="10"/>
  <c r="EX287" i="10"/>
  <c r="EY287" i="10"/>
  <c r="EZ287" i="10"/>
  <c r="FA287" i="10"/>
  <c r="FB287" i="10"/>
  <c r="FC287" i="10"/>
  <c r="FD287" i="10"/>
  <c r="FE287" i="10"/>
  <c r="FF287" i="10"/>
  <c r="FG287" i="10"/>
  <c r="FH287" i="10"/>
  <c r="FI287" i="10"/>
  <c r="FJ287" i="10"/>
  <c r="FK287" i="10"/>
  <c r="FL287" i="10"/>
  <c r="FM287" i="10"/>
  <c r="FN287" i="10"/>
  <c r="FO287" i="10"/>
  <c r="FP287" i="10"/>
  <c r="FQ287" i="10"/>
  <c r="FR287" i="10"/>
  <c r="FS287" i="10"/>
  <c r="FT287" i="10"/>
  <c r="FU287" i="10"/>
  <c r="FV287" i="10"/>
  <c r="FW287" i="10"/>
  <c r="FX287" i="10"/>
  <c r="FY287" i="10"/>
  <c r="FZ287" i="10"/>
  <c r="GA287" i="10"/>
  <c r="GB287" i="10"/>
  <c r="GC287" i="10"/>
  <c r="GD287" i="10"/>
  <c r="GE287" i="10"/>
  <c r="GF287" i="10"/>
  <c r="GG287" i="10"/>
  <c r="GH287" i="10"/>
  <c r="GI287" i="10"/>
  <c r="GJ287" i="10"/>
  <c r="GK287" i="10"/>
  <c r="GL287" i="10"/>
  <c r="GM287" i="10"/>
  <c r="GN287" i="10"/>
  <c r="GO287" i="10"/>
  <c r="GP287" i="10"/>
  <c r="GQ287" i="10"/>
  <c r="GR287" i="10"/>
  <c r="GS287" i="10"/>
  <c r="GT287" i="10"/>
  <c r="GU287" i="10"/>
  <c r="GV287" i="10"/>
  <c r="GW287" i="10"/>
  <c r="GX287" i="10"/>
  <c r="GY287" i="10"/>
  <c r="GZ287" i="10"/>
  <c r="HA287" i="10"/>
  <c r="HB287" i="10"/>
  <c r="HC287" i="10"/>
  <c r="HD287" i="10"/>
  <c r="HE287" i="10"/>
  <c r="HF287" i="10"/>
  <c r="HG287" i="10"/>
  <c r="HH287" i="10"/>
  <c r="HI287" i="10"/>
  <c r="HJ287" i="10"/>
  <c r="HK287" i="10"/>
  <c r="HL287" i="10"/>
  <c r="HM287" i="10"/>
  <c r="HN287" i="10"/>
  <c r="HO287" i="10"/>
  <c r="HP287" i="10"/>
  <c r="HQ287" i="10"/>
  <c r="HR287" i="10"/>
  <c r="HS287" i="10"/>
  <c r="HT287" i="10"/>
  <c r="HU287" i="10"/>
  <c r="HV287" i="10"/>
  <c r="HW287" i="10"/>
  <c r="HX287" i="10"/>
  <c r="HY287" i="10"/>
  <c r="HZ287" i="10"/>
  <c r="IA287" i="10"/>
  <c r="IB287" i="10"/>
  <c r="IC287" i="10"/>
  <c r="ID287" i="10"/>
  <c r="IE287" i="10"/>
  <c r="IF287" i="10"/>
  <c r="IG287" i="10"/>
  <c r="IH287" i="10"/>
  <c r="II287" i="10"/>
  <c r="IJ287" i="10"/>
  <c r="IK287" i="10"/>
  <c r="IL287" i="10"/>
  <c r="IM287" i="10"/>
  <c r="IN287" i="10"/>
  <c r="IO287" i="10"/>
  <c r="IP287" i="10"/>
  <c r="IQ287" i="10"/>
  <c r="CO286" i="10"/>
  <c r="CP286" i="10"/>
  <c r="CQ286" i="10"/>
  <c r="CR286" i="10"/>
  <c r="CS286" i="10"/>
  <c r="CT286" i="10"/>
  <c r="CU286" i="10"/>
  <c r="CV286" i="10"/>
  <c r="CW286" i="10"/>
  <c r="CX286" i="10"/>
  <c r="CY286" i="10"/>
  <c r="CZ286" i="10"/>
  <c r="DA286" i="10"/>
  <c r="DB286" i="10"/>
  <c r="DC286" i="10"/>
  <c r="DD286" i="10"/>
  <c r="DE286" i="10"/>
  <c r="DF286" i="10"/>
  <c r="DG286" i="10"/>
  <c r="DH286" i="10"/>
  <c r="DI286" i="10"/>
  <c r="DJ286" i="10"/>
  <c r="DK286" i="10"/>
  <c r="DL286" i="10"/>
  <c r="DM286" i="10"/>
  <c r="DN286" i="10"/>
  <c r="DO286" i="10"/>
  <c r="DP286" i="10"/>
  <c r="DQ286" i="10"/>
  <c r="DR286" i="10"/>
  <c r="DS286" i="10"/>
  <c r="DT286" i="10"/>
  <c r="DU286" i="10"/>
  <c r="DV286" i="10"/>
  <c r="DW286" i="10"/>
  <c r="DX286" i="10"/>
  <c r="DY286" i="10"/>
  <c r="DZ286" i="10"/>
  <c r="EA286" i="10"/>
  <c r="EB286" i="10"/>
  <c r="EC286" i="10"/>
  <c r="ED286" i="10"/>
  <c r="EE286" i="10"/>
  <c r="EF286" i="10"/>
  <c r="EG286" i="10"/>
  <c r="EH286" i="10"/>
  <c r="EI286" i="10"/>
  <c r="EJ286" i="10"/>
  <c r="EK286" i="10"/>
  <c r="EL286" i="10"/>
  <c r="EM286" i="10"/>
  <c r="EN286" i="10"/>
  <c r="EO286" i="10"/>
  <c r="EP286" i="10"/>
  <c r="EQ286" i="10"/>
  <c r="ER286" i="10"/>
  <c r="ES286" i="10"/>
  <c r="ET286" i="10"/>
  <c r="EU286" i="10"/>
  <c r="EV286" i="10"/>
  <c r="EW286" i="10"/>
  <c r="EX286" i="10"/>
  <c r="EY286" i="10"/>
  <c r="EZ286" i="10"/>
  <c r="FA286" i="10"/>
  <c r="FB286" i="10"/>
  <c r="FC286" i="10"/>
  <c r="FD286" i="10"/>
  <c r="FE286" i="10"/>
  <c r="FF286" i="10"/>
  <c r="FG286" i="10"/>
  <c r="FH286" i="10"/>
  <c r="FI286" i="10"/>
  <c r="FJ286" i="10"/>
  <c r="FK286" i="10"/>
  <c r="FL286" i="10"/>
  <c r="FM286" i="10"/>
  <c r="FN286" i="10"/>
  <c r="FO286" i="10"/>
  <c r="FP286" i="10"/>
  <c r="CN287" i="10"/>
  <c r="CN286" i="10"/>
  <c r="CO284" i="10"/>
  <c r="CP284" i="10"/>
  <c r="CQ284" i="10"/>
  <c r="CR284" i="10"/>
  <c r="CS284" i="10"/>
  <c r="CT284" i="10"/>
  <c r="CU284" i="10"/>
  <c r="CV284" i="10"/>
  <c r="CW284" i="10"/>
  <c r="CX284" i="10"/>
  <c r="CY284" i="10"/>
  <c r="CZ284" i="10"/>
  <c r="DA284" i="10"/>
  <c r="DB284" i="10"/>
  <c r="DC284" i="10"/>
  <c r="DD284" i="10"/>
  <c r="DE284" i="10"/>
  <c r="DF284" i="10"/>
  <c r="DG284" i="10"/>
  <c r="DH284" i="10"/>
  <c r="DI284" i="10"/>
  <c r="DJ284" i="10"/>
  <c r="DK284" i="10"/>
  <c r="DL284" i="10"/>
  <c r="DM284" i="10"/>
  <c r="DN284" i="10"/>
  <c r="DO284" i="10"/>
  <c r="DP284" i="10"/>
  <c r="DQ284" i="10"/>
  <c r="DR284" i="10"/>
  <c r="DS284" i="10"/>
  <c r="DT284" i="10"/>
  <c r="DU284" i="10"/>
  <c r="DV284" i="10"/>
  <c r="DW284" i="10"/>
  <c r="DX284" i="10"/>
  <c r="DY284" i="10"/>
  <c r="DZ284" i="10"/>
  <c r="EA284" i="10"/>
  <c r="EB284" i="10"/>
  <c r="EC284" i="10"/>
  <c r="ED284" i="10"/>
  <c r="EE284" i="10"/>
  <c r="EF284" i="10"/>
  <c r="EG284" i="10"/>
  <c r="EH284" i="10"/>
  <c r="EI284" i="10"/>
  <c r="EJ284" i="10"/>
  <c r="EK284" i="10"/>
  <c r="EL284" i="10"/>
  <c r="EM284" i="10"/>
  <c r="EN284" i="10"/>
  <c r="EO284" i="10"/>
  <c r="EP284" i="10"/>
  <c r="EQ284" i="10"/>
  <c r="ER284" i="10"/>
  <c r="ES284" i="10"/>
  <c r="ET284" i="10"/>
  <c r="EU284" i="10"/>
  <c r="EV284" i="10"/>
  <c r="EW284" i="10"/>
  <c r="EX284" i="10"/>
  <c r="EY284" i="10"/>
  <c r="EZ284" i="10"/>
  <c r="FA284" i="10"/>
  <c r="FB284" i="10"/>
  <c r="FC284" i="10"/>
  <c r="FD284" i="10"/>
  <c r="FE284" i="10"/>
  <c r="FF284" i="10"/>
  <c r="FG284" i="10"/>
  <c r="FH284" i="10"/>
  <c r="FI284" i="10"/>
  <c r="FJ284" i="10"/>
  <c r="FK284" i="10"/>
  <c r="FL284" i="10"/>
  <c r="FM284" i="10"/>
  <c r="FN284" i="10"/>
  <c r="FO284" i="10"/>
  <c r="FP284" i="10"/>
  <c r="FQ284" i="10"/>
  <c r="FR284" i="10"/>
  <c r="FS284" i="10"/>
  <c r="FT284" i="10"/>
  <c r="FU284" i="10"/>
  <c r="FV284" i="10"/>
  <c r="FW284" i="10"/>
  <c r="FX284" i="10"/>
  <c r="FY284" i="10"/>
  <c r="FZ284" i="10"/>
  <c r="GA284" i="10"/>
  <c r="GB284" i="10"/>
  <c r="GC284" i="10"/>
  <c r="GD284" i="10"/>
  <c r="GE284" i="10"/>
  <c r="GF284" i="10"/>
  <c r="GG284" i="10"/>
  <c r="GH284" i="10"/>
  <c r="GI284" i="10"/>
  <c r="GJ284" i="10"/>
  <c r="CN284" i="10"/>
  <c r="EL283" i="10"/>
  <c r="CO283" i="10"/>
  <c r="CP283" i="10"/>
  <c r="CQ283" i="10"/>
  <c r="CR283" i="10"/>
  <c r="CS283" i="10"/>
  <c r="CT283" i="10"/>
  <c r="CU283" i="10"/>
  <c r="CV283" i="10"/>
  <c r="CW283" i="10"/>
  <c r="CX283" i="10"/>
  <c r="CY283" i="10"/>
  <c r="CZ283" i="10"/>
  <c r="DA283" i="10"/>
  <c r="DB283" i="10"/>
  <c r="DC283" i="10"/>
  <c r="DD283" i="10"/>
  <c r="DE283" i="10"/>
  <c r="DF283" i="10"/>
  <c r="DG283" i="10"/>
  <c r="DH283" i="10"/>
  <c r="DI283" i="10"/>
  <c r="DJ283" i="10"/>
  <c r="DK283" i="10"/>
  <c r="DL283" i="10"/>
  <c r="DM283" i="10"/>
  <c r="DN283" i="10"/>
  <c r="DO283" i="10"/>
  <c r="DP283" i="10"/>
  <c r="DQ283" i="10"/>
  <c r="DR283" i="10"/>
  <c r="DS283" i="10"/>
  <c r="DT283" i="10"/>
  <c r="DU283" i="10"/>
  <c r="DV283" i="10"/>
  <c r="DW283" i="10"/>
  <c r="DX283" i="10"/>
  <c r="DY283" i="10"/>
  <c r="DZ283" i="10"/>
  <c r="EA283" i="10"/>
  <c r="EB283" i="10"/>
  <c r="EC283" i="10"/>
  <c r="ED283" i="10"/>
  <c r="EE283" i="10"/>
  <c r="EF283" i="10"/>
  <c r="EG283" i="10"/>
  <c r="EH283" i="10"/>
  <c r="EI283" i="10"/>
  <c r="EJ283" i="10"/>
  <c r="EK283" i="10"/>
  <c r="CN283" i="10"/>
  <c r="CO281" i="10"/>
  <c r="CP281" i="10"/>
  <c r="CQ281" i="10"/>
  <c r="CR281" i="10"/>
  <c r="CS281" i="10"/>
  <c r="CT281" i="10"/>
  <c r="CU281" i="10"/>
  <c r="CV281" i="10"/>
  <c r="CW281" i="10"/>
  <c r="CX281" i="10"/>
  <c r="CY281" i="10"/>
  <c r="CZ281" i="10"/>
  <c r="DA281" i="10"/>
  <c r="DB281" i="10"/>
  <c r="DC281" i="10"/>
  <c r="DD281" i="10"/>
  <c r="DE281" i="10"/>
  <c r="DF281" i="10"/>
  <c r="DG281" i="10"/>
  <c r="DH281" i="10"/>
  <c r="DI281" i="10"/>
  <c r="DJ281" i="10"/>
  <c r="DK281" i="10"/>
  <c r="DL281" i="10"/>
  <c r="DM281" i="10"/>
  <c r="DN281" i="10"/>
  <c r="DO281" i="10"/>
  <c r="DP281" i="10"/>
  <c r="DQ281" i="10"/>
  <c r="DR281" i="10"/>
  <c r="DS281" i="10"/>
  <c r="DT281" i="10"/>
  <c r="DU281" i="10"/>
  <c r="DV281" i="10"/>
  <c r="DW281" i="10"/>
  <c r="DX281" i="10"/>
  <c r="DY281" i="10"/>
  <c r="DZ281" i="10"/>
  <c r="EA281" i="10"/>
  <c r="EB281" i="10"/>
  <c r="EC281" i="10"/>
  <c r="ED281" i="10"/>
  <c r="EE281" i="10"/>
  <c r="EF281" i="10"/>
  <c r="EG281" i="10"/>
  <c r="EH281" i="10"/>
  <c r="EI281" i="10"/>
  <c r="EJ281" i="10"/>
  <c r="EK281" i="10"/>
  <c r="EL281" i="10"/>
  <c r="CN281" i="10"/>
  <c r="CO280" i="10"/>
  <c r="CP280" i="10"/>
  <c r="CQ280" i="10"/>
  <c r="CR280" i="10"/>
  <c r="CS280" i="10"/>
  <c r="CT280" i="10"/>
  <c r="CU280" i="10"/>
  <c r="CV280" i="10"/>
  <c r="CW280" i="10"/>
  <c r="CX280" i="10"/>
  <c r="CY280" i="10"/>
  <c r="CZ280" i="10"/>
  <c r="DA280" i="10"/>
  <c r="DB280" i="10"/>
  <c r="DC280" i="10"/>
  <c r="DD280" i="10"/>
  <c r="DE280" i="10"/>
  <c r="DF280" i="10"/>
  <c r="DG280" i="10"/>
  <c r="DH280" i="10"/>
  <c r="DI280" i="10"/>
  <c r="DJ280" i="10"/>
  <c r="DK280" i="10"/>
  <c r="DL280" i="10"/>
  <c r="DM280" i="10"/>
  <c r="CN280" i="10"/>
  <c r="DR278" i="10"/>
  <c r="CO278" i="10"/>
  <c r="CP278" i="10"/>
  <c r="CQ278" i="10"/>
  <c r="CR278" i="10"/>
  <c r="CS278" i="10"/>
  <c r="CT278" i="10"/>
  <c r="CU278" i="10"/>
  <c r="CV278" i="10"/>
  <c r="CW278" i="10"/>
  <c r="CX278" i="10"/>
  <c r="CY278" i="10"/>
  <c r="CZ278" i="10"/>
  <c r="DA278" i="10"/>
  <c r="DB278" i="10"/>
  <c r="DC278" i="10"/>
  <c r="DD278" i="10"/>
  <c r="DE278" i="10"/>
  <c r="DF278" i="10"/>
  <c r="DG278" i="10"/>
  <c r="DH278" i="10"/>
  <c r="DI278" i="10"/>
  <c r="DJ278" i="10"/>
  <c r="DK278" i="10"/>
  <c r="DL278" i="10"/>
  <c r="DM278" i="10"/>
  <c r="DN278" i="10"/>
  <c r="DO278" i="10"/>
  <c r="DP278" i="10"/>
  <c r="DQ278" i="10"/>
  <c r="CN278" i="10"/>
  <c r="DC277" i="10"/>
  <c r="CO277" i="10"/>
  <c r="CP277" i="10"/>
  <c r="CQ277" i="10"/>
  <c r="CR277" i="10"/>
  <c r="CS277" i="10"/>
  <c r="CT277" i="10"/>
  <c r="CU277" i="10"/>
  <c r="CV277" i="10"/>
  <c r="CW277" i="10"/>
  <c r="CX277" i="10"/>
  <c r="CY277" i="10"/>
  <c r="CZ277" i="10"/>
  <c r="DA277" i="10"/>
  <c r="DB277" i="10"/>
  <c r="CN277" i="10"/>
  <c r="BD22" i="2"/>
  <c r="AZ104" i="2"/>
  <c r="AY104" i="2"/>
  <c r="CN271" i="10"/>
  <c r="CO271" i="10"/>
  <c r="CP271" i="10"/>
  <c r="CQ271" i="10"/>
  <c r="CR271" i="10"/>
  <c r="CS271" i="10"/>
  <c r="CT271" i="10"/>
  <c r="CU271" i="10"/>
  <c r="CV271" i="10"/>
  <c r="CW271" i="10"/>
  <c r="CX271" i="10"/>
  <c r="CY271" i="10"/>
  <c r="CZ271" i="10"/>
  <c r="DA271" i="10"/>
  <c r="DB271" i="10"/>
  <c r="DC271" i="10"/>
  <c r="DD271" i="10"/>
  <c r="DE271" i="10"/>
  <c r="DF271" i="10"/>
  <c r="DG271" i="10"/>
  <c r="DH271" i="10"/>
  <c r="DI271" i="10"/>
  <c r="DJ271" i="10"/>
  <c r="DK271" i="10"/>
  <c r="DL271" i="10"/>
  <c r="DM271" i="10"/>
  <c r="DN271" i="10"/>
  <c r="DO271" i="10"/>
  <c r="DP271" i="10"/>
  <c r="DQ271" i="10"/>
  <c r="DR271" i="10"/>
  <c r="DS271" i="10"/>
  <c r="DT271" i="10"/>
  <c r="DU271" i="10"/>
  <c r="DV271" i="10"/>
  <c r="DW271" i="10"/>
  <c r="DX271" i="10"/>
  <c r="DY271" i="10"/>
  <c r="DZ271" i="10"/>
  <c r="EA271" i="10"/>
  <c r="EB271" i="10"/>
  <c r="EC271" i="10"/>
  <c r="ED271" i="10"/>
  <c r="EE271" i="10"/>
  <c r="EF271" i="10"/>
  <c r="EG271" i="10"/>
  <c r="EH271" i="10"/>
  <c r="EI271" i="10"/>
  <c r="EJ271" i="10"/>
  <c r="EK271" i="10"/>
  <c r="EL271" i="10"/>
  <c r="EM271" i="10"/>
  <c r="EN271" i="10"/>
  <c r="EO271" i="10"/>
  <c r="EP271" i="10"/>
  <c r="EQ271" i="10"/>
  <c r="ER271" i="10"/>
  <c r="ES271" i="10"/>
  <c r="ET271" i="10"/>
  <c r="EU271" i="10"/>
  <c r="EV271" i="10"/>
  <c r="EW271" i="10"/>
  <c r="EX271" i="10"/>
  <c r="EY271" i="10"/>
  <c r="EZ271" i="10"/>
  <c r="FA271" i="10"/>
  <c r="FB271" i="10"/>
  <c r="FC271" i="10"/>
  <c r="FD271" i="10"/>
  <c r="FE271" i="10"/>
  <c r="FF271" i="10"/>
  <c r="FG271" i="10"/>
  <c r="FH271" i="10"/>
  <c r="FI271" i="10"/>
  <c r="FJ271" i="10"/>
  <c r="FK271" i="10"/>
  <c r="FL271" i="10"/>
  <c r="FM271" i="10"/>
  <c r="FN271" i="10"/>
  <c r="FO271" i="10"/>
  <c r="FP271" i="10"/>
  <c r="FQ271" i="10"/>
  <c r="FR271" i="10"/>
  <c r="FS271" i="10"/>
  <c r="FT271" i="10"/>
  <c r="FU271" i="10"/>
  <c r="FV271" i="10"/>
  <c r="FW271" i="10"/>
  <c r="FX271" i="10"/>
  <c r="FY271" i="10"/>
  <c r="FZ271" i="10"/>
  <c r="GA271" i="10"/>
  <c r="GB271" i="10"/>
  <c r="GC271" i="10"/>
  <c r="GD271" i="10"/>
  <c r="GE271" i="10"/>
  <c r="GF271" i="10"/>
  <c r="GG271" i="10"/>
  <c r="GH271" i="10"/>
  <c r="GI271" i="10"/>
  <c r="GJ271" i="10"/>
  <c r="GK271" i="10"/>
  <c r="GL271" i="10"/>
  <c r="GM271" i="10"/>
  <c r="GN271" i="10"/>
  <c r="GO271" i="10"/>
  <c r="GP271" i="10"/>
  <c r="GQ271" i="10"/>
  <c r="GR271" i="10"/>
  <c r="GS271" i="10"/>
  <c r="GT271" i="10"/>
  <c r="GU271" i="10"/>
  <c r="GV271" i="10"/>
  <c r="GW271" i="10"/>
  <c r="GX271" i="10"/>
  <c r="GY271" i="10"/>
  <c r="GZ271" i="10"/>
  <c r="HA271" i="10"/>
  <c r="HB271" i="10"/>
  <c r="HC271" i="10"/>
  <c r="HD271" i="10"/>
  <c r="HE271" i="10"/>
  <c r="HF271" i="10"/>
  <c r="HG271" i="10"/>
  <c r="HH271" i="10"/>
  <c r="HI271" i="10"/>
  <c r="HJ271" i="10"/>
  <c r="HK271" i="10"/>
  <c r="HL271" i="10"/>
  <c r="HM271" i="10"/>
  <c r="HN271" i="10"/>
  <c r="HO271" i="10"/>
  <c r="HP271" i="10"/>
  <c r="HQ271" i="10"/>
  <c r="HR271" i="10"/>
  <c r="HS271" i="10"/>
  <c r="HT271" i="10"/>
  <c r="HU271" i="10"/>
  <c r="HV271" i="10"/>
  <c r="HW271" i="10"/>
  <c r="HX271" i="10"/>
  <c r="HY271" i="10"/>
  <c r="HZ271" i="10"/>
  <c r="IA271" i="10"/>
  <c r="IB271" i="10"/>
  <c r="IC271" i="10"/>
  <c r="ID271" i="10"/>
  <c r="IE271" i="10"/>
  <c r="IF271" i="10"/>
  <c r="IG271" i="10"/>
  <c r="IH271" i="10"/>
  <c r="II271" i="10"/>
  <c r="IJ271" i="10"/>
  <c r="IK271" i="10"/>
  <c r="IL271" i="10"/>
  <c r="IM271" i="10"/>
  <c r="IN271" i="10"/>
  <c r="IO271" i="10"/>
  <c r="CN270" i="10"/>
  <c r="CO270" i="10"/>
  <c r="CP270" i="10"/>
  <c r="CQ270" i="10"/>
  <c r="CR270" i="10"/>
  <c r="CS270" i="10"/>
  <c r="CT270" i="10"/>
  <c r="CU270" i="10"/>
  <c r="CV270" i="10"/>
  <c r="CW270" i="10"/>
  <c r="CX270" i="10"/>
  <c r="CY270" i="10"/>
  <c r="CZ270" i="10"/>
  <c r="DA270" i="10"/>
  <c r="DB270" i="10"/>
  <c r="DC270" i="10"/>
  <c r="DD270" i="10"/>
  <c r="DE270" i="10"/>
  <c r="DF270" i="10"/>
  <c r="DG270" i="10"/>
  <c r="DH270" i="10"/>
  <c r="DI270" i="10"/>
  <c r="DJ270" i="10"/>
  <c r="DK270" i="10"/>
  <c r="DL270" i="10"/>
  <c r="DM270" i="10"/>
  <c r="DN270" i="10"/>
  <c r="DO270" i="10"/>
  <c r="DP270" i="10"/>
  <c r="DQ270" i="10"/>
  <c r="DR270" i="10"/>
  <c r="DS270" i="10"/>
  <c r="DT270" i="10"/>
  <c r="DU270" i="10"/>
  <c r="DV270" i="10"/>
  <c r="DW270" i="10"/>
  <c r="DX270" i="10"/>
  <c r="DY270" i="10"/>
  <c r="DZ270" i="10"/>
  <c r="EA270" i="10"/>
  <c r="EB270" i="10"/>
  <c r="EC270" i="10"/>
  <c r="ED270" i="10"/>
  <c r="EE270" i="10"/>
  <c r="EF270" i="10"/>
  <c r="EG270" i="10"/>
  <c r="EH270" i="10"/>
  <c r="EI270" i="10"/>
  <c r="EJ270" i="10"/>
  <c r="EK270" i="10"/>
  <c r="EL270" i="10"/>
  <c r="EM270" i="10"/>
  <c r="EN270" i="10"/>
  <c r="EO270" i="10"/>
  <c r="EP270" i="10"/>
  <c r="EQ270" i="10"/>
  <c r="ER270" i="10"/>
  <c r="ES270" i="10"/>
  <c r="ET270" i="10"/>
  <c r="EU270" i="10"/>
  <c r="EV270" i="10"/>
  <c r="EW270" i="10"/>
  <c r="EX270" i="10"/>
  <c r="EY270" i="10"/>
  <c r="EZ270" i="10"/>
  <c r="FA270" i="10"/>
  <c r="FB270" i="10"/>
  <c r="FC270" i="10"/>
  <c r="FD270" i="10"/>
  <c r="FE270" i="10"/>
  <c r="FF270" i="10"/>
  <c r="FG270" i="10"/>
  <c r="FH270" i="10"/>
  <c r="FI270" i="10"/>
  <c r="FJ270" i="10"/>
  <c r="FK270" i="10"/>
  <c r="FL270" i="10"/>
  <c r="FM270" i="10"/>
  <c r="FN270" i="10"/>
  <c r="FO270" i="10"/>
  <c r="FP270" i="10"/>
  <c r="FQ270" i="10"/>
  <c r="FR270" i="10"/>
  <c r="FS270" i="10"/>
  <c r="FT270" i="10"/>
  <c r="FU270" i="10"/>
  <c r="FV270" i="10"/>
  <c r="FW270" i="10"/>
  <c r="FX270" i="10"/>
  <c r="FY270" i="10"/>
  <c r="FZ270" i="10"/>
  <c r="GA270" i="10"/>
  <c r="GB270" i="10"/>
  <c r="GC270" i="10"/>
  <c r="GD270" i="10"/>
  <c r="GE270" i="10"/>
  <c r="GF270" i="10"/>
  <c r="GG270" i="10"/>
  <c r="GH270" i="10"/>
  <c r="GI270" i="10"/>
  <c r="CN269" i="10"/>
  <c r="CO269" i="10"/>
  <c r="CP269" i="10"/>
  <c r="CQ269" i="10"/>
  <c r="CR269" i="10"/>
  <c r="CS269" i="10"/>
  <c r="CT269" i="10"/>
  <c r="CU269" i="10"/>
  <c r="CV269" i="10"/>
  <c r="CW269" i="10"/>
  <c r="CX269" i="10"/>
  <c r="CY269" i="10"/>
  <c r="CZ269" i="10"/>
  <c r="DA269" i="10"/>
  <c r="DB269" i="10"/>
  <c r="DC269" i="10"/>
  <c r="DD269" i="10"/>
  <c r="DE269" i="10"/>
  <c r="DF269" i="10"/>
  <c r="DG269" i="10"/>
  <c r="DH269" i="10"/>
  <c r="DI269" i="10"/>
  <c r="DJ269" i="10"/>
  <c r="DK269" i="10"/>
  <c r="DL269" i="10"/>
  <c r="DM269" i="10"/>
  <c r="DN269" i="10"/>
  <c r="DO269" i="10"/>
  <c r="DP269" i="10"/>
  <c r="DQ269" i="10"/>
  <c r="DR269" i="10"/>
  <c r="DS269" i="10"/>
  <c r="DT269" i="10"/>
  <c r="DU269" i="10"/>
  <c r="DV269" i="10"/>
  <c r="DW269" i="10"/>
  <c r="DX269" i="10"/>
  <c r="DY269" i="10"/>
  <c r="DZ269" i="10"/>
  <c r="EA269" i="10"/>
  <c r="EB269" i="10"/>
  <c r="EC269" i="10"/>
  <c r="ED269" i="10"/>
  <c r="EE269" i="10"/>
  <c r="EF269" i="10"/>
  <c r="EG269" i="10"/>
  <c r="EH269" i="10"/>
  <c r="EI269" i="10"/>
  <c r="EJ269" i="10"/>
  <c r="EK269" i="10"/>
  <c r="DQ268" i="10"/>
  <c r="CN268" i="10"/>
  <c r="CO268" i="10"/>
  <c r="CP268" i="10"/>
  <c r="CQ268" i="10"/>
  <c r="CR268" i="10"/>
  <c r="CS268" i="10"/>
  <c r="CT268" i="10"/>
  <c r="CU268" i="10"/>
  <c r="CV268" i="10"/>
  <c r="CW268" i="10"/>
  <c r="CX268" i="10"/>
  <c r="CY268" i="10"/>
  <c r="CZ268" i="10"/>
  <c r="DA268" i="10"/>
  <c r="DB268" i="10"/>
  <c r="DC268" i="10"/>
  <c r="DD268" i="10"/>
  <c r="DE268" i="10"/>
  <c r="DF268" i="10"/>
  <c r="DG268" i="10"/>
  <c r="DH268" i="10"/>
  <c r="DI268" i="10"/>
  <c r="DJ268" i="10"/>
  <c r="DK268" i="10"/>
  <c r="DL268" i="10"/>
  <c r="DM268" i="10"/>
  <c r="DN268" i="10"/>
  <c r="DO268" i="10"/>
  <c r="DP268" i="10"/>
  <c r="CM271" i="10"/>
  <c r="CM270" i="10"/>
  <c r="CM269" i="10"/>
  <c r="CM268" i="10"/>
  <c r="CN263" i="10"/>
  <c r="CO263" i="10"/>
  <c r="CP263" i="10"/>
  <c r="CQ263" i="10"/>
  <c r="CR263" i="10"/>
  <c r="CS263" i="10"/>
  <c r="CT263" i="10"/>
  <c r="CU263" i="10"/>
  <c r="CV263" i="10"/>
  <c r="CW263" i="10"/>
  <c r="CX263" i="10"/>
  <c r="CY263" i="10"/>
  <c r="CZ263" i="10"/>
  <c r="DA263" i="10"/>
  <c r="DB263" i="10"/>
  <c r="DC263" i="10"/>
  <c r="DD263" i="10"/>
  <c r="DE263" i="10"/>
  <c r="DF263" i="10"/>
  <c r="DG263" i="10"/>
  <c r="DH263" i="10"/>
  <c r="DI263" i="10"/>
  <c r="DJ263" i="10"/>
  <c r="DK263" i="10"/>
  <c r="DL263" i="10"/>
  <c r="DM263" i="10"/>
  <c r="DN263" i="10"/>
  <c r="DO263" i="10"/>
  <c r="DP263" i="10"/>
  <c r="DQ263" i="10"/>
  <c r="DR263" i="10"/>
  <c r="DS263" i="10"/>
  <c r="DT263" i="10"/>
  <c r="DU263" i="10"/>
  <c r="DV263" i="10"/>
  <c r="DW263" i="10"/>
  <c r="DX263" i="10"/>
  <c r="DY263" i="10"/>
  <c r="DZ263" i="10"/>
  <c r="EA263" i="10"/>
  <c r="EB263" i="10"/>
  <c r="EC263" i="10"/>
  <c r="ED263" i="10"/>
  <c r="EE263" i="10"/>
  <c r="EF263" i="10"/>
  <c r="EG263" i="10"/>
  <c r="EH263" i="10"/>
  <c r="EI263" i="10"/>
  <c r="EJ263" i="10"/>
  <c r="EK263" i="10"/>
  <c r="EL263" i="10"/>
  <c r="EM263" i="10"/>
  <c r="EN263" i="10"/>
  <c r="EO263" i="10"/>
  <c r="EP263" i="10"/>
  <c r="EQ263" i="10"/>
  <c r="ER263" i="10"/>
  <c r="ES263" i="10"/>
  <c r="ET263" i="10"/>
  <c r="EU263" i="10"/>
  <c r="EV263" i="10"/>
  <c r="EW263" i="10"/>
  <c r="EX263" i="10"/>
  <c r="EY263" i="10"/>
  <c r="EZ263" i="10"/>
  <c r="FA263" i="10"/>
  <c r="FB263" i="10"/>
  <c r="FC263" i="10"/>
  <c r="FD263" i="10"/>
  <c r="FE263" i="10"/>
  <c r="FF263" i="10"/>
  <c r="FG263" i="10"/>
  <c r="FH263" i="10"/>
  <c r="FI263" i="10"/>
  <c r="FJ263" i="10"/>
  <c r="FK263" i="10"/>
  <c r="FL263" i="10"/>
  <c r="FM263" i="10"/>
  <c r="FN263" i="10"/>
  <c r="FO263" i="10"/>
  <c r="CM263" i="10"/>
  <c r="CN262" i="10"/>
  <c r="CO262" i="10"/>
  <c r="CP262" i="10"/>
  <c r="CQ262" i="10"/>
  <c r="CR262" i="10"/>
  <c r="CS262" i="10"/>
  <c r="CT262" i="10"/>
  <c r="CU262" i="10"/>
  <c r="CV262" i="10"/>
  <c r="CW262" i="10"/>
  <c r="CX262" i="10"/>
  <c r="CY262" i="10"/>
  <c r="CZ262" i="10"/>
  <c r="DA262" i="10"/>
  <c r="DB262" i="10"/>
  <c r="DC262" i="10"/>
  <c r="DD262" i="10"/>
  <c r="DE262" i="10"/>
  <c r="DF262" i="10"/>
  <c r="DG262" i="10"/>
  <c r="DH262" i="10"/>
  <c r="DI262" i="10"/>
  <c r="DJ262" i="10"/>
  <c r="DK262" i="10"/>
  <c r="DL262" i="10"/>
  <c r="DM262" i="10"/>
  <c r="DN262" i="10"/>
  <c r="DO262" i="10"/>
  <c r="DP262" i="10"/>
  <c r="DQ262" i="10"/>
  <c r="DR262" i="10"/>
  <c r="DS262" i="10"/>
  <c r="DT262" i="10"/>
  <c r="DU262" i="10"/>
  <c r="DV262" i="10"/>
  <c r="DW262" i="10"/>
  <c r="DX262" i="10"/>
  <c r="DY262" i="10"/>
  <c r="DZ262" i="10"/>
  <c r="EA262" i="10"/>
  <c r="EB262" i="10"/>
  <c r="EC262" i="10"/>
  <c r="ED262" i="10"/>
  <c r="EE262" i="10"/>
  <c r="EF262" i="10"/>
  <c r="EG262" i="10"/>
  <c r="EH262" i="10"/>
  <c r="EI262" i="10"/>
  <c r="EJ262" i="10"/>
  <c r="EK262" i="10"/>
  <c r="CM262" i="10"/>
  <c r="CN261" i="10"/>
  <c r="CO261" i="10"/>
  <c r="CP261" i="10"/>
  <c r="CQ261" i="10"/>
  <c r="CR261" i="10"/>
  <c r="CS261" i="10"/>
  <c r="CT261" i="10"/>
  <c r="CU261" i="10"/>
  <c r="CV261" i="10"/>
  <c r="CW261" i="10"/>
  <c r="CX261" i="10"/>
  <c r="CY261" i="10"/>
  <c r="CZ261" i="10"/>
  <c r="DA261" i="10"/>
  <c r="DB261" i="10"/>
  <c r="DC261" i="10"/>
  <c r="DD261" i="10"/>
  <c r="DE261" i="10"/>
  <c r="DF261" i="10"/>
  <c r="DG261" i="10"/>
  <c r="DH261" i="10"/>
  <c r="DI261" i="10"/>
  <c r="DJ261" i="10"/>
  <c r="DK261" i="10"/>
  <c r="DL261" i="10"/>
  <c r="CM261" i="10"/>
  <c r="CN260" i="10"/>
  <c r="CO260" i="10"/>
  <c r="CP260" i="10"/>
  <c r="CQ260" i="10"/>
  <c r="CR260" i="10"/>
  <c r="CS260" i="10"/>
  <c r="CT260" i="10"/>
  <c r="CU260" i="10"/>
  <c r="CV260" i="10"/>
  <c r="CW260" i="10"/>
  <c r="CX260" i="10"/>
  <c r="CY260" i="10"/>
  <c r="CZ260" i="10"/>
  <c r="DA260" i="10"/>
  <c r="DB260" i="10"/>
  <c r="CM260" i="10"/>
  <c r="BB69" i="2"/>
  <c r="D2" i="10"/>
  <c r="J452" i="8"/>
  <c r="B98" i="10"/>
  <c r="F98" i="10"/>
  <c r="AV49" i="2"/>
  <c r="AW49" i="2"/>
  <c r="AU49" i="2"/>
  <c r="AF18" i="10"/>
  <c r="AG18" i="10"/>
  <c r="AH18" i="10"/>
  <c r="AI18" i="10"/>
  <c r="AJ18" i="10"/>
  <c r="AK18" i="10"/>
  <c r="AL18" i="10"/>
  <c r="AM18" i="10"/>
  <c r="AC18" i="10"/>
  <c r="Z18" i="10"/>
  <c r="AA18" i="10"/>
  <c r="AB18" i="10"/>
  <c r="AD18" i="10"/>
  <c r="AE18" i="10"/>
  <c r="Y18" i="10"/>
  <c r="I452" i="8"/>
  <c r="G467" i="8"/>
  <c r="BG62" i="2"/>
  <c r="BE62" i="2"/>
  <c r="BE63" i="2"/>
  <c r="BE64" i="2"/>
  <c r="BE65" i="2"/>
  <c r="BE66" i="2"/>
  <c r="BE67" i="2"/>
  <c r="BE68" i="2"/>
  <c r="BE69" i="2"/>
  <c r="BE70" i="2"/>
  <c r="BE71" i="2"/>
  <c r="BE72" i="2"/>
  <c r="BE73" i="2"/>
  <c r="BE74" i="2"/>
  <c r="BE75" i="2"/>
  <c r="BE76" i="2"/>
  <c r="BE77" i="2"/>
  <c r="BE78" i="2"/>
  <c r="BE79" i="2"/>
  <c r="BE80" i="2"/>
  <c r="BE81" i="2"/>
  <c r="BE82" i="2"/>
  <c r="BE83" i="2"/>
  <c r="BE84" i="2"/>
  <c r="BE85" i="2"/>
  <c r="BE86" i="2"/>
  <c r="BE87" i="2"/>
  <c r="BE88" i="2"/>
  <c r="BE89" i="2"/>
  <c r="BE90" i="2"/>
  <c r="BE92" i="2"/>
  <c r="BE93" i="2"/>
  <c r="BE94" i="2"/>
  <c r="BE95" i="2"/>
  <c r="BE96" i="2"/>
  <c r="BE61" i="2"/>
  <c r="BD62" i="2"/>
  <c r="BD63" i="2"/>
  <c r="BD64" i="2"/>
  <c r="BD65" i="2"/>
  <c r="BD66" i="2"/>
  <c r="BD67" i="2"/>
  <c r="BD68" i="2"/>
  <c r="BD69" i="2"/>
  <c r="BD70" i="2"/>
  <c r="BD71" i="2"/>
  <c r="BD72" i="2"/>
  <c r="BD73" i="2"/>
  <c r="BD74" i="2"/>
  <c r="BD75" i="2"/>
  <c r="BD76" i="2"/>
  <c r="BD77" i="2"/>
  <c r="BD78" i="2"/>
  <c r="BD79" i="2"/>
  <c r="BD80" i="2"/>
  <c r="BD81" i="2"/>
  <c r="BD82" i="2"/>
  <c r="BD83" i="2"/>
  <c r="BD84" i="2"/>
  <c r="BD85" i="2"/>
  <c r="BD86" i="2"/>
  <c r="BD87" i="2"/>
  <c r="BD88" i="2"/>
  <c r="BD89" i="2"/>
  <c r="BD90" i="2"/>
  <c r="BD91" i="2"/>
  <c r="BE91" i="2" s="1"/>
  <c r="BF62" i="2" s="1"/>
  <c r="BD92" i="2"/>
  <c r="BD93" i="2"/>
  <c r="BD94" i="2"/>
  <c r="BD95" i="2"/>
  <c r="BD96" i="2"/>
  <c r="BD61" i="2"/>
  <c r="AY37" i="2"/>
  <c r="AY36" i="2"/>
  <c r="AY22" i="2"/>
  <c r="AY23" i="2"/>
  <c r="AY24" i="2"/>
  <c r="AY25" i="2"/>
  <c r="AY26" i="2"/>
  <c r="AY27" i="2"/>
  <c r="AY28" i="2"/>
  <c r="AY29" i="2"/>
  <c r="AY30" i="2"/>
  <c r="AY31" i="2"/>
  <c r="AY32" i="2"/>
  <c r="AY21" i="2"/>
  <c r="AZ22" i="2"/>
  <c r="AZ23" i="2"/>
  <c r="AZ24" i="2"/>
  <c r="AZ25" i="2"/>
  <c r="AZ26" i="2"/>
  <c r="AZ27" i="2"/>
  <c r="AZ28" i="2"/>
  <c r="AZ29" i="2"/>
  <c r="AZ30" i="2"/>
  <c r="AZ31" i="2"/>
  <c r="AZ32" i="2"/>
  <c r="AZ21" i="2"/>
  <c r="BG61" i="2" a="1"/>
  <c r="BG61" i="2" s="1"/>
  <c r="AW30" i="2"/>
  <c r="A341" i="8"/>
  <c r="A490" i="8" s="1"/>
  <c r="B341" i="8"/>
  <c r="B490" i="8" s="1"/>
  <c r="C341" i="8"/>
  <c r="C490" i="8" s="1"/>
  <c r="J490" i="8" s="1"/>
  <c r="G341" i="8"/>
  <c r="G490" i="8" s="1"/>
  <c r="H341" i="8"/>
  <c r="H490" i="8" s="1"/>
  <c r="J341" i="8"/>
  <c r="K341" i="8"/>
  <c r="G342" i="8"/>
  <c r="G491" i="8" s="1"/>
  <c r="H342" i="8"/>
  <c r="H491" i="8" s="1"/>
  <c r="J342" i="8"/>
  <c r="K342" i="8"/>
  <c r="H307" i="8"/>
  <c r="H456" i="8" s="1"/>
  <c r="J307" i="8"/>
  <c r="G308" i="8"/>
  <c r="G457" i="8" s="1"/>
  <c r="H308" i="8"/>
  <c r="H457" i="8" s="1"/>
  <c r="J308" i="8"/>
  <c r="K308" i="8"/>
  <c r="G309" i="8"/>
  <c r="G458" i="8" s="1"/>
  <c r="H309" i="8"/>
  <c r="H458" i="8" s="1"/>
  <c r="J309" i="8"/>
  <c r="K309" i="8"/>
  <c r="H310" i="8"/>
  <c r="H459" i="8" s="1"/>
  <c r="J310" i="8"/>
  <c r="K310" i="8"/>
  <c r="H311" i="8"/>
  <c r="H460" i="8" s="1"/>
  <c r="J311" i="8"/>
  <c r="K311" i="8"/>
  <c r="G312" i="8"/>
  <c r="G461" i="8" s="1"/>
  <c r="H312" i="8"/>
  <c r="H461" i="8" s="1"/>
  <c r="J312" i="8"/>
  <c r="K312" i="8"/>
  <c r="G313" i="8"/>
  <c r="G462" i="8" s="1"/>
  <c r="H313" i="8"/>
  <c r="H462" i="8" s="1"/>
  <c r="J313" i="8"/>
  <c r="K313" i="8"/>
  <c r="G314" i="8"/>
  <c r="G463" i="8" s="1"/>
  <c r="H314" i="8"/>
  <c r="H463" i="8" s="1"/>
  <c r="J314" i="8"/>
  <c r="K314" i="8"/>
  <c r="H315" i="8"/>
  <c r="H464" i="8" s="1"/>
  <c r="J315" i="8"/>
  <c r="K315" i="8"/>
  <c r="A316" i="8"/>
  <c r="A465" i="8" s="1"/>
  <c r="B316" i="8"/>
  <c r="B465" i="8" s="1"/>
  <c r="C316" i="8"/>
  <c r="C465" i="8" s="1"/>
  <c r="J465" i="8" s="1"/>
  <c r="G316" i="8"/>
  <c r="G465" i="8" s="1"/>
  <c r="H316" i="8"/>
  <c r="H465" i="8" s="1"/>
  <c r="J316" i="8"/>
  <c r="K316" i="8"/>
  <c r="G317" i="8"/>
  <c r="G466" i="8" s="1"/>
  <c r="H317" i="8"/>
  <c r="H466" i="8" s="1"/>
  <c r="J317" i="8"/>
  <c r="K317" i="8"/>
  <c r="G318" i="8"/>
  <c r="H318" i="8"/>
  <c r="H467" i="8" s="1"/>
  <c r="J318" i="8"/>
  <c r="K318" i="8"/>
  <c r="H319" i="8"/>
  <c r="H468" i="8" s="1"/>
  <c r="J319" i="8"/>
  <c r="K319" i="8"/>
  <c r="G320" i="8"/>
  <c r="G469" i="8" s="1"/>
  <c r="H320" i="8"/>
  <c r="H469" i="8" s="1"/>
  <c r="J320" i="8"/>
  <c r="K320" i="8"/>
  <c r="G321" i="8"/>
  <c r="G470" i="8" s="1"/>
  <c r="H321" i="8"/>
  <c r="H470" i="8" s="1"/>
  <c r="J321" i="8"/>
  <c r="K321" i="8"/>
  <c r="H322" i="8"/>
  <c r="H471" i="8" s="1"/>
  <c r="J322" i="8"/>
  <c r="K322" i="8"/>
  <c r="H323" i="8"/>
  <c r="H472" i="8" s="1"/>
  <c r="J323" i="8"/>
  <c r="K323" i="8"/>
  <c r="G324" i="8"/>
  <c r="G473" i="8" s="1"/>
  <c r="H324" i="8"/>
  <c r="H473" i="8" s="1"/>
  <c r="J324" i="8"/>
  <c r="K324" i="8"/>
  <c r="G325" i="8"/>
  <c r="G474" i="8" s="1"/>
  <c r="H325" i="8"/>
  <c r="H474" i="8" s="1"/>
  <c r="J325" i="8"/>
  <c r="K325" i="8"/>
  <c r="G326" i="8"/>
  <c r="G475" i="8" s="1"/>
  <c r="H326" i="8"/>
  <c r="H475" i="8" s="1"/>
  <c r="J326" i="8"/>
  <c r="K326" i="8"/>
  <c r="H327" i="8"/>
  <c r="H476" i="8" s="1"/>
  <c r="J327" i="8"/>
  <c r="K327" i="8"/>
  <c r="G328" i="8"/>
  <c r="G477" i="8" s="1"/>
  <c r="H328" i="8"/>
  <c r="H477" i="8" s="1"/>
  <c r="J328" i="8"/>
  <c r="K328" i="8"/>
  <c r="G329" i="8"/>
  <c r="G478" i="8" s="1"/>
  <c r="H329" i="8"/>
  <c r="H478" i="8" s="1"/>
  <c r="J329" i="8"/>
  <c r="K329" i="8"/>
  <c r="G330" i="8"/>
  <c r="G479" i="8" s="1"/>
  <c r="H330" i="8"/>
  <c r="H479" i="8" s="1"/>
  <c r="J330" i="8"/>
  <c r="K330" i="8"/>
  <c r="H331" i="8"/>
  <c r="H480" i="8" s="1"/>
  <c r="J331" i="8"/>
  <c r="K331" i="8"/>
  <c r="G332" i="8"/>
  <c r="G481" i="8" s="1"/>
  <c r="H332" i="8"/>
  <c r="H481" i="8" s="1"/>
  <c r="J332" i="8"/>
  <c r="K332" i="8"/>
  <c r="G333" i="8"/>
  <c r="G482" i="8" s="1"/>
  <c r="H333" i="8"/>
  <c r="H482" i="8" s="1"/>
  <c r="J333" i="8"/>
  <c r="K333" i="8"/>
  <c r="H334" i="8"/>
  <c r="H483" i="8" s="1"/>
  <c r="J334" i="8"/>
  <c r="K334" i="8"/>
  <c r="H335" i="8"/>
  <c r="H484" i="8" s="1"/>
  <c r="J335" i="8"/>
  <c r="K335" i="8"/>
  <c r="G336" i="8"/>
  <c r="G485" i="8" s="1"/>
  <c r="H336" i="8"/>
  <c r="H485" i="8" s="1"/>
  <c r="J336" i="8"/>
  <c r="K336" i="8"/>
  <c r="G337" i="8"/>
  <c r="G486" i="8" s="1"/>
  <c r="H337" i="8"/>
  <c r="H486" i="8" s="1"/>
  <c r="J337" i="8"/>
  <c r="K337" i="8"/>
  <c r="G338" i="8"/>
  <c r="G487" i="8" s="1"/>
  <c r="H338" i="8"/>
  <c r="H487" i="8" s="1"/>
  <c r="J338" i="8"/>
  <c r="K338" i="8"/>
  <c r="H339" i="8"/>
  <c r="H488" i="8" s="1"/>
  <c r="J339" i="8"/>
  <c r="K339" i="8"/>
  <c r="G340" i="8"/>
  <c r="G489" i="8" s="1"/>
  <c r="H340" i="8"/>
  <c r="H489" i="8" s="1"/>
  <c r="J340" i="8"/>
  <c r="K340" i="8"/>
  <c r="G306" i="8"/>
  <c r="G455" i="8" s="1"/>
  <c r="H306" i="8"/>
  <c r="H455" i="8" s="1"/>
  <c r="I306" i="8"/>
  <c r="I455" i="8" s="1"/>
  <c r="J306" i="8"/>
  <c r="K306" i="8"/>
  <c r="L306" i="8"/>
  <c r="M306" i="8"/>
  <c r="N306" i="8"/>
  <c r="BC52" i="2"/>
  <c r="BD52" i="2"/>
  <c r="BC51" i="2"/>
  <c r="BD51" i="2"/>
  <c r="BC50" i="2"/>
  <c r="BD50" i="2"/>
  <c r="BC49" i="2"/>
  <c r="BD49" i="2"/>
  <c r="BB52" i="2"/>
  <c r="BB51" i="2"/>
  <c r="BB50" i="2"/>
  <c r="BB49" i="2"/>
  <c r="BC45" i="2"/>
  <c r="BD45" i="2"/>
  <c r="BC44" i="2"/>
  <c r="BD44" i="2"/>
  <c r="BB47" i="2"/>
  <c r="BC47" i="2"/>
  <c r="BD47" i="2"/>
  <c r="BC46" i="2"/>
  <c r="BD46" i="2"/>
  <c r="BB46" i="2"/>
  <c r="BB45" i="2"/>
  <c r="BB44" i="2"/>
  <c r="BC42" i="2"/>
  <c r="BD42" i="2"/>
  <c r="BB42" i="2"/>
  <c r="BC41" i="2"/>
  <c r="BD41" i="2"/>
  <c r="BB41" i="2"/>
  <c r="BC40" i="2"/>
  <c r="BD40" i="2"/>
  <c r="BB40" i="2"/>
  <c r="BC39" i="2"/>
  <c r="BD39" i="2"/>
  <c r="BB39" i="2"/>
  <c r="BB27" i="2"/>
  <c r="BC27" i="2"/>
  <c r="BD27" i="2"/>
  <c r="BE27" i="2"/>
  <c r="BF27" i="2"/>
  <c r="BB37" i="2"/>
  <c r="BA37" i="2"/>
  <c r="BB33" i="2"/>
  <c r="BA33" i="2"/>
  <c r="BB24" i="2"/>
  <c r="BA24" i="2"/>
  <c r="BA35" i="2"/>
  <c r="BB35" i="2"/>
  <c r="BC35" i="2"/>
  <c r="BD35" i="2"/>
  <c r="BE35" i="2"/>
  <c r="BF35" i="2"/>
  <c r="BA36" i="2"/>
  <c r="BB36" i="2"/>
  <c r="BC36" i="2"/>
  <c r="BD36" i="2"/>
  <c r="BE36" i="2"/>
  <c r="BF36" i="2"/>
  <c r="BB34" i="2"/>
  <c r="BC34" i="2"/>
  <c r="BD34" i="2"/>
  <c r="BE34" i="2"/>
  <c r="BF34" i="2"/>
  <c r="BA34" i="2"/>
  <c r="BA31" i="2"/>
  <c r="BB31" i="2"/>
  <c r="BC31" i="2"/>
  <c r="BD31" i="2"/>
  <c r="BE31" i="2"/>
  <c r="BF31" i="2"/>
  <c r="BA32" i="2"/>
  <c r="BB32" i="2"/>
  <c r="BC32" i="2"/>
  <c r="BD32" i="2"/>
  <c r="BE32" i="2"/>
  <c r="BF32" i="2"/>
  <c r="BA30" i="2"/>
  <c r="BB30" i="2"/>
  <c r="BC30" i="2"/>
  <c r="BD30" i="2"/>
  <c r="BE30" i="2"/>
  <c r="BF30" i="2"/>
  <c r="BB29" i="2"/>
  <c r="BC29" i="2"/>
  <c r="BD29" i="2"/>
  <c r="BE29" i="2"/>
  <c r="BF29" i="2"/>
  <c r="BA29" i="2"/>
  <c r="BA27" i="2"/>
  <c r="BB25" i="2"/>
  <c r="BC25" i="2"/>
  <c r="BD25" i="2"/>
  <c r="BE25" i="2"/>
  <c r="BF25" i="2"/>
  <c r="BA25" i="2"/>
  <c r="BA22" i="2"/>
  <c r="BB22" i="2"/>
  <c r="BC22" i="2"/>
  <c r="BE22" i="2"/>
  <c r="BF22" i="2"/>
  <c r="BA23" i="2"/>
  <c r="BB23" i="2"/>
  <c r="BC23" i="2"/>
  <c r="BD23" i="2"/>
  <c r="BE23" i="2"/>
  <c r="BF23" i="2"/>
  <c r="BB21" i="2"/>
  <c r="BC21" i="2"/>
  <c r="BD21" i="2"/>
  <c r="BE21" i="2"/>
  <c r="BF21" i="2"/>
  <c r="BA21" i="2"/>
  <c r="AZ87" i="2"/>
  <c r="AY74" i="2"/>
  <c r="AY102" i="2"/>
  <c r="AZ102" i="2"/>
  <c r="BA102" i="2"/>
  <c r="BB102" i="2"/>
  <c r="AY103" i="2"/>
  <c r="AZ103" i="2"/>
  <c r="BA103" i="2"/>
  <c r="BB103" i="2"/>
  <c r="AZ101" i="2"/>
  <c r="BA101" i="2"/>
  <c r="BB101" i="2"/>
  <c r="AY101" i="2"/>
  <c r="AY100" i="2"/>
  <c r="AZ100" i="2"/>
  <c r="BA100" i="2"/>
  <c r="BB100" i="2"/>
  <c r="AY96" i="2"/>
  <c r="AZ96" i="2"/>
  <c r="BA96" i="2"/>
  <c r="BB96" i="2"/>
  <c r="AY97" i="2"/>
  <c r="AZ97" i="2"/>
  <c r="BA97" i="2"/>
  <c r="BB97" i="2"/>
  <c r="AY98" i="2"/>
  <c r="AZ98" i="2"/>
  <c r="BA98" i="2"/>
  <c r="BB98" i="2"/>
  <c r="AY99" i="2"/>
  <c r="AZ99" i="2"/>
  <c r="BA99" i="2"/>
  <c r="BB99" i="2"/>
  <c r="AZ95" i="2"/>
  <c r="BA95" i="2"/>
  <c r="BB95" i="2"/>
  <c r="AY95" i="2"/>
  <c r="AZ93" i="2"/>
  <c r="AY93" i="2"/>
  <c r="AZ92" i="2"/>
  <c r="BA92" i="2"/>
  <c r="BB92" i="2"/>
  <c r="AZ91" i="2"/>
  <c r="BA91" i="2"/>
  <c r="BB91" i="2"/>
  <c r="AZ90" i="2"/>
  <c r="BA90" i="2"/>
  <c r="BB90" i="2"/>
  <c r="AZ89" i="2"/>
  <c r="BA89" i="2"/>
  <c r="BB89" i="2"/>
  <c r="AY92" i="2"/>
  <c r="AY91" i="2"/>
  <c r="AY90" i="2"/>
  <c r="AY89" i="2"/>
  <c r="AY87" i="2"/>
  <c r="AZ86" i="2"/>
  <c r="BA86" i="2"/>
  <c r="BB86" i="2"/>
  <c r="AY86" i="2"/>
  <c r="AZ85" i="2"/>
  <c r="BA85" i="2"/>
  <c r="BB85" i="2"/>
  <c r="AY85" i="2"/>
  <c r="AY84" i="2"/>
  <c r="AZ84" i="2"/>
  <c r="BA84" i="2"/>
  <c r="BB84" i="2"/>
  <c r="AZ83" i="2"/>
  <c r="BA83" i="2"/>
  <c r="BB83" i="2"/>
  <c r="AY83" i="2"/>
  <c r="AY80" i="2"/>
  <c r="AZ80" i="2"/>
  <c r="BA80" i="2"/>
  <c r="BB80" i="2"/>
  <c r="AY81" i="2"/>
  <c r="AZ81" i="2"/>
  <c r="BA81" i="2"/>
  <c r="BB81" i="2"/>
  <c r="AY82" i="2"/>
  <c r="AZ82" i="2"/>
  <c r="BA82" i="2"/>
  <c r="BB82" i="2"/>
  <c r="AY78" i="2"/>
  <c r="AZ78" i="2"/>
  <c r="BA78" i="2"/>
  <c r="BB78" i="2"/>
  <c r="AY79" i="2"/>
  <c r="AZ79" i="2"/>
  <c r="BA79" i="2"/>
  <c r="BB79" i="2"/>
  <c r="AZ77" i="2"/>
  <c r="BA77" i="2"/>
  <c r="BB77" i="2"/>
  <c r="AY77" i="2"/>
  <c r="AZ75" i="2"/>
  <c r="AY75" i="2"/>
  <c r="AY73" i="2"/>
  <c r="AZ73" i="2"/>
  <c r="BA73" i="2"/>
  <c r="BB73" i="2"/>
  <c r="AZ74" i="2"/>
  <c r="BA74" i="2"/>
  <c r="BB74" i="2"/>
  <c r="AZ72" i="2"/>
  <c r="BA72" i="2"/>
  <c r="BB72" i="2"/>
  <c r="AY72" i="2"/>
  <c r="AZ70" i="2"/>
  <c r="AY70" i="2"/>
  <c r="AY62" i="2"/>
  <c r="AZ62" i="2"/>
  <c r="BA62" i="2"/>
  <c r="BB62" i="2"/>
  <c r="AY63" i="2"/>
  <c r="AZ63" i="2"/>
  <c r="BA63" i="2"/>
  <c r="BB63" i="2"/>
  <c r="AY64" i="2"/>
  <c r="AZ64" i="2"/>
  <c r="BA64" i="2"/>
  <c r="BB64" i="2"/>
  <c r="AY65" i="2"/>
  <c r="AZ65" i="2"/>
  <c r="BA65" i="2"/>
  <c r="BB65" i="2"/>
  <c r="AY66" i="2"/>
  <c r="AZ66" i="2"/>
  <c r="BA66" i="2"/>
  <c r="BB66" i="2"/>
  <c r="AY67" i="2"/>
  <c r="AZ67" i="2"/>
  <c r="BA67" i="2"/>
  <c r="BB67" i="2"/>
  <c r="AY68" i="2"/>
  <c r="AZ68" i="2"/>
  <c r="BA68" i="2"/>
  <c r="BB68" i="2"/>
  <c r="AY69" i="2"/>
  <c r="AZ69" i="2"/>
  <c r="BA69" i="2"/>
  <c r="AZ61" i="2"/>
  <c r="BA61" i="2"/>
  <c r="BB61" i="2"/>
  <c r="AY61" i="2"/>
  <c r="H79" i="9"/>
  <c r="H72" i="9"/>
  <c r="J65" i="9"/>
  <c r="AU51" i="2"/>
  <c r="AW51" i="2"/>
  <c r="AX49" i="2"/>
  <c r="AU46" i="2"/>
  <c r="AW46" i="2"/>
  <c r="AX46" i="2"/>
  <c r="AU30" i="2"/>
  <c r="AW19" i="2"/>
  <c r="AW20" i="2"/>
  <c r="AW21" i="2"/>
  <c r="AW22" i="2"/>
  <c r="AW23" i="2"/>
  <c r="AW24" i="2"/>
  <c r="AW25" i="2"/>
  <c r="AW26" i="2"/>
  <c r="AW27" i="2"/>
  <c r="AW28" i="2"/>
  <c r="AW29" i="2"/>
  <c r="AW31" i="2"/>
  <c r="AW32" i="2"/>
  <c r="AW33" i="2"/>
  <c r="AW34" i="2"/>
  <c r="AW35" i="2"/>
  <c r="AX35" i="2" s="1"/>
  <c r="AW36" i="2"/>
  <c r="AW37" i="2"/>
  <c r="AW38" i="2"/>
  <c r="AW39" i="2"/>
  <c r="AW40" i="2"/>
  <c r="AW41" i="2"/>
  <c r="AX41" i="2" s="1"/>
  <c r="AW42" i="2"/>
  <c r="AW43" i="2"/>
  <c r="AX43" i="2" s="1"/>
  <c r="AW44" i="2"/>
  <c r="AW45" i="2"/>
  <c r="AW47" i="2"/>
  <c r="AW48" i="2"/>
  <c r="AW50" i="2"/>
  <c r="AX51" i="2"/>
  <c r="AW52" i="2"/>
  <c r="AW53" i="2"/>
  <c r="AW54" i="2"/>
  <c r="AX34" i="2"/>
  <c r="AU19" i="2"/>
  <c r="AU23" i="2"/>
  <c r="AV22" i="2"/>
  <c r="AX20" i="2"/>
  <c r="AX21" i="2"/>
  <c r="AX22" i="2"/>
  <c r="AX23" i="2"/>
  <c r="AX24" i="2"/>
  <c r="AX25" i="2"/>
  <c r="AX26" i="2"/>
  <c r="AX27" i="2"/>
  <c r="AX28" i="2"/>
  <c r="AX29" i="2"/>
  <c r="AX31" i="2"/>
  <c r="AX32" i="2"/>
  <c r="AX33" i="2"/>
  <c r="AX36" i="2"/>
  <c r="AX37" i="2"/>
  <c r="AX38" i="2"/>
  <c r="AX39" i="2"/>
  <c r="AX40" i="2"/>
  <c r="AX42" i="2"/>
  <c r="AX44" i="2"/>
  <c r="AX45" i="2"/>
  <c r="AX47" i="2"/>
  <c r="AX48" i="2"/>
  <c r="AX50" i="2"/>
  <c r="AX52" i="2"/>
  <c r="AX53" i="2"/>
  <c r="AX54" i="2"/>
  <c r="AV19" i="2"/>
  <c r="AV20" i="2"/>
  <c r="AV21" i="2"/>
  <c r="AV23" i="2"/>
  <c r="AV24" i="2"/>
  <c r="AV25" i="2"/>
  <c r="AV26" i="2"/>
  <c r="AV27" i="2"/>
  <c r="AV28" i="2"/>
  <c r="AV29" i="2"/>
  <c r="AV30" i="2"/>
  <c r="AV31" i="2"/>
  <c r="AV32" i="2"/>
  <c r="AV33" i="2"/>
  <c r="AV34" i="2"/>
  <c r="AV35" i="2"/>
  <c r="AV36" i="2"/>
  <c r="AV37" i="2"/>
  <c r="AV38" i="2"/>
  <c r="AV39" i="2"/>
  <c r="AV40" i="2"/>
  <c r="AV41" i="2"/>
  <c r="AV42" i="2"/>
  <c r="AV43" i="2"/>
  <c r="AV44" i="2"/>
  <c r="AV45" i="2"/>
  <c r="AV46" i="2"/>
  <c r="AV47" i="2"/>
  <c r="AV48" i="2"/>
  <c r="AV50" i="2"/>
  <c r="AV51" i="2"/>
  <c r="AV52" i="2"/>
  <c r="AV53" i="2"/>
  <c r="AV54" i="2"/>
  <c r="AU54" i="2"/>
  <c r="AU53" i="2"/>
  <c r="AU52" i="2"/>
  <c r="AU50" i="2"/>
  <c r="AU48" i="2"/>
  <c r="AU47" i="2"/>
  <c r="AU45" i="2"/>
  <c r="AU44" i="2"/>
  <c r="AU43" i="2"/>
  <c r="AU42" i="2"/>
  <c r="AU41" i="2"/>
  <c r="AU40" i="2"/>
  <c r="AU39" i="2"/>
  <c r="AU38" i="2"/>
  <c r="AU37" i="2"/>
  <c r="AU36" i="2"/>
  <c r="AU35" i="2"/>
  <c r="AU34" i="2"/>
  <c r="AU33" i="2"/>
  <c r="AU32" i="2"/>
  <c r="AU31" i="2"/>
  <c r="AU29" i="2"/>
  <c r="AU28" i="2"/>
  <c r="AU27" i="2"/>
  <c r="AU26" i="2"/>
  <c r="AU25" i="2"/>
  <c r="AU24" i="2"/>
  <c r="AU22" i="2"/>
  <c r="AU21" i="2"/>
  <c r="AU20" i="2"/>
  <c r="AZ14" i="2"/>
  <c r="AZ4" i="2"/>
  <c r="AZ5" i="2"/>
  <c r="AZ6" i="2"/>
  <c r="AZ7" i="2"/>
  <c r="AZ8" i="2"/>
  <c r="AZ9" i="2"/>
  <c r="AZ10" i="2"/>
  <c r="AZ11" i="2"/>
  <c r="AZ12" i="2"/>
  <c r="AZ13" i="2"/>
  <c r="AZ3" i="2"/>
  <c r="AW14" i="2"/>
  <c r="AW13" i="2"/>
  <c r="AW12" i="2"/>
  <c r="AW11" i="2"/>
  <c r="AW10" i="2"/>
  <c r="AW9" i="2"/>
  <c r="AW8" i="2"/>
  <c r="AW7" i="2"/>
  <c r="AX14" i="2"/>
  <c r="AX13" i="2"/>
  <c r="AX12" i="2"/>
  <c r="AX11" i="2"/>
  <c r="AX10" i="2"/>
  <c r="AX9" i="2"/>
  <c r="AX8" i="2"/>
  <c r="AX7" i="2"/>
  <c r="AY14" i="2"/>
  <c r="AY13" i="2"/>
  <c r="AY12" i="2"/>
  <c r="AY11" i="2"/>
  <c r="AY10" i="2"/>
  <c r="AY9" i="2"/>
  <c r="AY8" i="2"/>
  <c r="AY7" i="2"/>
  <c r="AY6" i="2"/>
  <c r="AX6" i="2"/>
  <c r="AW6" i="2"/>
  <c r="AY5" i="2"/>
  <c r="AX5" i="2"/>
  <c r="AW5" i="2"/>
  <c r="AY4" i="2"/>
  <c r="AX4" i="2"/>
  <c r="AW4" i="2"/>
  <c r="AW3" i="2"/>
  <c r="AY3" i="2"/>
  <c r="AX3" i="2"/>
  <c r="BL33" i="2"/>
  <c r="BL37" i="2" s="1"/>
  <c r="BL32" i="2"/>
  <c r="BR33" i="2"/>
  <c r="BQ33" i="2"/>
  <c r="BR32" i="2"/>
  <c r="BQ32" i="2"/>
  <c r="BR31" i="2"/>
  <c r="BQ31" i="2"/>
  <c r="BK39" i="2"/>
  <c r="BL39" i="2"/>
  <c r="BM39" i="2"/>
  <c r="BK38" i="2"/>
  <c r="BL38" i="2"/>
  <c r="BM38" i="2"/>
  <c r="BK37" i="2"/>
  <c r="BM37" i="2"/>
  <c r="BK36" i="2"/>
  <c r="BL36" i="2"/>
  <c r="BM36" i="2"/>
  <c r="BJ39" i="2"/>
  <c r="BJ38" i="2"/>
  <c r="BJ37" i="2"/>
  <c r="BJ36" i="2"/>
  <c r="BJ31" i="2"/>
  <c r="BJ34" i="2"/>
  <c r="BJ33" i="2"/>
  <c r="BM34" i="2"/>
  <c r="BL34" i="2"/>
  <c r="BK34" i="2"/>
  <c r="BM33" i="2"/>
  <c r="BK33" i="2"/>
  <c r="BJ32" i="2"/>
  <c r="BM31" i="2"/>
  <c r="BL31" i="2"/>
  <c r="BK31" i="2"/>
  <c r="AL35" i="9"/>
  <c r="AN35" i="9"/>
  <c r="C288" i="8"/>
  <c r="B288" i="8"/>
  <c r="C287" i="8"/>
  <c r="B287" i="8"/>
  <c r="C286" i="8"/>
  <c r="B286" i="8"/>
  <c r="A286" i="8"/>
  <c r="H246" i="8"/>
  <c r="O246" i="8"/>
  <c r="P246" i="8"/>
  <c r="G247" i="8"/>
  <c r="H247" i="8"/>
  <c r="O247" i="8"/>
  <c r="P247" i="8"/>
  <c r="G248" i="8"/>
  <c r="H248" i="8"/>
  <c r="O248" i="8"/>
  <c r="P248" i="8"/>
  <c r="H249" i="8"/>
  <c r="J249" i="8"/>
  <c r="O249" i="8"/>
  <c r="P249" i="8"/>
  <c r="H250" i="8"/>
  <c r="J250" i="8"/>
  <c r="O250" i="8"/>
  <c r="P250" i="8"/>
  <c r="G251" i="8"/>
  <c r="H251" i="8"/>
  <c r="J251" i="8"/>
  <c r="O251" i="8"/>
  <c r="P251" i="8"/>
  <c r="G252" i="8"/>
  <c r="H252" i="8"/>
  <c r="J252" i="8"/>
  <c r="O252" i="8"/>
  <c r="P252" i="8"/>
  <c r="G253" i="8"/>
  <c r="H253" i="8"/>
  <c r="J253" i="8"/>
  <c r="O253" i="8"/>
  <c r="P253" i="8"/>
  <c r="H254" i="8"/>
  <c r="O254" i="8"/>
  <c r="P254" i="8"/>
  <c r="A255" i="8"/>
  <c r="B255" i="8"/>
  <c r="C255" i="8"/>
  <c r="G255" i="8"/>
  <c r="H255" i="8"/>
  <c r="O255" i="8"/>
  <c r="P255" i="8"/>
  <c r="G256" i="8"/>
  <c r="H256" i="8"/>
  <c r="O256" i="8"/>
  <c r="P256" i="8"/>
  <c r="G257" i="8"/>
  <c r="H257" i="8"/>
  <c r="J257" i="8"/>
  <c r="O257" i="8"/>
  <c r="P257" i="8"/>
  <c r="H258" i="8"/>
  <c r="J258" i="8"/>
  <c r="O258" i="8"/>
  <c r="P258" i="8"/>
  <c r="G259" i="8"/>
  <c r="H259" i="8"/>
  <c r="J259" i="8"/>
  <c r="O259" i="8"/>
  <c r="P259" i="8"/>
  <c r="G260" i="8"/>
  <c r="H260" i="8"/>
  <c r="J260" i="8"/>
  <c r="O260" i="8"/>
  <c r="P260" i="8"/>
  <c r="H261" i="8"/>
  <c r="J261" i="8"/>
  <c r="O261" i="8"/>
  <c r="P261" i="8"/>
  <c r="H262" i="8"/>
  <c r="J262" i="8"/>
  <c r="O262" i="8"/>
  <c r="P262" i="8"/>
  <c r="G263" i="8"/>
  <c r="H263" i="8"/>
  <c r="J263" i="8"/>
  <c r="O263" i="8"/>
  <c r="P263" i="8"/>
  <c r="G264" i="8"/>
  <c r="H264" i="8"/>
  <c r="J264" i="8"/>
  <c r="O264" i="8"/>
  <c r="P264" i="8"/>
  <c r="G265" i="8"/>
  <c r="H265" i="8"/>
  <c r="J265" i="8"/>
  <c r="O265" i="8"/>
  <c r="P265" i="8"/>
  <c r="H266" i="8"/>
  <c r="J266" i="8"/>
  <c r="O266" i="8"/>
  <c r="P266" i="8"/>
  <c r="G267" i="8"/>
  <c r="H267" i="8"/>
  <c r="J267" i="8"/>
  <c r="O267" i="8"/>
  <c r="P267" i="8"/>
  <c r="G268" i="8"/>
  <c r="H268" i="8"/>
  <c r="J268" i="8"/>
  <c r="O268" i="8"/>
  <c r="P268" i="8"/>
  <c r="G269" i="8"/>
  <c r="H269" i="8"/>
  <c r="J269" i="8"/>
  <c r="O269" i="8"/>
  <c r="P269" i="8"/>
  <c r="H270" i="8"/>
  <c r="O270" i="8"/>
  <c r="P270" i="8"/>
  <c r="G271" i="8"/>
  <c r="H271" i="8"/>
  <c r="O271" i="8"/>
  <c r="P271" i="8"/>
  <c r="G272" i="8"/>
  <c r="H272" i="8"/>
  <c r="O272" i="8"/>
  <c r="P272" i="8"/>
  <c r="H273" i="8"/>
  <c r="J273" i="8"/>
  <c r="O273" i="8"/>
  <c r="P273" i="8"/>
  <c r="H274" i="8"/>
  <c r="J274" i="8"/>
  <c r="O274" i="8"/>
  <c r="P274" i="8"/>
  <c r="G275" i="8"/>
  <c r="H275" i="8"/>
  <c r="J275" i="8"/>
  <c r="O275" i="8"/>
  <c r="P275" i="8"/>
  <c r="G276" i="8"/>
  <c r="H276" i="8"/>
  <c r="J276" i="8"/>
  <c r="O276" i="8"/>
  <c r="P276" i="8"/>
  <c r="G277" i="8"/>
  <c r="H277" i="8"/>
  <c r="J277" i="8"/>
  <c r="O277" i="8"/>
  <c r="P277" i="8"/>
  <c r="H278" i="8"/>
  <c r="J278" i="8"/>
  <c r="O278" i="8"/>
  <c r="P278" i="8"/>
  <c r="G279" i="8"/>
  <c r="H279" i="8"/>
  <c r="J279" i="8"/>
  <c r="O279" i="8"/>
  <c r="P279" i="8"/>
  <c r="A280" i="8"/>
  <c r="B280" i="8"/>
  <c r="C280" i="8"/>
  <c r="G280" i="8"/>
  <c r="H280" i="8"/>
  <c r="J280" i="8"/>
  <c r="O280" i="8"/>
  <c r="P280" i="8"/>
  <c r="G281" i="8"/>
  <c r="H281" i="8"/>
  <c r="J281" i="8"/>
  <c r="O281" i="8"/>
  <c r="P281" i="8"/>
  <c r="G245" i="8"/>
  <c r="H245" i="8"/>
  <c r="I245" i="8"/>
  <c r="O245" i="8"/>
  <c r="P245" i="8"/>
  <c r="Q245" i="8"/>
  <c r="C236" i="8"/>
  <c r="C235" i="8"/>
  <c r="C234" i="8"/>
  <c r="B240" i="8"/>
  <c r="E236" i="8" s="1"/>
  <c r="A240" i="8"/>
  <c r="D236" i="8" s="1"/>
  <c r="B237" i="8"/>
  <c r="E235" i="8" s="1"/>
  <c r="A237" i="8"/>
  <c r="D235" i="8" s="1"/>
  <c r="B234" i="8"/>
  <c r="E234" i="8" s="1"/>
  <c r="A234" i="8"/>
  <c r="D234" i="8" s="1"/>
  <c r="D206" i="8"/>
  <c r="C206" i="8"/>
  <c r="C212" i="8" s="1"/>
  <c r="C224" i="8" s="1"/>
  <c r="D205" i="8"/>
  <c r="D213" i="8" s="1"/>
  <c r="D222" i="8" s="1"/>
  <c r="C205" i="8"/>
  <c r="D204" i="8"/>
  <c r="D214" i="8" s="1"/>
  <c r="D220" i="8" s="1"/>
  <c r="C204" i="8"/>
  <c r="C214" i="8" s="1"/>
  <c r="C220" i="8" s="1"/>
  <c r="D203" i="8"/>
  <c r="C203" i="8"/>
  <c r="D198" i="8"/>
  <c r="C198" i="8"/>
  <c r="C197" i="8"/>
  <c r="D216" i="8" s="1"/>
  <c r="D221" i="8" s="1"/>
  <c r="D196" i="8"/>
  <c r="C196" i="8"/>
  <c r="C195" i="8"/>
  <c r="D194" i="8"/>
  <c r="C194" i="8"/>
  <c r="C185" i="8"/>
  <c r="C184" i="8"/>
  <c r="C183" i="8"/>
  <c r="C182" i="8"/>
  <c r="A176" i="8"/>
  <c r="J140" i="8"/>
  <c r="A135" i="8"/>
  <c r="B135" i="8"/>
  <c r="A136" i="8"/>
  <c r="B136" i="8"/>
  <c r="J136" i="8"/>
  <c r="A137" i="8"/>
  <c r="B137" i="8"/>
  <c r="J137" i="8"/>
  <c r="A138" i="8"/>
  <c r="B138" i="8"/>
  <c r="J138" i="8"/>
  <c r="A139" i="8"/>
  <c r="B139" i="8"/>
  <c r="A140" i="8"/>
  <c r="B140" i="8"/>
  <c r="A141" i="8"/>
  <c r="B141" i="8"/>
  <c r="J141" i="8"/>
  <c r="A142" i="8"/>
  <c r="B142" i="8"/>
  <c r="A143" i="8"/>
  <c r="B143" i="8"/>
  <c r="J143" i="8"/>
  <c r="A144" i="8"/>
  <c r="B144" i="8"/>
  <c r="J144" i="8"/>
  <c r="A145" i="8"/>
  <c r="B145" i="8"/>
  <c r="A146" i="8"/>
  <c r="B146" i="8"/>
  <c r="A147" i="8"/>
  <c r="B147" i="8"/>
  <c r="J147" i="8"/>
  <c r="A148" i="8"/>
  <c r="B148" i="8"/>
  <c r="J148" i="8"/>
  <c r="A149" i="8"/>
  <c r="B149" i="8"/>
  <c r="A150" i="8"/>
  <c r="B150" i="8"/>
  <c r="J150" i="8"/>
  <c r="A151" i="8"/>
  <c r="B151" i="8"/>
  <c r="J151" i="8"/>
  <c r="A152" i="8"/>
  <c r="B152" i="8"/>
  <c r="J152" i="8"/>
  <c r="A153" i="8"/>
  <c r="B153" i="8"/>
  <c r="J153" i="8"/>
  <c r="A154" i="8"/>
  <c r="B154" i="8"/>
  <c r="A155" i="8"/>
  <c r="B155" i="8"/>
  <c r="J155" i="8"/>
  <c r="A156" i="8"/>
  <c r="B156" i="8"/>
  <c r="H156" i="8"/>
  <c r="J156" i="8"/>
  <c r="A157" i="8"/>
  <c r="B157" i="8"/>
  <c r="J157" i="8"/>
  <c r="A158" i="8"/>
  <c r="B158" i="8"/>
  <c r="A159" i="8"/>
  <c r="B159" i="8"/>
  <c r="J159" i="8"/>
  <c r="A160" i="8"/>
  <c r="B160" i="8"/>
  <c r="J160" i="8"/>
  <c r="A161" i="8"/>
  <c r="B161" i="8"/>
  <c r="A162" i="8"/>
  <c r="B162" i="8"/>
  <c r="A163" i="8"/>
  <c r="B163" i="8"/>
  <c r="J163" i="8"/>
  <c r="A164" i="8"/>
  <c r="B164" i="8"/>
  <c r="J164" i="8"/>
  <c r="A165" i="8"/>
  <c r="B165" i="8"/>
  <c r="A166" i="8"/>
  <c r="B166" i="8"/>
  <c r="J166" i="8"/>
  <c r="A167" i="8"/>
  <c r="B167" i="8"/>
  <c r="J167" i="8"/>
  <c r="A168" i="8"/>
  <c r="B168" i="8"/>
  <c r="A169" i="8"/>
  <c r="B169" i="8"/>
  <c r="J169" i="8"/>
  <c r="A170" i="8"/>
  <c r="B170" i="8"/>
  <c r="J170" i="8"/>
  <c r="B134" i="8"/>
  <c r="C134" i="8"/>
  <c r="D134" i="8"/>
  <c r="E134" i="8"/>
  <c r="F134" i="8"/>
  <c r="G134" i="8"/>
  <c r="H134" i="8"/>
  <c r="I134" i="8"/>
  <c r="J134" i="8"/>
  <c r="A134" i="8"/>
  <c r="G88" i="8"/>
  <c r="H88" i="8"/>
  <c r="G89" i="8"/>
  <c r="H89" i="8"/>
  <c r="G90" i="8"/>
  <c r="H90" i="8"/>
  <c r="G91" i="8"/>
  <c r="H91" i="8"/>
  <c r="G92" i="8"/>
  <c r="H92" i="8"/>
  <c r="D93" i="8"/>
  <c r="G93" i="8"/>
  <c r="H93" i="8"/>
  <c r="G94" i="8"/>
  <c r="H94" i="8"/>
  <c r="G95" i="8"/>
  <c r="H95" i="8"/>
  <c r="G96" i="8"/>
  <c r="H96" i="8"/>
  <c r="G97" i="8"/>
  <c r="H97" i="8"/>
  <c r="G98" i="8"/>
  <c r="H98" i="8"/>
  <c r="G99" i="8"/>
  <c r="H99" i="8"/>
  <c r="G100" i="8"/>
  <c r="H100" i="8"/>
  <c r="G101" i="8"/>
  <c r="H101" i="8"/>
  <c r="G102" i="8"/>
  <c r="H102" i="8"/>
  <c r="G103" i="8"/>
  <c r="H103" i="8"/>
  <c r="G104" i="8"/>
  <c r="H104" i="8"/>
  <c r="G105" i="8"/>
  <c r="H105" i="8"/>
  <c r="G106" i="8"/>
  <c r="H106" i="8"/>
  <c r="G107" i="8"/>
  <c r="H107" i="8"/>
  <c r="G108" i="8"/>
  <c r="H108" i="8"/>
  <c r="G109" i="8"/>
  <c r="H109" i="8"/>
  <c r="G110" i="8"/>
  <c r="H110" i="8"/>
  <c r="G111" i="8"/>
  <c r="H111" i="8"/>
  <c r="G112" i="8"/>
  <c r="H112" i="8"/>
  <c r="G113" i="8"/>
  <c r="H113" i="8"/>
  <c r="G114" i="8"/>
  <c r="H114" i="8"/>
  <c r="A115" i="8"/>
  <c r="B115" i="8"/>
  <c r="C115" i="8"/>
  <c r="G115" i="8"/>
  <c r="H115" i="8"/>
  <c r="G116" i="8"/>
  <c r="H116" i="8"/>
  <c r="G117" i="8"/>
  <c r="H117" i="8"/>
  <c r="G118" i="8"/>
  <c r="H118" i="8"/>
  <c r="G119" i="8"/>
  <c r="H119" i="8"/>
  <c r="A120" i="8"/>
  <c r="B120" i="8"/>
  <c r="C120" i="8"/>
  <c r="G120" i="8"/>
  <c r="H120" i="8"/>
  <c r="G121" i="8"/>
  <c r="H121" i="8"/>
  <c r="G122" i="8"/>
  <c r="H122" i="8"/>
  <c r="G123" i="8"/>
  <c r="H123" i="8"/>
  <c r="G87" i="8"/>
  <c r="H87" i="8"/>
  <c r="G82" i="8"/>
  <c r="G170" i="8" s="1"/>
  <c r="H82" i="8"/>
  <c r="H170" i="8" s="1"/>
  <c r="H81" i="8"/>
  <c r="H169" i="8" s="1"/>
  <c r="G80" i="8"/>
  <c r="G168" i="8" s="1"/>
  <c r="H80" i="8"/>
  <c r="H168" i="8" s="1"/>
  <c r="G79" i="8"/>
  <c r="G167" i="8" s="1"/>
  <c r="H79" i="8"/>
  <c r="H167" i="8" s="1"/>
  <c r="H78" i="8"/>
  <c r="H166" i="8" s="1"/>
  <c r="G77" i="8"/>
  <c r="G165" i="8" s="1"/>
  <c r="H77" i="8"/>
  <c r="H165" i="8" s="1"/>
  <c r="G76" i="8"/>
  <c r="G164" i="8" s="1"/>
  <c r="H76" i="8"/>
  <c r="H164" i="8" s="1"/>
  <c r="H75" i="8"/>
  <c r="H163" i="8" s="1"/>
  <c r="G74" i="8"/>
  <c r="G162" i="8" s="1"/>
  <c r="H74" i="8"/>
  <c r="H162" i="8" s="1"/>
  <c r="G73" i="8"/>
  <c r="G161" i="8" s="1"/>
  <c r="H73" i="8"/>
  <c r="H161" i="8" s="1"/>
  <c r="G72" i="8"/>
  <c r="G160" i="8" s="1"/>
  <c r="H72" i="8"/>
  <c r="H160" i="8" s="1"/>
  <c r="G71" i="8"/>
  <c r="G159" i="8" s="1"/>
  <c r="H71" i="8"/>
  <c r="H159" i="8" s="1"/>
  <c r="G70" i="8"/>
  <c r="G158" i="8" s="1"/>
  <c r="H70" i="8"/>
  <c r="H158" i="8" s="1"/>
  <c r="G69" i="8"/>
  <c r="G157" i="8" s="1"/>
  <c r="H69" i="8"/>
  <c r="H157" i="8" s="1"/>
  <c r="G67" i="8"/>
  <c r="G155" i="8" s="1"/>
  <c r="H67" i="8"/>
  <c r="H155" i="8" s="1"/>
  <c r="G68" i="8"/>
  <c r="G156" i="8" s="1"/>
  <c r="H68" i="8"/>
  <c r="H66" i="8"/>
  <c r="H154" i="8" s="1"/>
  <c r="G65" i="8"/>
  <c r="G153" i="8" s="1"/>
  <c r="H65" i="8"/>
  <c r="H153" i="8" s="1"/>
  <c r="C65" i="8"/>
  <c r="H62" i="8"/>
  <c r="H150" i="8" s="1"/>
  <c r="G63" i="8"/>
  <c r="G151" i="8" s="1"/>
  <c r="H63" i="8"/>
  <c r="H151" i="8" s="1"/>
  <c r="G64" i="8"/>
  <c r="G152" i="8" s="1"/>
  <c r="H64" i="8"/>
  <c r="H152" i="8" s="1"/>
  <c r="H61" i="8"/>
  <c r="H149" i="8" s="1"/>
  <c r="H59" i="8"/>
  <c r="H147" i="8" s="1"/>
  <c r="G60" i="8"/>
  <c r="G148" i="8" s="1"/>
  <c r="H60" i="8"/>
  <c r="H148" i="8" s="1"/>
  <c r="H58" i="8"/>
  <c r="H146" i="8" s="1"/>
  <c r="H57" i="8"/>
  <c r="H145" i="8" s="1"/>
  <c r="G55" i="8"/>
  <c r="G143" i="8" s="1"/>
  <c r="H55" i="8"/>
  <c r="H143" i="8" s="1"/>
  <c r="G56" i="8"/>
  <c r="G144" i="8" s="1"/>
  <c r="H56" i="8"/>
  <c r="H144" i="8" s="1"/>
  <c r="H54" i="8"/>
  <c r="H142" i="8" s="1"/>
  <c r="G52" i="8"/>
  <c r="G140" i="8" s="1"/>
  <c r="H52" i="8"/>
  <c r="H140" i="8" s="1"/>
  <c r="G53" i="8"/>
  <c r="G141" i="8" s="1"/>
  <c r="H53" i="8"/>
  <c r="H141" i="8" s="1"/>
  <c r="H51" i="8"/>
  <c r="H139" i="8" s="1"/>
  <c r="G50" i="8"/>
  <c r="G138" i="8" s="1"/>
  <c r="H50" i="8"/>
  <c r="H138" i="8" s="1"/>
  <c r="C50" i="8"/>
  <c r="C138" i="8" s="1"/>
  <c r="G48" i="8"/>
  <c r="G136" i="8" s="1"/>
  <c r="H48" i="8"/>
  <c r="H136" i="8" s="1"/>
  <c r="G49" i="8"/>
  <c r="G137" i="8" s="1"/>
  <c r="H49" i="8"/>
  <c r="H137" i="8" s="1"/>
  <c r="H47" i="8"/>
  <c r="H135" i="8" s="1"/>
  <c r="H175" i="10"/>
  <c r="H176" i="10"/>
  <c r="Y31" i="9"/>
  <c r="Y29" i="9"/>
  <c r="O24" i="9"/>
  <c r="O23" i="9"/>
  <c r="O22" i="9"/>
  <c r="O21" i="9"/>
  <c r="N24" i="9"/>
  <c r="N23" i="9"/>
  <c r="N22" i="9"/>
  <c r="N21" i="9"/>
  <c r="V19" i="9"/>
  <c r="V13" i="9" s="1"/>
  <c r="R44" i="9" s="1"/>
  <c r="F36" i="9"/>
  <c r="BK6" i="2"/>
  <c r="BJ6" i="2"/>
  <c r="BK5" i="2"/>
  <c r="BJ5" i="2"/>
  <c r="BM5" i="2"/>
  <c r="BL5" i="2"/>
  <c r="BM6" i="2"/>
  <c r="BL6" i="2"/>
  <c r="F36" i="8"/>
  <c r="I36" i="8" s="1"/>
  <c r="F11" i="8"/>
  <c r="F34" i="5"/>
  <c r="F120" i="8" s="1"/>
  <c r="I120" i="8" s="1"/>
  <c r="F29" i="5"/>
  <c r="F115" i="8" s="1"/>
  <c r="I115" i="8" s="1"/>
  <c r="F11" i="9"/>
  <c r="F37" i="9"/>
  <c r="D7" i="5"/>
  <c r="AU64" i="2"/>
  <c r="AS4" i="2"/>
  <c r="AR3" i="2"/>
  <c r="L99" i="2"/>
  <c r="F101" i="2"/>
  <c r="I49" i="2"/>
  <c r="G49" i="2"/>
  <c r="I48" i="2"/>
  <c r="G48" i="2"/>
  <c r="I47" i="2"/>
  <c r="I46" i="2"/>
  <c r="G45" i="2"/>
  <c r="I45" i="2"/>
  <c r="G41" i="2"/>
  <c r="I41" i="2"/>
  <c r="I40" i="2"/>
  <c r="G40" i="2"/>
  <c r="I39" i="2"/>
  <c r="G39" i="2"/>
  <c r="I37" i="2"/>
  <c r="G37" i="2"/>
  <c r="B37" i="2"/>
  <c r="I36" i="2"/>
  <c r="G36" i="2"/>
  <c r="G35" i="2"/>
  <c r="I35" i="2"/>
  <c r="G34" i="2"/>
  <c r="I34" i="2"/>
  <c r="G33" i="2"/>
  <c r="I33" i="2"/>
  <c r="G32" i="2"/>
  <c r="I32" i="2"/>
  <c r="I31" i="2"/>
  <c r="G31" i="2"/>
  <c r="E32" i="2"/>
  <c r="I30" i="2"/>
  <c r="G30" i="2"/>
  <c r="I29" i="2"/>
  <c r="G29" i="2"/>
  <c r="B29" i="2"/>
  <c r="I28" i="2"/>
  <c r="G28" i="2"/>
  <c r="I27" i="2"/>
  <c r="G27" i="2"/>
  <c r="I26" i="2"/>
  <c r="G26" i="2"/>
  <c r="I25" i="2"/>
  <c r="G25" i="2"/>
  <c r="G24" i="2"/>
  <c r="I24" i="2"/>
  <c r="I23" i="2"/>
  <c r="G23" i="2"/>
  <c r="C216" i="8" l="1"/>
  <c r="C221" i="8" s="1"/>
  <c r="K115" i="8"/>
  <c r="D212" i="8"/>
  <c r="D224" i="8" s="1"/>
  <c r="C215" i="8"/>
  <c r="C223" i="8" s="1"/>
  <c r="D182" i="8"/>
  <c r="I280" i="8"/>
  <c r="K280" i="8" s="1"/>
  <c r="I341" i="8"/>
  <c r="Q36" i="8"/>
  <c r="I65" i="8"/>
  <c r="I153" i="8" s="1"/>
  <c r="L36" i="8"/>
  <c r="M36" i="8" s="1"/>
  <c r="BI379" i="8" s="1"/>
  <c r="C153" i="8"/>
  <c r="F255" i="8"/>
  <c r="F316" i="8"/>
  <c r="F465" i="8" s="1"/>
  <c r="I11" i="8"/>
  <c r="F50" i="8"/>
  <c r="F138" i="8" s="1"/>
  <c r="F65" i="8"/>
  <c r="F153" i="8" s="1"/>
  <c r="C213" i="8"/>
  <c r="C222" i="8" s="1"/>
  <c r="K120" i="8"/>
  <c r="F341" i="8"/>
  <c r="F490" i="8" s="1"/>
  <c r="F280" i="8"/>
  <c r="D215" i="8"/>
  <c r="D223" i="8" s="1"/>
  <c r="C98" i="10"/>
  <c r="E98" i="10" s="1"/>
  <c r="BE98" i="2"/>
  <c r="AY34" i="2"/>
  <c r="G22" i="2"/>
  <c r="I22" i="2"/>
  <c r="I21" i="2"/>
  <c r="G21" i="2"/>
  <c r="I20" i="2"/>
  <c r="G20" i="2"/>
  <c r="I19" i="2"/>
  <c r="G19" i="2"/>
  <c r="G18" i="2"/>
  <c r="G17" i="2"/>
  <c r="M17" i="2"/>
  <c r="I17" i="2"/>
  <c r="N17" i="2"/>
  <c r="G15" i="2"/>
  <c r="C15" i="2"/>
  <c r="D15" i="2"/>
  <c r="I14" i="2"/>
  <c r="G14" i="2"/>
  <c r="I13" i="2"/>
  <c r="G13" i="2"/>
  <c r="I12" i="2"/>
  <c r="G12" i="2"/>
  <c r="I11" i="2"/>
  <c r="G11" i="2"/>
  <c r="I10" i="2"/>
  <c r="G10" i="2"/>
  <c r="I9" i="2"/>
  <c r="G9" i="2"/>
  <c r="I8" i="2"/>
  <c r="G8" i="2"/>
  <c r="I7" i="2"/>
  <c r="G7" i="2"/>
  <c r="I6" i="2"/>
  <c r="G6" i="2"/>
  <c r="I5" i="2"/>
  <c r="G5" i="2"/>
  <c r="K153" i="8" l="1"/>
  <c r="K65" i="8"/>
  <c r="L65" i="8" s="1"/>
  <c r="R36" i="8"/>
  <c r="Q280" i="8"/>
  <c r="I490" i="8"/>
  <c r="K490" i="8" s="1"/>
  <c r="L341" i="8"/>
  <c r="M341" i="8" s="1"/>
  <c r="J390" i="8" s="1"/>
  <c r="I255" i="8"/>
  <c r="K255" i="8" s="1"/>
  <c r="I316" i="8"/>
  <c r="I50" i="8"/>
  <c r="Q11" i="8"/>
  <c r="L11" i="8"/>
  <c r="M11" i="8" s="1"/>
  <c r="I4" i="2"/>
  <c r="G4" i="2"/>
  <c r="I3" i="2"/>
  <c r="G3" i="2"/>
  <c r="J2" i="2"/>
  <c r="I2" i="2"/>
  <c r="G2" i="2"/>
  <c r="N490" i="8" l="1"/>
  <c r="Y474" i="8" s="1"/>
  <c r="M490" i="8"/>
  <c r="R11" i="8"/>
  <c r="Q255" i="8"/>
  <c r="A418" i="8"/>
  <c r="BH379" i="8"/>
  <c r="BI363" i="8"/>
  <c r="I138" i="8"/>
  <c r="K138" i="8" s="1"/>
  <c r="K50" i="8"/>
  <c r="L50" i="8" s="1"/>
  <c r="I465" i="8"/>
  <c r="K465" i="8" s="1"/>
  <c r="L316" i="8"/>
  <c r="M316" i="8" s="1"/>
  <c r="M385" i="8" s="1"/>
  <c r="N261" i="10"/>
  <c r="N254" i="10"/>
  <c r="AB262" i="10"/>
  <c r="AB259" i="10"/>
  <c r="AA259" i="10"/>
  <c r="AB253" i="10"/>
  <c r="AA253" i="10"/>
  <c r="X254" i="10"/>
  <c r="W253" i="10"/>
  <c r="P254" i="10"/>
  <c r="K254" i="10"/>
  <c r="J254" i="10"/>
  <c r="G255" i="10"/>
  <c r="D254" i="10"/>
  <c r="C254" i="10"/>
  <c r="B263" i="10"/>
  <c r="H183" i="10"/>
  <c r="AC262" i="10"/>
  <c r="AA262" i="10"/>
  <c r="AC259" i="10"/>
  <c r="N263" i="10"/>
  <c r="N264" i="10"/>
  <c r="N262" i="10"/>
  <c r="R255" i="10"/>
  <c r="R256" i="10"/>
  <c r="R257" i="10"/>
  <c r="R254" i="10"/>
  <c r="AC255" i="10"/>
  <c r="AA255" i="10"/>
  <c r="AC253" i="10"/>
  <c r="Y256" i="10"/>
  <c r="Y255" i="10"/>
  <c r="Y254" i="10"/>
  <c r="Y253" i="10"/>
  <c r="X256" i="10"/>
  <c r="X255" i="10"/>
  <c r="AB255" i="10"/>
  <c r="X253" i="10"/>
  <c r="W256" i="10"/>
  <c r="W255" i="10"/>
  <c r="W254" i="10"/>
  <c r="P257" i="10"/>
  <c r="P256" i="10"/>
  <c r="P255" i="10"/>
  <c r="N256" i="10"/>
  <c r="N255" i="10"/>
  <c r="N257" i="10"/>
  <c r="L255" i="10"/>
  <c r="L256" i="10"/>
  <c r="L257" i="10"/>
  <c r="L254" i="10"/>
  <c r="K256" i="10"/>
  <c r="J255" i="10"/>
  <c r="J256" i="10"/>
  <c r="J257" i="10"/>
  <c r="B267" i="10"/>
  <c r="B266" i="10"/>
  <c r="B260" i="10"/>
  <c r="B261" i="10"/>
  <c r="B262" i="10"/>
  <c r="B259" i="10"/>
  <c r="B258" i="10"/>
  <c r="B255" i="10"/>
  <c r="B256" i="10"/>
  <c r="B257" i="10"/>
  <c r="B254" i="10"/>
  <c r="E240" i="10"/>
  <c r="D240" i="10"/>
  <c r="C240" i="10"/>
  <c r="E230" i="10"/>
  <c r="D230" i="10"/>
  <c r="C230" i="10"/>
  <c r="E173" i="10"/>
  <c r="D173" i="10"/>
  <c r="C173" i="10"/>
  <c r="E163" i="10"/>
  <c r="D163" i="10"/>
  <c r="C163" i="10"/>
  <c r="B8" i="10"/>
  <c r="B211" i="10" s="1"/>
  <c r="LQ149" i="10"/>
  <c r="LR149" i="10" s="1"/>
  <c r="LS149" i="10" s="1"/>
  <c r="LQ147" i="10"/>
  <c r="LR147" i="10" s="1"/>
  <c r="LS147" i="10" s="1"/>
  <c r="LR148" i="10"/>
  <c r="LS148" i="10" s="1"/>
  <c r="HC137" i="10"/>
  <c r="HD137" i="10" s="1"/>
  <c r="HE137" i="10" s="1"/>
  <c r="HC135" i="10"/>
  <c r="HD135" i="10" s="1"/>
  <c r="HE135" i="10" s="1"/>
  <c r="HD136" i="10"/>
  <c r="HE136" i="10" s="1"/>
  <c r="DG124" i="10"/>
  <c r="DH124" i="10" s="1"/>
  <c r="DI124" i="10" s="1"/>
  <c r="DG122" i="10"/>
  <c r="DH123" i="10"/>
  <c r="DI123" i="10" s="1"/>
  <c r="DH122" i="10"/>
  <c r="DI122" i="10" s="1"/>
  <c r="BS109" i="10"/>
  <c r="BT109" i="10" s="1"/>
  <c r="BU109" i="10" s="1"/>
  <c r="BT111" i="10"/>
  <c r="BU111" i="10" s="1"/>
  <c r="BT110" i="10"/>
  <c r="BU110" i="10" s="1"/>
  <c r="B103" i="10"/>
  <c r="C5" i="10"/>
  <c r="A5" i="10"/>
  <c r="B5" i="10" s="1"/>
  <c r="N465" i="8" l="1"/>
  <c r="S469" i="8" s="1"/>
  <c r="M465" i="8"/>
  <c r="A393" i="8"/>
  <c r="BH363" i="8"/>
  <c r="B221" i="10"/>
  <c r="B206" i="10"/>
  <c r="B216" i="10"/>
  <c r="B217" i="10"/>
  <c r="B222" i="10"/>
  <c r="B207" i="10"/>
  <c r="B212" i="10"/>
  <c r="C103" i="10"/>
  <c r="CJ2" i="10"/>
  <c r="FP53" i="10"/>
  <c r="FQ53" i="10" s="1"/>
  <c r="FP54" i="10"/>
  <c r="FQ54" i="10" s="1"/>
  <c r="FO52" i="10"/>
  <c r="FP52" i="10" s="1"/>
  <c r="FQ52" i="10" s="1"/>
  <c r="DH41" i="10"/>
  <c r="DI41" i="10" s="1"/>
  <c r="DG42" i="10"/>
  <c r="DH42" i="10" s="1"/>
  <c r="DI42" i="10" s="1"/>
  <c r="DG40" i="10"/>
  <c r="DH40" i="10" s="1"/>
  <c r="DI40" i="10" s="1"/>
  <c r="BJ28" i="10"/>
  <c r="BK28" i="10" s="1"/>
  <c r="BI29" i="10"/>
  <c r="BJ29" i="10" s="1"/>
  <c r="BK29" i="10" s="1"/>
  <c r="BI27" i="10"/>
  <c r="BJ27" i="10" s="1"/>
  <c r="BK27" i="10" s="1"/>
  <c r="AO16" i="10"/>
  <c r="AP16" i="10" s="1"/>
  <c r="AQ16" i="10" s="1"/>
  <c r="AO15" i="10"/>
  <c r="AP15" i="10" s="1"/>
  <c r="AQ15" i="10" s="1"/>
  <c r="AO14" i="10"/>
  <c r="AP14" i="10" s="1"/>
  <c r="AQ14" i="10" s="1"/>
  <c r="C8" i="10"/>
  <c r="G4" i="10"/>
  <c r="G3" i="10"/>
  <c r="F5" i="10"/>
  <c r="D168" i="10" s="1"/>
  <c r="I196" i="10" s="1"/>
  <c r="F4" i="10"/>
  <c r="D167" i="10" s="1"/>
  <c r="H195" i="10" s="1"/>
  <c r="F3" i="10"/>
  <c r="D166" i="10" s="1"/>
  <c r="F2" i="10"/>
  <c r="D165" i="10" s="1"/>
  <c r="Q184" i="10" s="1"/>
  <c r="G2" i="10"/>
  <c r="C2" i="10"/>
  <c r="B2" i="10"/>
  <c r="A2" i="10"/>
  <c r="BC5" i="2"/>
  <c r="BC6" i="2"/>
  <c r="BK8" i="2"/>
  <c r="BK7" i="2"/>
  <c r="BG8" i="2"/>
  <c r="BG7" i="2"/>
  <c r="BG6" i="2"/>
  <c r="BG5" i="2"/>
  <c r="BC8" i="2"/>
  <c r="BC7" i="2"/>
  <c r="AB3" i="9"/>
  <c r="V6" i="9"/>
  <c r="AB14" i="9"/>
  <c r="C37" i="9"/>
  <c r="B37" i="9"/>
  <c r="A37" i="9"/>
  <c r="F35" i="9"/>
  <c r="AB18" i="9" s="1"/>
  <c r="AB12" i="9" s="1"/>
  <c r="C35" i="9"/>
  <c r="B35" i="9"/>
  <c r="A35" i="9"/>
  <c r="G34" i="9"/>
  <c r="F34" i="9"/>
  <c r="R6" i="9" s="1"/>
  <c r="C34" i="9"/>
  <c r="B34" i="9"/>
  <c r="A34" i="9"/>
  <c r="F33" i="9"/>
  <c r="AB6" i="9" s="1"/>
  <c r="C33" i="9"/>
  <c r="B33" i="9"/>
  <c r="A33" i="9"/>
  <c r="F32" i="9"/>
  <c r="AB4" i="9" s="1"/>
  <c r="C32" i="9"/>
  <c r="B32" i="9"/>
  <c r="A32" i="9"/>
  <c r="F31" i="9"/>
  <c r="AB17" i="9" s="1"/>
  <c r="AB11" i="9" s="1"/>
  <c r="C31" i="9"/>
  <c r="B31" i="9"/>
  <c r="A31" i="9"/>
  <c r="G30" i="9"/>
  <c r="F30" i="9"/>
  <c r="R5" i="9" s="1"/>
  <c r="C30" i="9"/>
  <c r="B30" i="9"/>
  <c r="A30" i="9"/>
  <c r="G29" i="9"/>
  <c r="F29" i="9"/>
  <c r="R4" i="9" s="1"/>
  <c r="C29" i="9"/>
  <c r="B29" i="9"/>
  <c r="A29" i="9"/>
  <c r="F28" i="9"/>
  <c r="AB5" i="9" s="1"/>
  <c r="C28" i="9"/>
  <c r="B28" i="9"/>
  <c r="A28" i="9"/>
  <c r="F27" i="9"/>
  <c r="AB13" i="9" s="1"/>
  <c r="C27" i="9"/>
  <c r="B27" i="9"/>
  <c r="A27" i="9"/>
  <c r="G26" i="9"/>
  <c r="F26" i="9"/>
  <c r="R3" i="9" s="1"/>
  <c r="C26" i="9"/>
  <c r="B26" i="9"/>
  <c r="A26" i="9"/>
  <c r="F25" i="9"/>
  <c r="Y14" i="9" s="1"/>
  <c r="C25" i="9"/>
  <c r="B25" i="9"/>
  <c r="A25" i="9"/>
  <c r="F24" i="9"/>
  <c r="AG3" i="9" s="1"/>
  <c r="Y4" i="9" s="1"/>
  <c r="C24" i="9"/>
  <c r="B24" i="9"/>
  <c r="A24" i="9"/>
  <c r="F23" i="9"/>
  <c r="Y18" i="9" s="1"/>
  <c r="Y12" i="9" s="1"/>
  <c r="R47" i="9" s="1"/>
  <c r="C23" i="9"/>
  <c r="B23" i="9"/>
  <c r="A23" i="9"/>
  <c r="G22" i="9"/>
  <c r="F22" i="9"/>
  <c r="O6" i="9" s="1"/>
  <c r="C22" i="9"/>
  <c r="B22" i="9"/>
  <c r="A22" i="9"/>
  <c r="F21" i="9"/>
  <c r="Y6" i="9" s="1"/>
  <c r="C21" i="9"/>
  <c r="B21" i="9"/>
  <c r="A21" i="9"/>
  <c r="F20" i="9"/>
  <c r="AG4" i="9" s="1"/>
  <c r="Y3" i="9" s="1"/>
  <c r="O46" i="9" s="1"/>
  <c r="C20" i="9"/>
  <c r="B20" i="9"/>
  <c r="A20" i="9"/>
  <c r="F19" i="9"/>
  <c r="Y17" i="9" s="1"/>
  <c r="Y11" i="9" s="1"/>
  <c r="C19" i="9"/>
  <c r="B19" i="9"/>
  <c r="A19" i="9"/>
  <c r="G18" i="9"/>
  <c r="F18" i="9"/>
  <c r="O5" i="9" s="1"/>
  <c r="C18" i="9"/>
  <c r="B18" i="9"/>
  <c r="A18" i="9"/>
  <c r="G17" i="9"/>
  <c r="F17" i="9"/>
  <c r="O4" i="9" s="1"/>
  <c r="C17" i="9"/>
  <c r="B17" i="9"/>
  <c r="A17" i="9"/>
  <c r="F16" i="9"/>
  <c r="Y5" i="9" s="1"/>
  <c r="C16" i="9"/>
  <c r="B16" i="9"/>
  <c r="A16" i="9"/>
  <c r="F15" i="9"/>
  <c r="Y13" i="9" s="1"/>
  <c r="C15" i="9"/>
  <c r="B15" i="9"/>
  <c r="A15" i="9"/>
  <c r="G14" i="9"/>
  <c r="F14" i="9"/>
  <c r="O3" i="9" s="1"/>
  <c r="C14" i="9"/>
  <c r="B14" i="9"/>
  <c r="A14" i="9"/>
  <c r="F13" i="9"/>
  <c r="V14" i="9" s="1"/>
  <c r="C13" i="9"/>
  <c r="B13" i="9"/>
  <c r="A13" i="9"/>
  <c r="F12" i="9"/>
  <c r="AE3" i="9" s="1"/>
  <c r="V4" i="9" s="1"/>
  <c r="C12" i="9"/>
  <c r="B12" i="9"/>
  <c r="A12" i="9"/>
  <c r="G10" i="9"/>
  <c r="F10" i="9"/>
  <c r="L4" i="9" s="1"/>
  <c r="C10" i="9"/>
  <c r="B10" i="9"/>
  <c r="A10" i="9"/>
  <c r="F9" i="9"/>
  <c r="C9" i="9"/>
  <c r="B9" i="9"/>
  <c r="A9" i="9"/>
  <c r="F8" i="9"/>
  <c r="AE4" i="9" s="1"/>
  <c r="V3" i="9" s="1"/>
  <c r="C8" i="9"/>
  <c r="B8" i="9"/>
  <c r="A8" i="9"/>
  <c r="F7" i="9"/>
  <c r="V17" i="9" s="1"/>
  <c r="V11" i="9" s="1"/>
  <c r="C7" i="9"/>
  <c r="B7" i="9"/>
  <c r="A7" i="9"/>
  <c r="G6" i="9"/>
  <c r="F6" i="9"/>
  <c r="L5" i="9" s="1"/>
  <c r="C6" i="9"/>
  <c r="B6" i="9"/>
  <c r="A6" i="9"/>
  <c r="G5" i="9"/>
  <c r="F5" i="9"/>
  <c r="L3" i="9" s="1"/>
  <c r="C5" i="9"/>
  <c r="B5" i="9"/>
  <c r="A5" i="9"/>
  <c r="F4" i="9"/>
  <c r="V5" i="9" s="1"/>
  <c r="C4" i="9"/>
  <c r="B4" i="9"/>
  <c r="A4" i="9"/>
  <c r="F3" i="9"/>
  <c r="V18" i="9" s="1"/>
  <c r="V12" i="9" s="1"/>
  <c r="R43" i="9" s="1"/>
  <c r="C3" i="9"/>
  <c r="B3" i="9"/>
  <c r="A3" i="9"/>
  <c r="G2" i="9"/>
  <c r="F2" i="9"/>
  <c r="L6" i="9" s="1"/>
  <c r="C2" i="9"/>
  <c r="B2" i="9"/>
  <c r="A2" i="9"/>
  <c r="F1" i="9"/>
  <c r="E1" i="9"/>
  <c r="D1" i="9"/>
  <c r="C1" i="9"/>
  <c r="B1" i="9"/>
  <c r="A1" i="9"/>
  <c r="I43" i="2"/>
  <c r="G43" i="2"/>
  <c r="F37" i="8"/>
  <c r="C37" i="8"/>
  <c r="B37" i="8"/>
  <c r="A37" i="8"/>
  <c r="F25" i="8"/>
  <c r="C25" i="8"/>
  <c r="B25" i="8"/>
  <c r="A25" i="8"/>
  <c r="F13" i="8"/>
  <c r="C13" i="8"/>
  <c r="B13" i="8"/>
  <c r="A13" i="8"/>
  <c r="F24" i="8"/>
  <c r="C24" i="8"/>
  <c r="B24" i="8"/>
  <c r="A24" i="8"/>
  <c r="F12" i="8"/>
  <c r="C12" i="8"/>
  <c r="B12" i="8"/>
  <c r="A12" i="8"/>
  <c r="F35" i="8"/>
  <c r="C35" i="8"/>
  <c r="B35" i="8"/>
  <c r="A35" i="8"/>
  <c r="F23" i="8"/>
  <c r="C23" i="8"/>
  <c r="B23" i="8"/>
  <c r="A23" i="8"/>
  <c r="G34" i="8"/>
  <c r="F34" i="8"/>
  <c r="C34" i="8"/>
  <c r="B34" i="8"/>
  <c r="A34" i="8"/>
  <c r="G22" i="8"/>
  <c r="F22" i="8"/>
  <c r="C22" i="8"/>
  <c r="B22" i="8"/>
  <c r="A22" i="8"/>
  <c r="G10" i="8"/>
  <c r="F10" i="8"/>
  <c r="C10" i="8"/>
  <c r="B10" i="8"/>
  <c r="A10" i="8"/>
  <c r="F33" i="8"/>
  <c r="C33" i="8"/>
  <c r="B33" i="8"/>
  <c r="A33" i="8"/>
  <c r="F21" i="8"/>
  <c r="C21" i="8"/>
  <c r="B21" i="8"/>
  <c r="A21" i="8"/>
  <c r="F9" i="8"/>
  <c r="C9" i="8"/>
  <c r="B9" i="8"/>
  <c r="A9" i="8"/>
  <c r="F32" i="8"/>
  <c r="C32" i="8"/>
  <c r="B32" i="8"/>
  <c r="A32" i="8"/>
  <c r="F20" i="8"/>
  <c r="C20" i="8"/>
  <c r="B20" i="8"/>
  <c r="A20" i="8"/>
  <c r="F8" i="8"/>
  <c r="C8" i="8"/>
  <c r="B8" i="8"/>
  <c r="A8" i="8"/>
  <c r="F31" i="8"/>
  <c r="C31" i="8"/>
  <c r="B31" i="8"/>
  <c r="A31" i="8"/>
  <c r="F19" i="8"/>
  <c r="C19" i="8"/>
  <c r="B19" i="8"/>
  <c r="A19" i="8"/>
  <c r="F7" i="8"/>
  <c r="C7" i="8"/>
  <c r="B7" i="8"/>
  <c r="A7" i="8"/>
  <c r="G30" i="8"/>
  <c r="F30" i="8"/>
  <c r="C30" i="8"/>
  <c r="B30" i="8"/>
  <c r="A30" i="8"/>
  <c r="G18" i="8"/>
  <c r="F18" i="8"/>
  <c r="C18" i="8"/>
  <c r="B18" i="8"/>
  <c r="A18" i="8"/>
  <c r="G6" i="8"/>
  <c r="F6" i="8"/>
  <c r="C6" i="8"/>
  <c r="B6" i="8"/>
  <c r="A6" i="8"/>
  <c r="G29" i="8"/>
  <c r="F29" i="8"/>
  <c r="C29" i="8"/>
  <c r="B29" i="8"/>
  <c r="A29" i="8"/>
  <c r="G17" i="8"/>
  <c r="F17" i="8"/>
  <c r="C17" i="8"/>
  <c r="B17" i="8"/>
  <c r="A17" i="8"/>
  <c r="G5" i="8"/>
  <c r="F5" i="8"/>
  <c r="C5" i="8"/>
  <c r="B5" i="8"/>
  <c r="A5" i="8"/>
  <c r="F28" i="8"/>
  <c r="C28" i="8"/>
  <c r="B28" i="8"/>
  <c r="A28" i="8"/>
  <c r="F16" i="8"/>
  <c r="C16" i="8"/>
  <c r="B16" i="8"/>
  <c r="A16" i="8"/>
  <c r="F4" i="8"/>
  <c r="C4" i="8"/>
  <c r="B4" i="8"/>
  <c r="A4" i="8"/>
  <c r="F27" i="8"/>
  <c r="C27" i="8"/>
  <c r="B27" i="8"/>
  <c r="A27" i="8"/>
  <c r="F15" i="8"/>
  <c r="C15" i="8"/>
  <c r="B15" i="8"/>
  <c r="A15" i="8"/>
  <c r="F3" i="8"/>
  <c r="C3" i="8"/>
  <c r="B3" i="8"/>
  <c r="A3" i="8"/>
  <c r="G26" i="8"/>
  <c r="F26" i="8"/>
  <c r="C26" i="8"/>
  <c r="B26" i="8"/>
  <c r="A26" i="8"/>
  <c r="G14" i="8"/>
  <c r="F14" i="8"/>
  <c r="C14" i="8"/>
  <c r="B14" i="8"/>
  <c r="A14" i="8"/>
  <c r="G2" i="8"/>
  <c r="F2" i="8"/>
  <c r="C2" i="8"/>
  <c r="B2" i="8"/>
  <c r="A2" i="8"/>
  <c r="F1" i="8"/>
  <c r="E1" i="8"/>
  <c r="D1" i="8"/>
  <c r="C1" i="8"/>
  <c r="B1" i="8"/>
  <c r="A1" i="8"/>
  <c r="E3" i="6"/>
  <c r="E4" i="6"/>
  <c r="E5" i="6"/>
  <c r="E6" i="6"/>
  <c r="E7" i="6"/>
  <c r="E8" i="6"/>
  <c r="E9" i="6"/>
  <c r="E10" i="6"/>
  <c r="E11" i="6"/>
  <c r="E12" i="6"/>
  <c r="E13" i="6"/>
  <c r="E2" i="6"/>
  <c r="A13" i="6"/>
  <c r="A2" i="6"/>
  <c r="A3" i="6" s="1"/>
  <c r="A4" i="6" s="1"/>
  <c r="A5" i="6" s="1"/>
  <c r="A6" i="6" s="1"/>
  <c r="A7" i="6" s="1"/>
  <c r="A8" i="6" s="1"/>
  <c r="A9" i="6" s="1"/>
  <c r="A10" i="6" s="1"/>
  <c r="A11" i="6" s="1"/>
  <c r="A12" i="6" s="1"/>
  <c r="AD49" i="2"/>
  <c r="AG49" i="2" s="1"/>
  <c r="AB49" i="2"/>
  <c r="AF49" i="2" s="1"/>
  <c r="AD45" i="2"/>
  <c r="AB45" i="2"/>
  <c r="Z44" i="2"/>
  <c r="AE44" i="2"/>
  <c r="AB43" i="2"/>
  <c r="AD40" i="2"/>
  <c r="AB40" i="2"/>
  <c r="AD41" i="2"/>
  <c r="AB41" i="2"/>
  <c r="AD37" i="2"/>
  <c r="AB37" i="2"/>
  <c r="AD36" i="2"/>
  <c r="AB36" i="2"/>
  <c r="AD35" i="2"/>
  <c r="AB35" i="2"/>
  <c r="AD34" i="2"/>
  <c r="AB34" i="2"/>
  <c r="AB33" i="2"/>
  <c r="AD33" i="2"/>
  <c r="AD32" i="2"/>
  <c r="AB32" i="2"/>
  <c r="AD31" i="2"/>
  <c r="AB31" i="2"/>
  <c r="AD30" i="2"/>
  <c r="AB30" i="2"/>
  <c r="AB29" i="2"/>
  <c r="AD28" i="2"/>
  <c r="AB28" i="2"/>
  <c r="AD27" i="2"/>
  <c r="AB27" i="2"/>
  <c r="AD25" i="2"/>
  <c r="AB25" i="2"/>
  <c r="AD24" i="2"/>
  <c r="AB24" i="2"/>
  <c r="AD23" i="2"/>
  <c r="AB23" i="2"/>
  <c r="AD22" i="2"/>
  <c r="AB22" i="2"/>
  <c r="AD21" i="2"/>
  <c r="AD20" i="2"/>
  <c r="AB20" i="2"/>
  <c r="AD19" i="2"/>
  <c r="AB19" i="2"/>
  <c r="AD18" i="2"/>
  <c r="AB18" i="2"/>
  <c r="AD17" i="2"/>
  <c r="AB17" i="2"/>
  <c r="AD13" i="2"/>
  <c r="AB13" i="2"/>
  <c r="AD12" i="2"/>
  <c r="AB12" i="2"/>
  <c r="AD11" i="2"/>
  <c r="AB11" i="2"/>
  <c r="AD10" i="2"/>
  <c r="AB10" i="2"/>
  <c r="AD9" i="2"/>
  <c r="AB9" i="2"/>
  <c r="AD8" i="2"/>
  <c r="AB8" i="2"/>
  <c r="AD7" i="2"/>
  <c r="AB7" i="2"/>
  <c r="AD6" i="2"/>
  <c r="AB6" i="2"/>
  <c r="C56" i="2"/>
  <c r="AC5" i="2"/>
  <c r="AD5" i="2"/>
  <c r="AB5" i="2"/>
  <c r="AD4" i="2"/>
  <c r="AB4" i="2"/>
  <c r="AB3" i="2"/>
  <c r="AD3" i="2"/>
  <c r="AD2" i="2"/>
  <c r="AB2" i="2"/>
  <c r="R25" i="9" l="1"/>
  <c r="O44" i="9"/>
  <c r="R8" i="9"/>
  <c r="BC14" i="2" s="1"/>
  <c r="BJ44" i="2" s="1"/>
  <c r="L51" i="9"/>
  <c r="R10" i="9"/>
  <c r="BC16" i="2" s="1"/>
  <c r="L50" i="9"/>
  <c r="L8" i="9"/>
  <c r="AK24" i="9"/>
  <c r="AK30" i="9" s="1"/>
  <c r="L42" i="9"/>
  <c r="L65" i="9"/>
  <c r="H65" i="9" s="1"/>
  <c r="J79" i="9" s="1"/>
  <c r="K65" i="9"/>
  <c r="G65" i="9" s="1"/>
  <c r="I79" i="9" s="1"/>
  <c r="AL24" i="9"/>
  <c r="AL30" i="9" s="1"/>
  <c r="L10" i="9"/>
  <c r="AK22" i="9"/>
  <c r="AK33" i="9" s="1"/>
  <c r="L45" i="9"/>
  <c r="K77" i="9"/>
  <c r="G68" i="9" s="1"/>
  <c r="I81" i="9" s="1"/>
  <c r="AL22" i="9"/>
  <c r="AL33" i="9" s="1"/>
  <c r="L77" i="9"/>
  <c r="H68" i="9" s="1"/>
  <c r="J81" i="9" s="1"/>
  <c r="Y25" i="9"/>
  <c r="R42" i="9"/>
  <c r="Y26" i="9"/>
  <c r="R46" i="9"/>
  <c r="O49" i="9"/>
  <c r="R30" i="9"/>
  <c r="BG15" i="2"/>
  <c r="R35" i="9"/>
  <c r="O51" i="9"/>
  <c r="R11" i="9"/>
  <c r="BC17" i="2" s="1"/>
  <c r="L53" i="9"/>
  <c r="BG14" i="2"/>
  <c r="O50" i="9"/>
  <c r="R9" i="9"/>
  <c r="BC15" i="2" s="1"/>
  <c r="L52" i="9"/>
  <c r="L73" i="9"/>
  <c r="H67" i="9" s="1"/>
  <c r="O43" i="9"/>
  <c r="K73" i="9"/>
  <c r="G67" i="9" s="1"/>
  <c r="AK25" i="9"/>
  <c r="AK32" i="9" s="1"/>
  <c r="AL25" i="9"/>
  <c r="AL32" i="9" s="1"/>
  <c r="O10" i="9"/>
  <c r="L46" i="9"/>
  <c r="R49" i="9"/>
  <c r="Y34" i="9"/>
  <c r="BK17" i="2"/>
  <c r="R53" i="9"/>
  <c r="Y35" i="9"/>
  <c r="O48" i="9"/>
  <c r="R26" i="9"/>
  <c r="V25" i="9" s="1"/>
  <c r="BK16" i="2"/>
  <c r="R52" i="9"/>
  <c r="R29" i="9"/>
  <c r="O45" i="9"/>
  <c r="L9" i="9"/>
  <c r="L69" i="9"/>
  <c r="H66" i="9" s="1"/>
  <c r="J80" i="9" s="1"/>
  <c r="K69" i="9"/>
  <c r="G66" i="9" s="1"/>
  <c r="I80" i="9" s="1"/>
  <c r="L44" i="9"/>
  <c r="AL23" i="9"/>
  <c r="AL31" i="9" s="1"/>
  <c r="AK23" i="9"/>
  <c r="AK31" i="9" s="1"/>
  <c r="O9" i="9"/>
  <c r="L48" i="9"/>
  <c r="R33" i="9"/>
  <c r="O42" i="9"/>
  <c r="L11" i="9"/>
  <c r="AK26" i="9"/>
  <c r="AK34" i="9" s="1"/>
  <c r="AL26" i="9"/>
  <c r="AL34" i="9" s="1"/>
  <c r="K81" i="9"/>
  <c r="G69" i="9" s="1"/>
  <c r="I82" i="9" s="1"/>
  <c r="L81" i="9"/>
  <c r="H69" i="9" s="1"/>
  <c r="J82" i="9" s="1"/>
  <c r="L43" i="9"/>
  <c r="O11" i="9"/>
  <c r="L49" i="9"/>
  <c r="R50" i="9"/>
  <c r="Y27" i="9"/>
  <c r="BM14" i="2"/>
  <c r="BK15" i="2" s="1"/>
  <c r="BG17" i="2"/>
  <c r="O53" i="9"/>
  <c r="R31" i="9"/>
  <c r="R45" i="9"/>
  <c r="AK27" i="9"/>
  <c r="AK35" i="9" s="1"/>
  <c r="R34" i="9"/>
  <c r="U27" i="9" s="1"/>
  <c r="O47" i="9"/>
  <c r="BM15" i="2"/>
  <c r="BK14" i="2" s="1"/>
  <c r="R51" i="9"/>
  <c r="Y30" i="9"/>
  <c r="R48" i="9"/>
  <c r="O8" i="9"/>
  <c r="L47" i="9"/>
  <c r="BG16" i="2"/>
  <c r="O52" i="9"/>
  <c r="R27" i="9"/>
  <c r="F334" i="8"/>
  <c r="F483" i="8" s="1"/>
  <c r="I29" i="8"/>
  <c r="F273" i="8"/>
  <c r="F61" i="8"/>
  <c r="F149" i="8" s="1"/>
  <c r="A329" i="8"/>
  <c r="A478" i="8" s="1"/>
  <c r="A268" i="8"/>
  <c r="B306" i="8"/>
  <c r="B455" i="8" s="1"/>
  <c r="B245" i="8"/>
  <c r="F307" i="8"/>
  <c r="F456" i="8" s="1"/>
  <c r="F246" i="8"/>
  <c r="F47" i="8"/>
  <c r="I2" i="8"/>
  <c r="B331" i="8"/>
  <c r="B480" i="8" s="1"/>
  <c r="B270" i="8"/>
  <c r="A320" i="8"/>
  <c r="A469" i="8" s="1"/>
  <c r="A259" i="8"/>
  <c r="A309" i="8"/>
  <c r="A458" i="8" s="1"/>
  <c r="A248" i="8"/>
  <c r="A333" i="8"/>
  <c r="A482" i="8" s="1"/>
  <c r="A272" i="8"/>
  <c r="G310" i="8"/>
  <c r="G459" i="8" s="1"/>
  <c r="G249" i="8"/>
  <c r="G57" i="8"/>
  <c r="G145" i="8" s="1"/>
  <c r="C334" i="8"/>
  <c r="C273" i="8"/>
  <c r="Q29" i="8"/>
  <c r="C61" i="8"/>
  <c r="L29" i="8"/>
  <c r="M29" i="8" s="1"/>
  <c r="A323" i="8"/>
  <c r="A472" i="8" s="1"/>
  <c r="A262" i="8"/>
  <c r="F335" i="8"/>
  <c r="F484" i="8" s="1"/>
  <c r="F274" i="8"/>
  <c r="F62" i="8"/>
  <c r="F150" i="8" s="1"/>
  <c r="I30" i="8"/>
  <c r="C263" i="8"/>
  <c r="C324" i="8"/>
  <c r="C60" i="8"/>
  <c r="C313" i="8"/>
  <c r="C252" i="8"/>
  <c r="C68" i="8"/>
  <c r="C337" i="8"/>
  <c r="C276" i="8"/>
  <c r="C64" i="8"/>
  <c r="C326" i="8"/>
  <c r="C265" i="8"/>
  <c r="C77" i="8"/>
  <c r="C254" i="8"/>
  <c r="C315" i="8"/>
  <c r="C75" i="8"/>
  <c r="A339" i="8"/>
  <c r="A488" i="8" s="1"/>
  <c r="A278" i="8"/>
  <c r="F328" i="8"/>
  <c r="F477" i="8" s="1"/>
  <c r="F267" i="8"/>
  <c r="F71" i="8"/>
  <c r="F159" i="8" s="1"/>
  <c r="I23" i="8"/>
  <c r="Q23" i="8" s="1"/>
  <c r="F317" i="8"/>
  <c r="F466" i="8" s="1"/>
  <c r="F256" i="8"/>
  <c r="I12" i="8"/>
  <c r="F69" i="8"/>
  <c r="F157" i="8" s="1"/>
  <c r="F318" i="8"/>
  <c r="F467" i="8" s="1"/>
  <c r="F257" i="8"/>
  <c r="F76" i="8"/>
  <c r="F164" i="8" s="1"/>
  <c r="I13" i="8"/>
  <c r="L13" i="8" s="1"/>
  <c r="M13" i="8" s="1"/>
  <c r="F342" i="8"/>
  <c r="F491" i="8" s="1"/>
  <c r="F281" i="8"/>
  <c r="I37" i="8"/>
  <c r="F82" i="8"/>
  <c r="F170" i="8" s="1"/>
  <c r="C306" i="8"/>
  <c r="C455" i="8" s="1"/>
  <c r="C245" i="8"/>
  <c r="B333" i="8"/>
  <c r="B482" i="8" s="1"/>
  <c r="B272" i="8"/>
  <c r="F313" i="8"/>
  <c r="F462" i="8" s="1"/>
  <c r="F252" i="8"/>
  <c r="F68" i="8"/>
  <c r="F156" i="8" s="1"/>
  <c r="I8" i="8"/>
  <c r="B339" i="8"/>
  <c r="B488" i="8" s="1"/>
  <c r="B278" i="8"/>
  <c r="D306" i="8"/>
  <c r="D455" i="8" s="1"/>
  <c r="D245" i="8"/>
  <c r="A319" i="8"/>
  <c r="A468" i="8" s="1"/>
  <c r="A258" i="8"/>
  <c r="F270" i="8"/>
  <c r="F331" i="8"/>
  <c r="F480" i="8" s="1"/>
  <c r="F54" i="8"/>
  <c r="F142" i="8" s="1"/>
  <c r="I26" i="8"/>
  <c r="C259" i="8"/>
  <c r="C320" i="8"/>
  <c r="C52" i="8"/>
  <c r="C309" i="8"/>
  <c r="C248" i="8"/>
  <c r="C49" i="8"/>
  <c r="C333" i="8"/>
  <c r="C272" i="8"/>
  <c r="C56" i="8"/>
  <c r="B322" i="8"/>
  <c r="B471" i="8" s="1"/>
  <c r="B261" i="8"/>
  <c r="G334" i="8"/>
  <c r="G483" i="8" s="1"/>
  <c r="G273" i="8"/>
  <c r="G61" i="8"/>
  <c r="G149" i="8" s="1"/>
  <c r="C323" i="8"/>
  <c r="C262" i="8"/>
  <c r="C59" i="8"/>
  <c r="A312" i="8"/>
  <c r="A461" i="8" s="1"/>
  <c r="A251" i="8"/>
  <c r="A336" i="8"/>
  <c r="A485" i="8" s="1"/>
  <c r="A275" i="8"/>
  <c r="A325" i="8"/>
  <c r="A474" i="8" s="1"/>
  <c r="A264" i="8"/>
  <c r="A314" i="8"/>
  <c r="A463" i="8" s="1"/>
  <c r="A253" i="8"/>
  <c r="A277" i="8"/>
  <c r="A338" i="8"/>
  <c r="A487" i="8" s="1"/>
  <c r="G254" i="8"/>
  <c r="G315" i="8"/>
  <c r="G464" i="8" s="1"/>
  <c r="G75" i="8"/>
  <c r="G163" i="8" s="1"/>
  <c r="C339" i="8"/>
  <c r="C278" i="8"/>
  <c r="C81" i="8"/>
  <c r="B340" i="8"/>
  <c r="B489" i="8" s="1"/>
  <c r="B279" i="8"/>
  <c r="B329" i="8"/>
  <c r="B478" i="8" s="1"/>
  <c r="B268" i="8"/>
  <c r="B330" i="8"/>
  <c r="B479" i="8" s="1"/>
  <c r="B269" i="8"/>
  <c r="F337" i="8"/>
  <c r="F486" i="8" s="1"/>
  <c r="F276" i="8"/>
  <c r="F64" i="8"/>
  <c r="F152" i="8" s="1"/>
  <c r="I32" i="8"/>
  <c r="Q32" i="8" s="1"/>
  <c r="G331" i="8"/>
  <c r="G480" i="8" s="1"/>
  <c r="G270" i="8"/>
  <c r="G54" i="8"/>
  <c r="G142" i="8" s="1"/>
  <c r="B312" i="8"/>
  <c r="B461" i="8" s="1"/>
  <c r="B251" i="8"/>
  <c r="B314" i="8"/>
  <c r="B463" i="8" s="1"/>
  <c r="B253" i="8"/>
  <c r="A327" i="8"/>
  <c r="A476" i="8" s="1"/>
  <c r="A266" i="8"/>
  <c r="F339" i="8"/>
  <c r="F488" i="8" s="1"/>
  <c r="F278" i="8"/>
  <c r="I34" i="8"/>
  <c r="F81" i="8"/>
  <c r="F169" i="8" s="1"/>
  <c r="C340" i="8"/>
  <c r="C279" i="8"/>
  <c r="C73" i="8"/>
  <c r="C329" i="8"/>
  <c r="C268" i="8"/>
  <c r="C72" i="8"/>
  <c r="C330" i="8"/>
  <c r="C269" i="8"/>
  <c r="C79" i="8"/>
  <c r="B320" i="8"/>
  <c r="B469" i="8" s="1"/>
  <c r="B259" i="8"/>
  <c r="G335" i="8"/>
  <c r="G484" i="8" s="1"/>
  <c r="G274" i="8"/>
  <c r="G62" i="8"/>
  <c r="G150" i="8" s="1"/>
  <c r="A330" i="8"/>
  <c r="A479" i="8" s="1"/>
  <c r="A269" i="8"/>
  <c r="E306" i="8"/>
  <c r="E455" i="8" s="1"/>
  <c r="E245" i="8"/>
  <c r="F333" i="8"/>
  <c r="F482" i="8" s="1"/>
  <c r="F272" i="8"/>
  <c r="F56" i="8"/>
  <c r="F144" i="8" s="1"/>
  <c r="I28" i="8"/>
  <c r="A311" i="8"/>
  <c r="A460" i="8" s="1"/>
  <c r="A250" i="8"/>
  <c r="B325" i="8"/>
  <c r="B474" i="8" s="1"/>
  <c r="B264" i="8"/>
  <c r="B338" i="8"/>
  <c r="B487" i="8" s="1"/>
  <c r="B277" i="8"/>
  <c r="F306" i="8"/>
  <c r="F455" i="8" s="1"/>
  <c r="F245" i="8"/>
  <c r="C319" i="8"/>
  <c r="C51" i="8"/>
  <c r="C258" i="8"/>
  <c r="A247" i="8"/>
  <c r="A308" i="8"/>
  <c r="A457" i="8" s="1"/>
  <c r="A332" i="8"/>
  <c r="A481" i="8" s="1"/>
  <c r="A271" i="8"/>
  <c r="A321" i="8"/>
  <c r="A470" i="8" s="1"/>
  <c r="A260" i="8"/>
  <c r="A249" i="8"/>
  <c r="A310" i="8"/>
  <c r="A459" i="8" s="1"/>
  <c r="F322" i="8"/>
  <c r="F471" i="8" s="1"/>
  <c r="F261" i="8"/>
  <c r="F58" i="8"/>
  <c r="F146" i="8" s="1"/>
  <c r="I17" i="8"/>
  <c r="B311" i="8"/>
  <c r="B460" i="8" s="1"/>
  <c r="B250" i="8"/>
  <c r="G323" i="8"/>
  <c r="G472" i="8" s="1"/>
  <c r="G262" i="8"/>
  <c r="G59" i="8"/>
  <c r="G147" i="8" s="1"/>
  <c r="C312" i="8"/>
  <c r="C67" i="8"/>
  <c r="C251" i="8"/>
  <c r="C336" i="8"/>
  <c r="C275" i="8"/>
  <c r="C63" i="8"/>
  <c r="C325" i="8"/>
  <c r="C264" i="8"/>
  <c r="C70" i="8"/>
  <c r="C314" i="8"/>
  <c r="C253" i="8"/>
  <c r="C74" i="8"/>
  <c r="C338" i="8"/>
  <c r="C277" i="8"/>
  <c r="C80" i="8"/>
  <c r="B266" i="8"/>
  <c r="B327" i="8"/>
  <c r="B476" i="8" s="1"/>
  <c r="G339" i="8"/>
  <c r="G488" i="8" s="1"/>
  <c r="G278" i="8"/>
  <c r="G81" i="8"/>
  <c r="G169" i="8" s="1"/>
  <c r="F340" i="8"/>
  <c r="F489" i="8" s="1"/>
  <c r="F279" i="8"/>
  <c r="I35" i="8"/>
  <c r="Q35" i="8" s="1"/>
  <c r="F73" i="8"/>
  <c r="F161" i="8" s="1"/>
  <c r="F329" i="8"/>
  <c r="F478" i="8" s="1"/>
  <c r="F268" i="8"/>
  <c r="I24" i="8"/>
  <c r="F72" i="8"/>
  <c r="F160" i="8" s="1"/>
  <c r="F330" i="8"/>
  <c r="F479" i="8" s="1"/>
  <c r="F269" i="8"/>
  <c r="F79" i="8"/>
  <c r="F167" i="8" s="1"/>
  <c r="I25" i="8"/>
  <c r="L25" i="8" s="1"/>
  <c r="M25" i="8" s="1"/>
  <c r="A322" i="8"/>
  <c r="A471" i="8" s="1"/>
  <c r="A261" i="8"/>
  <c r="F326" i="8"/>
  <c r="F475" i="8" s="1"/>
  <c r="F265" i="8"/>
  <c r="F77" i="8"/>
  <c r="F165" i="8" s="1"/>
  <c r="I21" i="8"/>
  <c r="F320" i="8"/>
  <c r="F469" i="8" s="1"/>
  <c r="F259" i="8"/>
  <c r="F52" i="8"/>
  <c r="F140" i="8" s="1"/>
  <c r="I15" i="8"/>
  <c r="B336" i="8"/>
  <c r="B485" i="8" s="1"/>
  <c r="B275" i="8"/>
  <c r="A307" i="8"/>
  <c r="A456" i="8" s="1"/>
  <c r="A246" i="8"/>
  <c r="F319" i="8"/>
  <c r="F468" i="8" s="1"/>
  <c r="F258" i="8"/>
  <c r="I14" i="8"/>
  <c r="L14" i="8" s="1"/>
  <c r="M14" i="8" s="1"/>
  <c r="F51" i="8"/>
  <c r="F139" i="8" s="1"/>
  <c r="B308" i="8"/>
  <c r="B457" i="8" s="1"/>
  <c r="B247" i="8"/>
  <c r="B332" i="8"/>
  <c r="B481" i="8" s="1"/>
  <c r="B271" i="8"/>
  <c r="B321" i="8"/>
  <c r="B470" i="8" s="1"/>
  <c r="B260" i="8"/>
  <c r="B249" i="8"/>
  <c r="B310" i="8"/>
  <c r="B459" i="8" s="1"/>
  <c r="G322" i="8"/>
  <c r="G471" i="8" s="1"/>
  <c r="G261" i="8"/>
  <c r="G58" i="8"/>
  <c r="G146" i="8" s="1"/>
  <c r="C250" i="8"/>
  <c r="C311" i="8"/>
  <c r="C66" i="8"/>
  <c r="A335" i="8"/>
  <c r="A484" i="8" s="1"/>
  <c r="A274" i="8"/>
  <c r="F312" i="8"/>
  <c r="F461" i="8" s="1"/>
  <c r="F251" i="8"/>
  <c r="F67" i="8"/>
  <c r="F155" i="8" s="1"/>
  <c r="I7" i="8"/>
  <c r="Q7" i="8" s="1"/>
  <c r="F336" i="8"/>
  <c r="F485" i="8" s="1"/>
  <c r="F275" i="8"/>
  <c r="F63" i="8"/>
  <c r="F151" i="8" s="1"/>
  <c r="I31" i="8"/>
  <c r="L31" i="8" s="1"/>
  <c r="M31" i="8" s="1"/>
  <c r="F325" i="8"/>
  <c r="F474" i="8" s="1"/>
  <c r="F264" i="8"/>
  <c r="F70" i="8"/>
  <c r="F158" i="8" s="1"/>
  <c r="I20" i="8"/>
  <c r="Q20" i="8" s="1"/>
  <c r="F253" i="8"/>
  <c r="F314" i="8"/>
  <c r="F463" i="8" s="1"/>
  <c r="F74" i="8"/>
  <c r="I9" i="8"/>
  <c r="Q9" i="8" s="1"/>
  <c r="F338" i="8"/>
  <c r="F487" i="8" s="1"/>
  <c r="F277" i="8"/>
  <c r="F80" i="8"/>
  <c r="F168" i="8" s="1"/>
  <c r="I33" i="8"/>
  <c r="C327" i="8"/>
  <c r="C266" i="8"/>
  <c r="C78" i="8"/>
  <c r="A328" i="8"/>
  <c r="A477" i="8" s="1"/>
  <c r="A267" i="8"/>
  <c r="A317" i="8"/>
  <c r="A466" i="8" s="1"/>
  <c r="A256" i="8"/>
  <c r="A318" i="8"/>
  <c r="A467" i="8" s="1"/>
  <c r="A257" i="8"/>
  <c r="A342" i="8"/>
  <c r="A491" i="8" s="1"/>
  <c r="A281" i="8"/>
  <c r="G307" i="8"/>
  <c r="G456" i="8" s="1"/>
  <c r="G246" i="8"/>
  <c r="G47" i="8"/>
  <c r="G135" i="8" s="1"/>
  <c r="B309" i="8"/>
  <c r="B458" i="8" s="1"/>
  <c r="B248" i="8"/>
  <c r="F324" i="8"/>
  <c r="F473" i="8" s="1"/>
  <c r="F263" i="8"/>
  <c r="I19" i="8"/>
  <c r="L19" i="8" s="1"/>
  <c r="M19" i="8" s="1"/>
  <c r="F60" i="8"/>
  <c r="F148" i="8" s="1"/>
  <c r="F315" i="8"/>
  <c r="F464" i="8" s="1"/>
  <c r="F254" i="8"/>
  <c r="F75" i="8"/>
  <c r="F163" i="8" s="1"/>
  <c r="I10" i="8"/>
  <c r="B258" i="8"/>
  <c r="B319" i="8"/>
  <c r="B468" i="8" s="1"/>
  <c r="C322" i="8"/>
  <c r="C261" i="8"/>
  <c r="C58" i="8"/>
  <c r="L17" i="8"/>
  <c r="M17" i="8" s="1"/>
  <c r="Q17" i="8"/>
  <c r="G319" i="8"/>
  <c r="G468" i="8" s="1"/>
  <c r="G258" i="8"/>
  <c r="G51" i="8"/>
  <c r="G139" i="8" s="1"/>
  <c r="C308" i="8"/>
  <c r="C247" i="8"/>
  <c r="C48" i="8"/>
  <c r="C321" i="8"/>
  <c r="C260" i="8"/>
  <c r="C53" i="8"/>
  <c r="C249" i="8"/>
  <c r="C310" i="8"/>
  <c r="C57" i="8"/>
  <c r="A334" i="8"/>
  <c r="A483" i="8" s="1"/>
  <c r="A273" i="8"/>
  <c r="F250" i="8"/>
  <c r="F311" i="8"/>
  <c r="F460" i="8" s="1"/>
  <c r="F66" i="8"/>
  <c r="I6" i="8"/>
  <c r="L6" i="8" s="1"/>
  <c r="M6" i="8" s="1"/>
  <c r="B274" i="8"/>
  <c r="B335" i="8"/>
  <c r="B484" i="8" s="1"/>
  <c r="A324" i="8"/>
  <c r="A473" i="8" s="1"/>
  <c r="A263" i="8"/>
  <c r="A252" i="8"/>
  <c r="A313" i="8"/>
  <c r="A462" i="8" s="1"/>
  <c r="A337" i="8"/>
  <c r="A486" i="8" s="1"/>
  <c r="A276" i="8"/>
  <c r="A326" i="8"/>
  <c r="A475" i="8" s="1"/>
  <c r="A265" i="8"/>
  <c r="A254" i="8"/>
  <c r="A315" i="8"/>
  <c r="A464" i="8" s="1"/>
  <c r="F327" i="8"/>
  <c r="F476" i="8" s="1"/>
  <c r="F78" i="8"/>
  <c r="F166" i="8" s="1"/>
  <c r="I22" i="8"/>
  <c r="F266" i="8"/>
  <c r="B328" i="8"/>
  <c r="B477" i="8" s="1"/>
  <c r="B267" i="8"/>
  <c r="B317" i="8"/>
  <c r="B466" i="8" s="1"/>
  <c r="B256" i="8"/>
  <c r="B318" i="8"/>
  <c r="B467" i="8" s="1"/>
  <c r="B257" i="8"/>
  <c r="B342" i="8"/>
  <c r="B491" i="8" s="1"/>
  <c r="B281" i="8"/>
  <c r="C331" i="8"/>
  <c r="C270" i="8"/>
  <c r="C54" i="8"/>
  <c r="B323" i="8"/>
  <c r="B472" i="8" s="1"/>
  <c r="B262" i="8"/>
  <c r="A340" i="8"/>
  <c r="A489" i="8" s="1"/>
  <c r="A279" i="8"/>
  <c r="I4" i="8"/>
  <c r="L4" i="8" s="1"/>
  <c r="M4" i="8" s="1"/>
  <c r="F248" i="8"/>
  <c r="F309" i="8"/>
  <c r="F458" i="8" s="1"/>
  <c r="F49" i="8"/>
  <c r="F137" i="8" s="1"/>
  <c r="F262" i="8"/>
  <c r="F323" i="8"/>
  <c r="F472" i="8" s="1"/>
  <c r="I18" i="8"/>
  <c r="Q18" i="8" s="1"/>
  <c r="F59" i="8"/>
  <c r="F147" i="8" s="1"/>
  <c r="B307" i="8"/>
  <c r="B456" i="8" s="1"/>
  <c r="B246" i="8"/>
  <c r="C271" i="8"/>
  <c r="C332" i="8"/>
  <c r="C55" i="8"/>
  <c r="A306" i="8"/>
  <c r="A455" i="8" s="1"/>
  <c r="A245" i="8"/>
  <c r="L2" i="8"/>
  <c r="M2" i="8" s="1"/>
  <c r="C307" i="8"/>
  <c r="C246" i="8"/>
  <c r="Q2" i="8"/>
  <c r="C47" i="8"/>
  <c r="A331" i="8"/>
  <c r="A480" i="8" s="1"/>
  <c r="A270" i="8"/>
  <c r="F308" i="8"/>
  <c r="F457" i="8" s="1"/>
  <c r="F247" i="8"/>
  <c r="I3" i="8"/>
  <c r="L3" i="8" s="1"/>
  <c r="M3" i="8" s="1"/>
  <c r="F48" i="8"/>
  <c r="F136" i="8" s="1"/>
  <c r="F332" i="8"/>
  <c r="F481" i="8" s="1"/>
  <c r="F271" i="8"/>
  <c r="F55" i="8"/>
  <c r="F143" i="8" s="1"/>
  <c r="I27" i="8"/>
  <c r="L27" i="8" s="1"/>
  <c r="M27" i="8" s="1"/>
  <c r="F321" i="8"/>
  <c r="F470" i="8" s="1"/>
  <c r="F260" i="8"/>
  <c r="I16" i="8"/>
  <c r="Q16" i="8" s="1"/>
  <c r="F53" i="8"/>
  <c r="F141" i="8" s="1"/>
  <c r="F310" i="8"/>
  <c r="F459" i="8" s="1"/>
  <c r="F249" i="8"/>
  <c r="F57" i="8"/>
  <c r="I5" i="8"/>
  <c r="L5" i="8" s="1"/>
  <c r="M5" i="8" s="1"/>
  <c r="B334" i="8"/>
  <c r="B483" i="8" s="1"/>
  <c r="B273" i="8"/>
  <c r="G250" i="8"/>
  <c r="G311" i="8"/>
  <c r="G460" i="8" s="1"/>
  <c r="G66" i="8"/>
  <c r="G154" i="8" s="1"/>
  <c r="C335" i="8"/>
  <c r="C274" i="8"/>
  <c r="C62" i="8"/>
  <c r="L30" i="8"/>
  <c r="M30" i="8" s="1"/>
  <c r="Q30" i="8"/>
  <c r="B324" i="8"/>
  <c r="B473" i="8" s="1"/>
  <c r="B263" i="8"/>
  <c r="B252" i="8"/>
  <c r="B313" i="8"/>
  <c r="B462" i="8" s="1"/>
  <c r="B337" i="8"/>
  <c r="B486" i="8" s="1"/>
  <c r="B276" i="8"/>
  <c r="B326" i="8"/>
  <c r="B475" i="8" s="1"/>
  <c r="B265" i="8"/>
  <c r="B254" i="8"/>
  <c r="B315" i="8"/>
  <c r="B464" i="8" s="1"/>
  <c r="G327" i="8"/>
  <c r="G476" i="8" s="1"/>
  <c r="G266" i="8"/>
  <c r="G78" i="8"/>
  <c r="G166" i="8" s="1"/>
  <c r="C328" i="8"/>
  <c r="C267" i="8"/>
  <c r="L23" i="8"/>
  <c r="M23" i="8" s="1"/>
  <c r="C71" i="8"/>
  <c r="C317" i="8"/>
  <c r="C256" i="8"/>
  <c r="L12" i="8"/>
  <c r="M12" i="8" s="1"/>
  <c r="BI384" i="8" s="1"/>
  <c r="C69" i="8"/>
  <c r="Q12" i="8"/>
  <c r="C318" i="8"/>
  <c r="C257" i="8"/>
  <c r="Q13" i="8"/>
  <c r="C76" i="8"/>
  <c r="C342" i="8"/>
  <c r="C281" i="8"/>
  <c r="C82" i="8"/>
  <c r="Q37" i="8"/>
  <c r="L37" i="8"/>
  <c r="M37" i="8" s="1"/>
  <c r="BK45" i="2"/>
  <c r="BJ45" i="2"/>
  <c r="BK46" i="2"/>
  <c r="BJ46" i="2"/>
  <c r="BK47" i="2"/>
  <c r="BJ47" i="2"/>
  <c r="G21" i="10"/>
  <c r="G40" i="10"/>
  <c r="D98" i="10"/>
  <c r="J195" i="10"/>
  <c r="I195" i="10"/>
  <c r="H167" i="10"/>
  <c r="M167" i="10" s="1"/>
  <c r="I202" i="10"/>
  <c r="N202" i="10" s="1"/>
  <c r="J202" i="10"/>
  <c r="O202" i="10" s="1"/>
  <c r="C206" i="10"/>
  <c r="C221" i="10"/>
  <c r="C211" i="10"/>
  <c r="C216" i="10"/>
  <c r="H202" i="10"/>
  <c r="M202" i="10" s="1"/>
  <c r="P184" i="10"/>
  <c r="H201" i="10"/>
  <c r="M201" i="10" s="1"/>
  <c r="J194" i="10"/>
  <c r="I166" i="10"/>
  <c r="N166" i="10" s="1"/>
  <c r="H166" i="10"/>
  <c r="M166" i="10" s="1"/>
  <c r="H194" i="10"/>
  <c r="I194" i="10"/>
  <c r="V194" i="10" s="1"/>
  <c r="D176" i="10"/>
  <c r="G20" i="10"/>
  <c r="H196" i="10"/>
  <c r="I165" i="10"/>
  <c r="N165" i="10" s="1"/>
  <c r="J165" i="10"/>
  <c r="O165" i="10" s="1"/>
  <c r="D175" i="10"/>
  <c r="AD184" i="10" s="1"/>
  <c r="H193" i="10"/>
  <c r="J193" i="10"/>
  <c r="O184" i="10"/>
  <c r="H165" i="10"/>
  <c r="M165" i="10" s="1"/>
  <c r="Q186" i="10"/>
  <c r="D177" i="10"/>
  <c r="J167" i="10"/>
  <c r="O167" i="10" s="1"/>
  <c r="O186" i="10"/>
  <c r="P186" i="10"/>
  <c r="I193" i="10"/>
  <c r="C207" i="10"/>
  <c r="C212" i="10"/>
  <c r="C217" i="10"/>
  <c r="C222" i="10"/>
  <c r="D103" i="10"/>
  <c r="J203" i="10"/>
  <c r="O203" i="10" s="1"/>
  <c r="D178" i="10"/>
  <c r="J196" i="10"/>
  <c r="I203" i="10"/>
  <c r="N203" i="10" s="1"/>
  <c r="I168" i="10"/>
  <c r="N168" i="10" s="1"/>
  <c r="J168" i="10"/>
  <c r="O168" i="10" s="1"/>
  <c r="H203" i="10"/>
  <c r="M203" i="10" s="1"/>
  <c r="O187" i="10"/>
  <c r="P187" i="10"/>
  <c r="AC187" i="10" s="1"/>
  <c r="I201" i="10"/>
  <c r="N201" i="10" s="1"/>
  <c r="J201" i="10"/>
  <c r="O201" i="10" s="1"/>
  <c r="I167" i="10"/>
  <c r="N167" i="10" s="1"/>
  <c r="H200" i="10"/>
  <c r="M200" i="10" s="1"/>
  <c r="I200" i="10"/>
  <c r="N200" i="10" s="1"/>
  <c r="J200" i="10"/>
  <c r="O200" i="10" s="1"/>
  <c r="O185" i="10"/>
  <c r="H168" i="10"/>
  <c r="M168" i="10" s="1"/>
  <c r="W195" i="10"/>
  <c r="Q187" i="10"/>
  <c r="AD187" i="10" s="1"/>
  <c r="P185" i="10"/>
  <c r="Q185" i="10"/>
  <c r="AD185" i="10" s="1"/>
  <c r="J166" i="10"/>
  <c r="O166" i="10" s="1"/>
  <c r="J183" i="10"/>
  <c r="H184" i="10"/>
  <c r="G27" i="10"/>
  <c r="H33" i="10"/>
  <c r="G34" i="10"/>
  <c r="H21" i="10"/>
  <c r="H16" i="10"/>
  <c r="D8" i="10"/>
  <c r="I28" i="10" s="1"/>
  <c r="I32" i="10"/>
  <c r="G32" i="10"/>
  <c r="H45" i="10"/>
  <c r="H32" i="10"/>
  <c r="G52" i="10"/>
  <c r="H19" i="10"/>
  <c r="G45" i="10"/>
  <c r="BG40" i="10" s="1"/>
  <c r="G19" i="10"/>
  <c r="H15" i="10"/>
  <c r="H29" i="10"/>
  <c r="I16" i="10"/>
  <c r="I27" i="10"/>
  <c r="G29" i="10"/>
  <c r="G15" i="10"/>
  <c r="X15" i="10" s="1"/>
  <c r="H14" i="10"/>
  <c r="G14" i="10"/>
  <c r="G57" i="10"/>
  <c r="CK52" i="10" s="1"/>
  <c r="I20" i="10"/>
  <c r="I15" i="10"/>
  <c r="H58" i="10"/>
  <c r="G59" i="10"/>
  <c r="H57" i="10"/>
  <c r="I57" i="10"/>
  <c r="H47" i="10"/>
  <c r="A99" i="10"/>
  <c r="G54" i="10"/>
  <c r="H52" i="10"/>
  <c r="I58" i="10"/>
  <c r="H59" i="10"/>
  <c r="H53" i="10"/>
  <c r="I54" i="10"/>
  <c r="H46" i="10"/>
  <c r="I53" i="10"/>
  <c r="I52" i="10"/>
  <c r="G47" i="10"/>
  <c r="G41" i="10"/>
  <c r="G42" i="10"/>
  <c r="I47" i="10"/>
  <c r="H41" i="10"/>
  <c r="H42" i="10"/>
  <c r="H28" i="10"/>
  <c r="G58" i="10"/>
  <c r="I59" i="10"/>
  <c r="H40" i="10"/>
  <c r="G33" i="10"/>
  <c r="G46" i="10"/>
  <c r="BG41" i="10" s="1"/>
  <c r="H34" i="10"/>
  <c r="G16" i="10"/>
  <c r="X16" i="10" s="1"/>
  <c r="H20" i="10"/>
  <c r="Y15" i="10" s="1"/>
  <c r="H27" i="10"/>
  <c r="I33" i="10"/>
  <c r="I45" i="10"/>
  <c r="H54" i="10"/>
  <c r="I21" i="10"/>
  <c r="G28" i="10"/>
  <c r="I42" i="10"/>
  <c r="I41" i="10"/>
  <c r="G53" i="10"/>
  <c r="I46" i="10"/>
  <c r="H49" i="2"/>
  <c r="AC49" i="2"/>
  <c r="AH49" i="2" s="1"/>
  <c r="F49" i="2"/>
  <c r="AD43" i="2"/>
  <c r="I42" i="2"/>
  <c r="G42" i="2"/>
  <c r="B42" i="2"/>
  <c r="E42" i="2" s="1"/>
  <c r="J42" i="2" s="1"/>
  <c r="E44" i="2"/>
  <c r="J44" i="2" s="1"/>
  <c r="K44" i="2" s="1"/>
  <c r="AD39" i="2"/>
  <c r="AB39" i="2"/>
  <c r="Y39" i="2"/>
  <c r="Z39" i="2" s="1"/>
  <c r="AE39" i="2" s="1"/>
  <c r="E38" i="2"/>
  <c r="J38" i="2" s="1"/>
  <c r="B15" i="2"/>
  <c r="G27" i="5"/>
  <c r="G28" i="5"/>
  <c r="G26" i="5"/>
  <c r="G11" i="5"/>
  <c r="G12" i="5"/>
  <c r="G13" i="5"/>
  <c r="G14" i="5"/>
  <c r="G15" i="5"/>
  <c r="G16" i="5"/>
  <c r="G3" i="5"/>
  <c r="G4" i="5"/>
  <c r="G2" i="5"/>
  <c r="A1" i="5"/>
  <c r="A87" i="8" s="1"/>
  <c r="F37" i="5"/>
  <c r="F123" i="8" s="1"/>
  <c r="I123" i="8" s="1"/>
  <c r="K123" i="8" s="1"/>
  <c r="C37" i="5"/>
  <c r="C123" i="8" s="1"/>
  <c r="A37" i="5"/>
  <c r="A123" i="8" s="1"/>
  <c r="F36" i="5"/>
  <c r="F122" i="8" s="1"/>
  <c r="I122" i="8" s="1"/>
  <c r="C36" i="5"/>
  <c r="C122" i="8" s="1"/>
  <c r="K122" i="8" s="1"/>
  <c r="A36" i="5"/>
  <c r="A122" i="8" s="1"/>
  <c r="F35" i="5"/>
  <c r="F121" i="8" s="1"/>
  <c r="I121" i="8" s="1"/>
  <c r="C35" i="5"/>
  <c r="C121" i="8" s="1"/>
  <c r="A35" i="5"/>
  <c r="A121" i="8" s="1"/>
  <c r="F33" i="5"/>
  <c r="F119" i="8" s="1"/>
  <c r="I119" i="8" s="1"/>
  <c r="C33" i="5"/>
  <c r="C119" i="8" s="1"/>
  <c r="K119" i="8" s="1"/>
  <c r="A33" i="5"/>
  <c r="A119" i="8" s="1"/>
  <c r="F32" i="5"/>
  <c r="F118" i="8" s="1"/>
  <c r="I118" i="8" s="1"/>
  <c r="C32" i="5"/>
  <c r="C118" i="8" s="1"/>
  <c r="A32" i="5"/>
  <c r="A118" i="8" s="1"/>
  <c r="F31" i="5"/>
  <c r="F117" i="8" s="1"/>
  <c r="I117" i="8" s="1"/>
  <c r="C31" i="5"/>
  <c r="C117" i="8" s="1"/>
  <c r="K117" i="8" s="1"/>
  <c r="B31" i="5"/>
  <c r="B117" i="8" s="1"/>
  <c r="A31" i="5"/>
  <c r="A117" i="8" s="1"/>
  <c r="F30" i="5"/>
  <c r="F116" i="8" s="1"/>
  <c r="I116" i="8" s="1"/>
  <c r="C30" i="5"/>
  <c r="C116" i="8" s="1"/>
  <c r="K116" i="8" s="1"/>
  <c r="A30" i="5"/>
  <c r="A116" i="8" s="1"/>
  <c r="F28" i="5"/>
  <c r="F114" i="8" s="1"/>
  <c r="I114" i="8" s="1"/>
  <c r="C28" i="5"/>
  <c r="C114" i="8" s="1"/>
  <c r="B28" i="5"/>
  <c r="B114" i="8" s="1"/>
  <c r="A28" i="5"/>
  <c r="A114" i="8" s="1"/>
  <c r="F27" i="5"/>
  <c r="F113" i="8" s="1"/>
  <c r="I113" i="8" s="1"/>
  <c r="K113" i="8" s="1"/>
  <c r="C27" i="5"/>
  <c r="C113" i="8" s="1"/>
  <c r="A27" i="5"/>
  <c r="A113" i="8" s="1"/>
  <c r="F26" i="5"/>
  <c r="F112" i="8" s="1"/>
  <c r="I112" i="8" s="1"/>
  <c r="C26" i="5"/>
  <c r="C112" i="8" s="1"/>
  <c r="K112" i="8" s="1"/>
  <c r="A26" i="5"/>
  <c r="A112" i="8" s="1"/>
  <c r="F25" i="5"/>
  <c r="F111" i="8" s="1"/>
  <c r="I111" i="8" s="1"/>
  <c r="C25" i="5"/>
  <c r="C111" i="8" s="1"/>
  <c r="A25" i="5"/>
  <c r="A111" i="8" s="1"/>
  <c r="F24" i="5"/>
  <c r="F110" i="8" s="1"/>
  <c r="I110" i="8" s="1"/>
  <c r="C24" i="5"/>
  <c r="C110" i="8" s="1"/>
  <c r="K110" i="8" s="1"/>
  <c r="A24" i="5"/>
  <c r="A110" i="8" s="1"/>
  <c r="F23" i="5"/>
  <c r="F109" i="8" s="1"/>
  <c r="C23" i="5"/>
  <c r="C109" i="8" s="1"/>
  <c r="A23" i="5"/>
  <c r="A109" i="8" s="1"/>
  <c r="F22" i="5"/>
  <c r="F108" i="8" s="1"/>
  <c r="I108" i="8" s="1"/>
  <c r="C22" i="5"/>
  <c r="C108" i="8" s="1"/>
  <c r="K108" i="8" s="1"/>
  <c r="B22" i="5"/>
  <c r="B108" i="8" s="1"/>
  <c r="A22" i="5"/>
  <c r="A108" i="8" s="1"/>
  <c r="F21" i="5"/>
  <c r="F107" i="8" s="1"/>
  <c r="I107" i="8" s="1"/>
  <c r="C21" i="5"/>
  <c r="C107" i="8" s="1"/>
  <c r="K107" i="8" s="1"/>
  <c r="A21" i="5"/>
  <c r="A107" i="8" s="1"/>
  <c r="F20" i="5"/>
  <c r="F106" i="8" s="1"/>
  <c r="C20" i="5"/>
  <c r="C106" i="8" s="1"/>
  <c r="B20" i="5"/>
  <c r="B106" i="8" s="1"/>
  <c r="A20" i="5"/>
  <c r="A106" i="8" s="1"/>
  <c r="F19" i="5"/>
  <c r="F105" i="8" s="1"/>
  <c r="I105" i="8" s="1"/>
  <c r="C19" i="5"/>
  <c r="C105" i="8" s="1"/>
  <c r="A19" i="5"/>
  <c r="A105" i="8" s="1"/>
  <c r="F18" i="5"/>
  <c r="F104" i="8" s="1"/>
  <c r="I104" i="8" s="1"/>
  <c r="C18" i="5"/>
  <c r="C104" i="8" s="1"/>
  <c r="K104" i="8" s="1"/>
  <c r="A18" i="5"/>
  <c r="A104" i="8" s="1"/>
  <c r="F17" i="5"/>
  <c r="F103" i="8" s="1"/>
  <c r="I103" i="8" s="1"/>
  <c r="C17" i="5"/>
  <c r="C103" i="8" s="1"/>
  <c r="A17" i="5"/>
  <c r="A103" i="8" s="1"/>
  <c r="F16" i="5"/>
  <c r="F102" i="8" s="1"/>
  <c r="I102" i="8" s="1"/>
  <c r="C16" i="5"/>
  <c r="C102" i="8" s="1"/>
  <c r="K102" i="8" s="1"/>
  <c r="A16" i="5"/>
  <c r="A102" i="8" s="1"/>
  <c r="F15" i="5"/>
  <c r="F101" i="8" s="1"/>
  <c r="I101" i="8" s="1"/>
  <c r="C15" i="5"/>
  <c r="C101" i="8" s="1"/>
  <c r="A15" i="5"/>
  <c r="A101" i="8" s="1"/>
  <c r="F14" i="5"/>
  <c r="F100" i="8" s="1"/>
  <c r="C14" i="5"/>
  <c r="C100" i="8" s="1"/>
  <c r="A14" i="5"/>
  <c r="A100" i="8" s="1"/>
  <c r="F13" i="5"/>
  <c r="F99" i="8" s="1"/>
  <c r="I99" i="8" s="1"/>
  <c r="C13" i="5"/>
  <c r="C99" i="8" s="1"/>
  <c r="A13" i="5"/>
  <c r="A99" i="8" s="1"/>
  <c r="F12" i="5"/>
  <c r="F98" i="8" s="1"/>
  <c r="I98" i="8" s="1"/>
  <c r="C12" i="5"/>
  <c r="C98" i="8" s="1"/>
  <c r="K98" i="8" s="1"/>
  <c r="A12" i="5"/>
  <c r="A98" i="8" s="1"/>
  <c r="F11" i="5"/>
  <c r="F97" i="8" s="1"/>
  <c r="C11" i="5"/>
  <c r="C97" i="8" s="1"/>
  <c r="A11" i="5"/>
  <c r="A97" i="8" s="1"/>
  <c r="F10" i="5"/>
  <c r="F96" i="8" s="1"/>
  <c r="I96" i="8" s="1"/>
  <c r="C10" i="5"/>
  <c r="C96" i="8" s="1"/>
  <c r="K96" i="8" s="1"/>
  <c r="A10" i="5"/>
  <c r="A96" i="8" s="1"/>
  <c r="F9" i="5"/>
  <c r="F95" i="8" s="1"/>
  <c r="I95" i="8" s="1"/>
  <c r="C9" i="5"/>
  <c r="C95" i="8" s="1"/>
  <c r="A9" i="5"/>
  <c r="A95" i="8" s="1"/>
  <c r="F8" i="5"/>
  <c r="F94" i="8" s="1"/>
  <c r="I94" i="8" s="1"/>
  <c r="C8" i="5"/>
  <c r="C94" i="8" s="1"/>
  <c r="K94" i="8" s="1"/>
  <c r="B8" i="5"/>
  <c r="B94" i="8" s="1"/>
  <c r="A8" i="5"/>
  <c r="A94" i="8" s="1"/>
  <c r="F7" i="5"/>
  <c r="F93" i="8" s="1"/>
  <c r="I93" i="8" s="1"/>
  <c r="C7" i="5"/>
  <c r="C93" i="8" s="1"/>
  <c r="K93" i="8" s="1"/>
  <c r="L93" i="8" s="1"/>
  <c r="A7" i="5"/>
  <c r="A93" i="8" s="1"/>
  <c r="F6" i="5"/>
  <c r="F92" i="8" s="1"/>
  <c r="I92" i="8" s="1"/>
  <c r="C6" i="5"/>
  <c r="C92" i="8" s="1"/>
  <c r="A6" i="5"/>
  <c r="A92" i="8" s="1"/>
  <c r="F5" i="5"/>
  <c r="F91" i="8" s="1"/>
  <c r="I91" i="8" s="1"/>
  <c r="C5" i="5"/>
  <c r="C91" i="8" s="1"/>
  <c r="K91" i="8" s="1"/>
  <c r="A5" i="5"/>
  <c r="A91" i="8" s="1"/>
  <c r="F4" i="5"/>
  <c r="F90" i="8" s="1"/>
  <c r="I90" i="8" s="1"/>
  <c r="C4" i="5"/>
  <c r="C90" i="8" s="1"/>
  <c r="A4" i="5"/>
  <c r="A90" i="8" s="1"/>
  <c r="F3" i="5"/>
  <c r="F89" i="8" s="1"/>
  <c r="I89" i="8" s="1"/>
  <c r="C3" i="5"/>
  <c r="C89" i="8" s="1"/>
  <c r="K89" i="8" s="1"/>
  <c r="A3" i="5"/>
  <c r="A89" i="8" s="1"/>
  <c r="F2" i="5"/>
  <c r="F88" i="8" s="1"/>
  <c r="A2" i="5"/>
  <c r="A88" i="8" s="1"/>
  <c r="F1" i="5"/>
  <c r="F87" i="8" s="1"/>
  <c r="E1" i="5"/>
  <c r="E87" i="8" s="1"/>
  <c r="D1" i="5"/>
  <c r="D87" i="8" s="1"/>
  <c r="C1" i="5"/>
  <c r="C87" i="8" s="1"/>
  <c r="B1" i="5"/>
  <c r="B87" i="8" s="1"/>
  <c r="AS96" i="2"/>
  <c r="B37" i="5" s="1"/>
  <c r="B123" i="8" s="1"/>
  <c r="AS95" i="2"/>
  <c r="B36" i="5" s="1"/>
  <c r="B122" i="8" s="1"/>
  <c r="AS94" i="2"/>
  <c r="B35" i="5" s="1"/>
  <c r="B121" i="8" s="1"/>
  <c r="AS92" i="2"/>
  <c r="B33" i="5" s="1"/>
  <c r="B119" i="8" s="1"/>
  <c r="AS91" i="2"/>
  <c r="B32" i="5" s="1"/>
  <c r="B118" i="8" s="1"/>
  <c r="AS89" i="2"/>
  <c r="B30" i="5" s="1"/>
  <c r="B116" i="8" s="1"/>
  <c r="AS86" i="2"/>
  <c r="B27" i="5" s="1"/>
  <c r="B113" i="8" s="1"/>
  <c r="AS87" i="2"/>
  <c r="AS85" i="2"/>
  <c r="B26" i="5" s="1"/>
  <c r="B112" i="8" s="1"/>
  <c r="AS83" i="2"/>
  <c r="B24" i="5" s="1"/>
  <c r="B110" i="8" s="1"/>
  <c r="AS84" i="2"/>
  <c r="B25" i="5" s="1"/>
  <c r="B111" i="8" s="1"/>
  <c r="AS82" i="2"/>
  <c r="B23" i="5" s="1"/>
  <c r="B109" i="8" s="1"/>
  <c r="AS80" i="2"/>
  <c r="B21" i="5" s="1"/>
  <c r="B107" i="8" s="1"/>
  <c r="AS81" i="2"/>
  <c r="AS79" i="2"/>
  <c r="AS77" i="2"/>
  <c r="B18" i="5" s="1"/>
  <c r="B104" i="8" s="1"/>
  <c r="AS78" i="2"/>
  <c r="B19" i="5" s="1"/>
  <c r="B105" i="8" s="1"/>
  <c r="AS76" i="2"/>
  <c r="B17" i="5" s="1"/>
  <c r="B103" i="8" s="1"/>
  <c r="AS74" i="2"/>
  <c r="B15" i="5" s="1"/>
  <c r="B101" i="8" s="1"/>
  <c r="AS75" i="2"/>
  <c r="B16" i="5" s="1"/>
  <c r="B102" i="8" s="1"/>
  <c r="AS73" i="2"/>
  <c r="AS71" i="2"/>
  <c r="B12" i="5" s="1"/>
  <c r="B98" i="8" s="1"/>
  <c r="AS72" i="2"/>
  <c r="B13" i="5" s="1"/>
  <c r="B99" i="8" s="1"/>
  <c r="AS70" i="2"/>
  <c r="B11" i="5" s="1"/>
  <c r="B97" i="8" s="1"/>
  <c r="AS68" i="2"/>
  <c r="B9" i="5" s="1"/>
  <c r="B95" i="8" s="1"/>
  <c r="AS69" i="2"/>
  <c r="B10" i="5" s="1"/>
  <c r="B96" i="8" s="1"/>
  <c r="AS67" i="2"/>
  <c r="AS65" i="2"/>
  <c r="B6" i="5" s="1"/>
  <c r="B92" i="8" s="1"/>
  <c r="AS66" i="2"/>
  <c r="B7" i="5" s="1"/>
  <c r="B93" i="8" s="1"/>
  <c r="AS64" i="2"/>
  <c r="B5" i="5" s="1"/>
  <c r="B91" i="8" s="1"/>
  <c r="AS62" i="2"/>
  <c r="B3" i="5" s="1"/>
  <c r="B89" i="8" s="1"/>
  <c r="AS63" i="2"/>
  <c r="AS61" i="2"/>
  <c r="B2" i="5" s="1"/>
  <c r="B88" i="8" s="1"/>
  <c r="AT61" i="2"/>
  <c r="C2" i="5" s="1"/>
  <c r="C88" i="8" s="1"/>
  <c r="I179" i="2"/>
  <c r="G179" i="2"/>
  <c r="E179" i="2"/>
  <c r="J179" i="2" s="1"/>
  <c r="I178" i="2"/>
  <c r="G178" i="2"/>
  <c r="E178" i="2"/>
  <c r="J178" i="2" s="1"/>
  <c r="I177" i="2"/>
  <c r="G177" i="2"/>
  <c r="F177" i="2"/>
  <c r="E177" i="2"/>
  <c r="J177" i="2" s="1"/>
  <c r="I176" i="2"/>
  <c r="G176" i="2"/>
  <c r="E176" i="2"/>
  <c r="J176" i="2" s="1"/>
  <c r="I175" i="2"/>
  <c r="G175" i="2"/>
  <c r="E175" i="2"/>
  <c r="J175" i="2" s="1"/>
  <c r="I174" i="2"/>
  <c r="G174" i="2"/>
  <c r="D174" i="2"/>
  <c r="E174" i="2" s="1"/>
  <c r="J174" i="2" s="1"/>
  <c r="I173" i="2"/>
  <c r="G173" i="2"/>
  <c r="E173" i="2"/>
  <c r="J173" i="2" s="1"/>
  <c r="I172" i="2"/>
  <c r="G172" i="2"/>
  <c r="E172" i="2"/>
  <c r="J172" i="2" s="1"/>
  <c r="I171" i="2"/>
  <c r="G171" i="2"/>
  <c r="E171" i="2"/>
  <c r="J171" i="2" s="1"/>
  <c r="F170" i="2"/>
  <c r="C170" i="2"/>
  <c r="I170" i="2" s="1"/>
  <c r="I169" i="2"/>
  <c r="G169" i="2"/>
  <c r="F169" i="2"/>
  <c r="E169" i="2"/>
  <c r="J169" i="2" s="1"/>
  <c r="I168" i="2"/>
  <c r="G168" i="2"/>
  <c r="F168" i="2"/>
  <c r="E168" i="2"/>
  <c r="J168" i="2" s="1"/>
  <c r="I167" i="2"/>
  <c r="G167" i="2"/>
  <c r="E167" i="2"/>
  <c r="J167" i="2" s="1"/>
  <c r="I166" i="2"/>
  <c r="G166" i="2"/>
  <c r="E166" i="2"/>
  <c r="J166" i="2" s="1"/>
  <c r="I165" i="2"/>
  <c r="G165" i="2"/>
  <c r="E165" i="2"/>
  <c r="J165" i="2" s="1"/>
  <c r="I164" i="2"/>
  <c r="G164" i="2"/>
  <c r="E164" i="2"/>
  <c r="J164" i="2" s="1"/>
  <c r="I163" i="2"/>
  <c r="G163" i="2"/>
  <c r="E163" i="2"/>
  <c r="J163" i="2" s="1"/>
  <c r="I162" i="2"/>
  <c r="G162" i="2"/>
  <c r="E162" i="2"/>
  <c r="J162" i="2" s="1"/>
  <c r="I161" i="2"/>
  <c r="G161" i="2"/>
  <c r="E161" i="2"/>
  <c r="J161" i="2" s="1"/>
  <c r="I160" i="2"/>
  <c r="G160" i="2"/>
  <c r="E160" i="2"/>
  <c r="J160" i="2" s="1"/>
  <c r="I159" i="2"/>
  <c r="G159" i="2"/>
  <c r="E159" i="2"/>
  <c r="J159" i="2" s="1"/>
  <c r="I158" i="2"/>
  <c r="G158" i="2"/>
  <c r="E158" i="2"/>
  <c r="J158" i="2" s="1"/>
  <c r="I157" i="2"/>
  <c r="G157" i="2"/>
  <c r="E157" i="2"/>
  <c r="J157" i="2" s="1"/>
  <c r="I156" i="2"/>
  <c r="G156" i="2"/>
  <c r="F156" i="2"/>
  <c r="E156" i="2"/>
  <c r="J156" i="2" s="1"/>
  <c r="I155" i="2"/>
  <c r="G155" i="2"/>
  <c r="E155" i="2"/>
  <c r="J155" i="2" s="1"/>
  <c r="F154" i="2"/>
  <c r="C154" i="2"/>
  <c r="I154" i="2" s="1"/>
  <c r="I153" i="2"/>
  <c r="G153" i="2"/>
  <c r="F153" i="2"/>
  <c r="D153" i="2"/>
  <c r="E153" i="2" s="1"/>
  <c r="J153" i="2" s="1"/>
  <c r="I152" i="2"/>
  <c r="G152" i="2"/>
  <c r="F152" i="2"/>
  <c r="E152" i="2"/>
  <c r="J152" i="2" s="1"/>
  <c r="I151" i="2"/>
  <c r="G151" i="2"/>
  <c r="F151" i="2"/>
  <c r="E151" i="2"/>
  <c r="J151" i="2" s="1"/>
  <c r="I150" i="2"/>
  <c r="G150" i="2"/>
  <c r="F150" i="2"/>
  <c r="E150" i="2"/>
  <c r="J150" i="2" s="1"/>
  <c r="I149" i="2"/>
  <c r="G149" i="2"/>
  <c r="E149" i="2"/>
  <c r="J149" i="2" s="1"/>
  <c r="I148" i="2"/>
  <c r="G148" i="2"/>
  <c r="F148" i="2"/>
  <c r="E148" i="2"/>
  <c r="J148" i="2" s="1"/>
  <c r="I147" i="2"/>
  <c r="G147" i="2"/>
  <c r="F147" i="2"/>
  <c r="E147" i="2"/>
  <c r="J147" i="2" s="1"/>
  <c r="J146" i="2"/>
  <c r="I146" i="2"/>
  <c r="G146" i="2"/>
  <c r="F146" i="2"/>
  <c r="E146" i="2"/>
  <c r="AS19" i="2"/>
  <c r="AQ14" i="2"/>
  <c r="AQ3" i="2"/>
  <c r="AQ4" i="2" s="1"/>
  <c r="AQ5" i="2" s="1"/>
  <c r="AQ6" i="2" s="1"/>
  <c r="AQ7" i="2" s="1"/>
  <c r="AQ8" i="2" s="1"/>
  <c r="AQ9" i="2" s="1"/>
  <c r="AQ10" i="2" s="1"/>
  <c r="AQ11" i="2" s="1"/>
  <c r="AQ12" i="2" s="1"/>
  <c r="AQ13" i="2" s="1"/>
  <c r="D108" i="2"/>
  <c r="AM38" i="2"/>
  <c r="C92" i="2" s="1"/>
  <c r="AM44" i="2"/>
  <c r="C98" i="2" s="1"/>
  <c r="AL38" i="2"/>
  <c r="I92" i="2" s="1"/>
  <c r="AL44" i="2"/>
  <c r="I98" i="2" s="1"/>
  <c r="AK38" i="2"/>
  <c r="AK44" i="2"/>
  <c r="Z49" i="2"/>
  <c r="AE49" i="2" s="1"/>
  <c r="AD48" i="2"/>
  <c r="AB48" i="2"/>
  <c r="Z48" i="2"/>
  <c r="AE48" i="2" s="1"/>
  <c r="AD47" i="2"/>
  <c r="AB47" i="2"/>
  <c r="Z47" i="2"/>
  <c r="AE47" i="2" s="1"/>
  <c r="AD46" i="2"/>
  <c r="AB46" i="2"/>
  <c r="Z46" i="2"/>
  <c r="AE46" i="2" s="1"/>
  <c r="Z45" i="2"/>
  <c r="AE45" i="2" s="1"/>
  <c r="Z43" i="2"/>
  <c r="AE43" i="2" s="1"/>
  <c r="AD42" i="2"/>
  <c r="AB42" i="2"/>
  <c r="Z42" i="2"/>
  <c r="AE42" i="2" s="1"/>
  <c r="Z41" i="2"/>
  <c r="AE41" i="2" s="1"/>
  <c r="Z40" i="2"/>
  <c r="AE40" i="2" s="1"/>
  <c r="E49" i="2"/>
  <c r="J49" i="2" s="1"/>
  <c r="E48" i="2"/>
  <c r="J48" i="2" s="1"/>
  <c r="G47" i="2"/>
  <c r="E47" i="2"/>
  <c r="J47" i="2" s="1"/>
  <c r="F46" i="2"/>
  <c r="E46" i="2"/>
  <c r="J46" i="2" s="1"/>
  <c r="E45" i="2"/>
  <c r="J45" i="2" s="1"/>
  <c r="E43" i="2"/>
  <c r="J43" i="2" s="1"/>
  <c r="F41" i="2"/>
  <c r="E41" i="2"/>
  <c r="J41" i="2" s="1"/>
  <c r="E40" i="2"/>
  <c r="J40" i="2" s="1"/>
  <c r="E39" i="2"/>
  <c r="J39" i="2" s="1"/>
  <c r="AD16" i="2"/>
  <c r="AB16" i="2"/>
  <c r="Z37" i="2"/>
  <c r="AE37" i="2" s="1"/>
  <c r="Z36" i="2"/>
  <c r="AE36" i="2" s="1"/>
  <c r="AA34" i="2"/>
  <c r="Z34" i="2"/>
  <c r="AE34" i="2" s="1"/>
  <c r="Z35" i="2"/>
  <c r="AE35" i="2" s="1"/>
  <c r="Z33" i="2"/>
  <c r="AE33" i="2" s="1"/>
  <c r="Z32" i="2"/>
  <c r="AE32" i="2" s="1"/>
  <c r="Z30" i="2"/>
  <c r="AE30" i="2" s="1"/>
  <c r="AD29" i="2"/>
  <c r="Z28" i="2"/>
  <c r="AE28" i="2" s="1"/>
  <c r="AA27" i="2"/>
  <c r="Z27" i="2"/>
  <c r="AE27" i="2" s="1"/>
  <c r="AD26" i="2"/>
  <c r="AB26" i="2"/>
  <c r="Z26" i="2"/>
  <c r="AE26" i="2" s="1"/>
  <c r="Z29" i="2"/>
  <c r="AE29" i="2" s="1"/>
  <c r="Z25" i="2"/>
  <c r="AE25" i="2" s="1"/>
  <c r="Z24" i="2"/>
  <c r="AE24" i="2" s="1"/>
  <c r="Z23" i="2"/>
  <c r="AE23" i="2" s="1"/>
  <c r="Z22" i="2"/>
  <c r="AE22" i="2" s="1"/>
  <c r="AB21" i="2"/>
  <c r="Z21" i="2"/>
  <c r="AE21" i="2" s="1"/>
  <c r="Z20" i="2"/>
  <c r="AE20" i="2" s="1"/>
  <c r="Z19" i="2"/>
  <c r="AE19" i="2" s="1"/>
  <c r="Z18" i="2"/>
  <c r="AE18" i="2" s="1"/>
  <c r="Z17" i="2"/>
  <c r="AE17" i="2" s="1"/>
  <c r="AA16" i="2"/>
  <c r="Y16" i="2"/>
  <c r="Z16" i="2" s="1"/>
  <c r="AE16" i="2" s="1"/>
  <c r="AD15" i="2"/>
  <c r="AB15" i="2"/>
  <c r="Z15" i="2"/>
  <c r="AE15" i="2" s="1"/>
  <c r="AD14" i="2"/>
  <c r="AB14" i="2"/>
  <c r="Z14" i="2"/>
  <c r="AE14" i="2" s="1"/>
  <c r="K99" i="8" l="1"/>
  <c r="K114" i="8"/>
  <c r="K121" i="8"/>
  <c r="I109" i="8"/>
  <c r="K109" i="8" s="1"/>
  <c r="B198" i="8"/>
  <c r="A198" i="8"/>
  <c r="K92" i="8"/>
  <c r="K97" i="8"/>
  <c r="K105" i="8"/>
  <c r="K118" i="8"/>
  <c r="A194" i="8"/>
  <c r="B194" i="8"/>
  <c r="I88" i="8"/>
  <c r="K88" i="8" s="1"/>
  <c r="I97" i="8"/>
  <c r="B195" i="8"/>
  <c r="A195" i="8"/>
  <c r="K90" i="8"/>
  <c r="K95" i="8"/>
  <c r="B196" i="8"/>
  <c r="I100" i="8"/>
  <c r="K100" i="8" s="1"/>
  <c r="A196" i="8"/>
  <c r="K103" i="8"/>
  <c r="V27" i="9"/>
  <c r="AC25" i="9"/>
  <c r="AB25" i="9"/>
  <c r="K101" i="8"/>
  <c r="K111" i="8"/>
  <c r="AB26" i="9"/>
  <c r="AC26" i="9"/>
  <c r="V26" i="9"/>
  <c r="U26" i="9"/>
  <c r="AB27" i="9"/>
  <c r="AC27" i="9"/>
  <c r="A197" i="8"/>
  <c r="I106" i="8"/>
  <c r="K106" i="8" s="1"/>
  <c r="B197" i="8"/>
  <c r="B216" i="8" s="1"/>
  <c r="B221" i="8" s="1"/>
  <c r="U25" i="9"/>
  <c r="L9" i="8"/>
  <c r="M9" i="8" s="1"/>
  <c r="BI390" i="8" s="1"/>
  <c r="Q3" i="8"/>
  <c r="R3" i="8" s="1"/>
  <c r="Q19" i="8"/>
  <c r="L32" i="8"/>
  <c r="M32" i="8" s="1"/>
  <c r="BI378" i="8" s="1"/>
  <c r="L35" i="8"/>
  <c r="M35" i="8" s="1"/>
  <c r="Q27" i="8"/>
  <c r="R16" i="8"/>
  <c r="Q260" i="8"/>
  <c r="BI361" i="8"/>
  <c r="R9" i="8"/>
  <c r="Q253" i="8"/>
  <c r="BI377" i="8"/>
  <c r="BI362" i="8"/>
  <c r="BI381" i="8"/>
  <c r="BI374" i="8"/>
  <c r="BI364" i="8"/>
  <c r="BI395" i="8"/>
  <c r="R18" i="8"/>
  <c r="Q262" i="8"/>
  <c r="R35" i="8"/>
  <c r="Q279" i="8"/>
  <c r="R32" i="8"/>
  <c r="Q276" i="8"/>
  <c r="R20" i="8"/>
  <c r="Q264" i="8"/>
  <c r="R7" i="8"/>
  <c r="Q251" i="8"/>
  <c r="C491" i="8"/>
  <c r="J491" i="8" s="1"/>
  <c r="BI371" i="8"/>
  <c r="C476" i="8"/>
  <c r="J476" i="8" s="1"/>
  <c r="C139" i="8"/>
  <c r="C157" i="8"/>
  <c r="C477" i="8"/>
  <c r="J477" i="8" s="1"/>
  <c r="C150" i="8"/>
  <c r="I249" i="8"/>
  <c r="K249" i="8" s="1"/>
  <c r="I310" i="8"/>
  <c r="I459" i="8" s="1"/>
  <c r="K459" i="8" s="1"/>
  <c r="N459" i="8" s="1"/>
  <c r="V466" i="8" s="1"/>
  <c r="I57" i="8"/>
  <c r="I145" i="8" s="1"/>
  <c r="I332" i="8"/>
  <c r="I481" i="8" s="1"/>
  <c r="K481" i="8" s="1"/>
  <c r="N481" i="8" s="1"/>
  <c r="S474" i="8" s="1"/>
  <c r="I271" i="8"/>
  <c r="K271" i="8" s="1"/>
  <c r="I55" i="8"/>
  <c r="I143" i="8" s="1"/>
  <c r="C480" i="8"/>
  <c r="J480" i="8" s="1"/>
  <c r="C145" i="8"/>
  <c r="C470" i="8"/>
  <c r="J470" i="8" s="1"/>
  <c r="I254" i="8"/>
  <c r="K254" i="8" s="1"/>
  <c r="I315" i="8"/>
  <c r="I464" i="8" s="1"/>
  <c r="K464" i="8" s="1"/>
  <c r="N464" i="8" s="1"/>
  <c r="AE467" i="8" s="1"/>
  <c r="I75" i="8"/>
  <c r="I163" i="8" s="1"/>
  <c r="I320" i="8"/>
  <c r="I469" i="8" s="1"/>
  <c r="K469" i="8" s="1"/>
  <c r="N469" i="8" s="1"/>
  <c r="S471" i="8" s="1"/>
  <c r="I259" i="8"/>
  <c r="K259" i="8" s="1"/>
  <c r="I52" i="8"/>
  <c r="I140" i="8" s="1"/>
  <c r="I329" i="8"/>
  <c r="I478" i="8" s="1"/>
  <c r="K478" i="8" s="1"/>
  <c r="N478" i="8" s="1"/>
  <c r="AB469" i="8" s="1"/>
  <c r="I268" i="8"/>
  <c r="K268" i="8" s="1"/>
  <c r="I72" i="8"/>
  <c r="I160" i="8" s="1"/>
  <c r="C487" i="8"/>
  <c r="J487" i="8" s="1"/>
  <c r="Q25" i="8"/>
  <c r="I339" i="8"/>
  <c r="I488" i="8" s="1"/>
  <c r="K488" i="8" s="1"/>
  <c r="N488" i="8" s="1"/>
  <c r="AE473" i="8" s="1"/>
  <c r="I278" i="8"/>
  <c r="K278" i="8" s="1"/>
  <c r="I81" i="8"/>
  <c r="I169" i="8" s="1"/>
  <c r="C169" i="8"/>
  <c r="L18" i="8"/>
  <c r="M18" i="8" s="1"/>
  <c r="C464" i="8"/>
  <c r="J464" i="8" s="1"/>
  <c r="M464" i="8" s="1"/>
  <c r="C462" i="8"/>
  <c r="J462" i="8" s="1"/>
  <c r="C483" i="8"/>
  <c r="J483" i="8" s="1"/>
  <c r="I311" i="8"/>
  <c r="I460" i="8" s="1"/>
  <c r="K460" i="8" s="1"/>
  <c r="N460" i="8" s="1"/>
  <c r="Y466" i="8" s="1"/>
  <c r="I250" i="8"/>
  <c r="K250" i="8" s="1"/>
  <c r="I66" i="8"/>
  <c r="I154" i="8" s="1"/>
  <c r="C167" i="8"/>
  <c r="C137" i="8"/>
  <c r="I331" i="8"/>
  <c r="I480" i="8" s="1"/>
  <c r="K480" i="8" s="1"/>
  <c r="N480" i="8" s="1"/>
  <c r="S473" i="8" s="1"/>
  <c r="I270" i="8"/>
  <c r="I54" i="8"/>
  <c r="I142" i="8" s="1"/>
  <c r="R19" i="8"/>
  <c r="Q263" i="8"/>
  <c r="C164" i="8"/>
  <c r="C484" i="8"/>
  <c r="J484" i="8" s="1"/>
  <c r="C135" i="8"/>
  <c r="BI368" i="8"/>
  <c r="I327" i="8"/>
  <c r="I476" i="8" s="1"/>
  <c r="K476" i="8" s="1"/>
  <c r="N476" i="8" s="1"/>
  <c r="AE470" i="8" s="1"/>
  <c r="I266" i="8"/>
  <c r="K266" i="8" s="1"/>
  <c r="I78" i="8"/>
  <c r="I166" i="8" s="1"/>
  <c r="BE362" i="8"/>
  <c r="BD362" i="8"/>
  <c r="A184" i="8"/>
  <c r="F154" i="8"/>
  <c r="B184" i="8"/>
  <c r="C459" i="8"/>
  <c r="J459" i="8" s="1"/>
  <c r="BI372" i="8"/>
  <c r="I277" i="8"/>
  <c r="I338" i="8"/>
  <c r="I487" i="8" s="1"/>
  <c r="K487" i="8" s="1"/>
  <c r="N487" i="8" s="1"/>
  <c r="AE472" i="8" s="1"/>
  <c r="I80" i="8"/>
  <c r="I168" i="8" s="1"/>
  <c r="I325" i="8"/>
  <c r="I474" i="8" s="1"/>
  <c r="K474" i="8" s="1"/>
  <c r="N474" i="8" s="1"/>
  <c r="Y470" i="8" s="1"/>
  <c r="I264" i="8"/>
  <c r="K264" i="8" s="1"/>
  <c r="I70" i="8"/>
  <c r="I158" i="8" s="1"/>
  <c r="I312" i="8"/>
  <c r="I461" i="8" s="1"/>
  <c r="K461" i="8" s="1"/>
  <c r="N461" i="8" s="1"/>
  <c r="Y467" i="8" s="1"/>
  <c r="I251" i="8"/>
  <c r="I67" i="8"/>
  <c r="I155" i="8" s="1"/>
  <c r="C154" i="8"/>
  <c r="C474" i="8"/>
  <c r="J474" i="8" s="1"/>
  <c r="L7" i="8"/>
  <c r="M7" i="8" s="1"/>
  <c r="I322" i="8"/>
  <c r="I471" i="8" s="1"/>
  <c r="K471" i="8" s="1"/>
  <c r="N471" i="8" s="1"/>
  <c r="V467" i="8" s="1"/>
  <c r="I261" i="8"/>
  <c r="I58" i="8"/>
  <c r="I146" i="8" s="1"/>
  <c r="C468" i="8"/>
  <c r="J468" i="8" s="1"/>
  <c r="C488" i="8"/>
  <c r="J488" i="8" s="1"/>
  <c r="C147" i="8"/>
  <c r="C144" i="8"/>
  <c r="C165" i="8"/>
  <c r="BI392" i="8"/>
  <c r="C162" i="8"/>
  <c r="C151" i="8"/>
  <c r="C155" i="8"/>
  <c r="I333" i="8"/>
  <c r="I482" i="8" s="1"/>
  <c r="K482" i="8" s="1"/>
  <c r="N482" i="8" s="1"/>
  <c r="S475" i="8" s="1"/>
  <c r="I272" i="8"/>
  <c r="K272" i="8" s="1"/>
  <c r="I56" i="8"/>
  <c r="I144" i="8" s="1"/>
  <c r="BI388" i="8"/>
  <c r="L28" i="8"/>
  <c r="M28" i="8" s="1"/>
  <c r="C458" i="8"/>
  <c r="J458" i="8" s="1"/>
  <c r="I252" i="8"/>
  <c r="K252" i="8" s="1"/>
  <c r="I313" i="8"/>
  <c r="I462" i="8" s="1"/>
  <c r="K462" i="8" s="1"/>
  <c r="N462" i="8" s="1"/>
  <c r="AB466" i="8" s="1"/>
  <c r="I68" i="8"/>
  <c r="I156" i="8" s="1"/>
  <c r="C486" i="8"/>
  <c r="J486" i="8" s="1"/>
  <c r="C148" i="8"/>
  <c r="R17" i="8"/>
  <c r="Q261" i="8"/>
  <c r="C143" i="8"/>
  <c r="K55" i="8"/>
  <c r="L55" i="8" s="1"/>
  <c r="I330" i="8"/>
  <c r="I479" i="8" s="1"/>
  <c r="K479" i="8" s="1"/>
  <c r="N479" i="8" s="1"/>
  <c r="AE471" i="8" s="1"/>
  <c r="I269" i="8"/>
  <c r="K269" i="8" s="1"/>
  <c r="I79" i="8"/>
  <c r="I167" i="8" s="1"/>
  <c r="R13" i="8"/>
  <c r="Q257" i="8"/>
  <c r="C159" i="8"/>
  <c r="C481" i="8"/>
  <c r="J481" i="8" s="1"/>
  <c r="C142" i="8"/>
  <c r="K142" i="8" s="1"/>
  <c r="K261" i="8"/>
  <c r="I326" i="8"/>
  <c r="I475" i="8" s="1"/>
  <c r="K475" i="8" s="1"/>
  <c r="N475" i="8" s="1"/>
  <c r="AE469" i="8" s="1"/>
  <c r="I265" i="8"/>
  <c r="K265" i="8" s="1"/>
  <c r="I77" i="8"/>
  <c r="I165" i="8" s="1"/>
  <c r="I340" i="8"/>
  <c r="I489" i="8" s="1"/>
  <c r="K489" i="8" s="1"/>
  <c r="N489" i="8" s="1"/>
  <c r="Y475" i="8" s="1"/>
  <c r="I279" i="8"/>
  <c r="K279" i="8" s="1"/>
  <c r="I73" i="8"/>
  <c r="I161" i="8" s="1"/>
  <c r="Q33" i="8"/>
  <c r="Q31" i="8"/>
  <c r="C461" i="8"/>
  <c r="J461" i="8" s="1"/>
  <c r="C479" i="8"/>
  <c r="J479" i="8" s="1"/>
  <c r="C161" i="8"/>
  <c r="I337" i="8"/>
  <c r="I486" i="8" s="1"/>
  <c r="K486" i="8" s="1"/>
  <c r="N486" i="8" s="1"/>
  <c r="Y473" i="8" s="1"/>
  <c r="I276" i="8"/>
  <c r="K276" i="8" s="1"/>
  <c r="I64" i="8"/>
  <c r="I152" i="8" s="1"/>
  <c r="C472" i="8"/>
  <c r="J472" i="8" s="1"/>
  <c r="Q28" i="8"/>
  <c r="C140" i="8"/>
  <c r="K140" i="8" s="1"/>
  <c r="K52" i="8"/>
  <c r="L52" i="8" s="1"/>
  <c r="I342" i="8"/>
  <c r="I491" i="8" s="1"/>
  <c r="K491" i="8" s="1"/>
  <c r="N491" i="8" s="1"/>
  <c r="AE474" i="8" s="1"/>
  <c r="I281" i="8"/>
  <c r="K281" i="8" s="1"/>
  <c r="I82" i="8"/>
  <c r="I170" i="8" s="1"/>
  <c r="I317" i="8"/>
  <c r="I466" i="8" s="1"/>
  <c r="K466" i="8" s="1"/>
  <c r="N466" i="8" s="1"/>
  <c r="AB467" i="8" s="1"/>
  <c r="I256" i="8"/>
  <c r="K256" i="8" s="1"/>
  <c r="I69" i="8"/>
  <c r="I157" i="8" s="1"/>
  <c r="Q21" i="8"/>
  <c r="Q8" i="8"/>
  <c r="C473" i="8"/>
  <c r="J473" i="8" s="1"/>
  <c r="BI375" i="8"/>
  <c r="I307" i="8"/>
  <c r="I456" i="8" s="1"/>
  <c r="K456" i="8" s="1"/>
  <c r="N456" i="8" s="1"/>
  <c r="S466" i="8" s="1"/>
  <c r="I246" i="8"/>
  <c r="K246" i="8" s="1"/>
  <c r="I47" i="8"/>
  <c r="I135" i="8" s="1"/>
  <c r="BE361" i="8"/>
  <c r="BD361" i="8"/>
  <c r="A183" i="8"/>
  <c r="B183" i="8"/>
  <c r="F145" i="8"/>
  <c r="C136" i="8"/>
  <c r="K251" i="8"/>
  <c r="C466" i="8"/>
  <c r="J466" i="8" s="1"/>
  <c r="BI398" i="8"/>
  <c r="R23" i="8"/>
  <c r="Q267" i="8"/>
  <c r="I321" i="8"/>
  <c r="I470" i="8" s="1"/>
  <c r="K470" i="8" s="1"/>
  <c r="N470" i="8" s="1"/>
  <c r="S472" i="8" s="1"/>
  <c r="I260" i="8"/>
  <c r="K260" i="8" s="1"/>
  <c r="I53" i="8"/>
  <c r="I141" i="8" s="1"/>
  <c r="I247" i="8"/>
  <c r="K247" i="8" s="1"/>
  <c r="I308" i="8"/>
  <c r="I457" i="8" s="1"/>
  <c r="K457" i="8" s="1"/>
  <c r="N457" i="8" s="1"/>
  <c r="S467" i="8" s="1"/>
  <c r="I48" i="8"/>
  <c r="I136" i="8" s="1"/>
  <c r="C456" i="8"/>
  <c r="J456" i="8" s="1"/>
  <c r="L26" i="8"/>
  <c r="M26" i="8" s="1"/>
  <c r="C141" i="8"/>
  <c r="C457" i="8"/>
  <c r="J457" i="8" s="1"/>
  <c r="M457" i="8" s="1"/>
  <c r="L308" i="8"/>
  <c r="M308" i="8" s="1"/>
  <c r="M383" i="8" s="1"/>
  <c r="C471" i="8"/>
  <c r="J471" i="8" s="1"/>
  <c r="I324" i="8"/>
  <c r="I473" i="8" s="1"/>
  <c r="K473" i="8" s="1"/>
  <c r="N473" i="8" s="1"/>
  <c r="Y469" i="8" s="1"/>
  <c r="I263" i="8"/>
  <c r="K263" i="8" s="1"/>
  <c r="I60" i="8"/>
  <c r="I148" i="8" s="1"/>
  <c r="Q22" i="8"/>
  <c r="L33" i="8"/>
  <c r="M33" i="8" s="1"/>
  <c r="C463" i="8"/>
  <c r="J463" i="8" s="1"/>
  <c r="Q24" i="8"/>
  <c r="Q15" i="8"/>
  <c r="C163" i="8"/>
  <c r="K163" i="8" s="1"/>
  <c r="L21" i="8"/>
  <c r="M21" i="8" s="1"/>
  <c r="L8" i="8"/>
  <c r="M8" i="8" s="1"/>
  <c r="C149" i="8"/>
  <c r="BD360" i="8"/>
  <c r="BE360" i="8"/>
  <c r="F135" i="8"/>
  <c r="B182" i="8"/>
  <c r="A182" i="8"/>
  <c r="R27" i="8"/>
  <c r="Q271" i="8"/>
  <c r="Q6" i="8"/>
  <c r="C478" i="8"/>
  <c r="J478" i="8" s="1"/>
  <c r="R2" i="8"/>
  <c r="Q246" i="8"/>
  <c r="R37" i="8"/>
  <c r="Q281" i="8"/>
  <c r="C467" i="8"/>
  <c r="J467" i="8" s="1"/>
  <c r="BI386" i="8"/>
  <c r="R30" i="8"/>
  <c r="Q274" i="8"/>
  <c r="BI360" i="8"/>
  <c r="Q26" i="8"/>
  <c r="L16" i="8"/>
  <c r="M16" i="8" s="1"/>
  <c r="L22" i="8"/>
  <c r="M22" i="8" s="1"/>
  <c r="I314" i="8"/>
  <c r="I463" i="8" s="1"/>
  <c r="K463" i="8" s="1"/>
  <c r="N463" i="8" s="1"/>
  <c r="AE466" i="8" s="1"/>
  <c r="I253" i="8"/>
  <c r="K253" i="8" s="1"/>
  <c r="I74" i="8"/>
  <c r="I162" i="8" s="1"/>
  <c r="I336" i="8"/>
  <c r="I485" i="8" s="1"/>
  <c r="K485" i="8" s="1"/>
  <c r="N485" i="8" s="1"/>
  <c r="Y472" i="8" s="1"/>
  <c r="I275" i="8"/>
  <c r="K275" i="8" s="1"/>
  <c r="I63" i="8"/>
  <c r="I151" i="8" s="1"/>
  <c r="C168" i="8"/>
  <c r="K168" i="8" s="1"/>
  <c r="K80" i="8"/>
  <c r="L80" i="8" s="1"/>
  <c r="L20" i="8"/>
  <c r="M20" i="8" s="1"/>
  <c r="L24" i="8"/>
  <c r="M24" i="8" s="1"/>
  <c r="C489" i="8"/>
  <c r="J489" i="8" s="1"/>
  <c r="M489" i="8" s="1"/>
  <c r="L340" i="8"/>
  <c r="M340" i="8" s="1"/>
  <c r="J400" i="8" s="1"/>
  <c r="J391" i="8" s="1"/>
  <c r="Q34" i="8"/>
  <c r="C482" i="8"/>
  <c r="J482" i="8" s="1"/>
  <c r="L333" i="8"/>
  <c r="M333" i="8" s="1"/>
  <c r="M391" i="8" s="1"/>
  <c r="L15" i="8"/>
  <c r="M15" i="8" s="1"/>
  <c r="L10" i="8"/>
  <c r="M10" i="8" s="1"/>
  <c r="C475" i="8"/>
  <c r="J475" i="8" s="1"/>
  <c r="C156" i="8"/>
  <c r="I335" i="8"/>
  <c r="I484" i="8" s="1"/>
  <c r="K484" i="8" s="1"/>
  <c r="N484" i="8" s="1"/>
  <c r="Y471" i="8" s="1"/>
  <c r="I274" i="8"/>
  <c r="K274" i="8" s="1"/>
  <c r="I62" i="8"/>
  <c r="I150" i="8" s="1"/>
  <c r="R29" i="8"/>
  <c r="Q273" i="8"/>
  <c r="I334" i="8"/>
  <c r="I483" i="8" s="1"/>
  <c r="K483" i="8" s="1"/>
  <c r="N483" i="8" s="1"/>
  <c r="V468" i="8" s="1"/>
  <c r="I273" i="8"/>
  <c r="K273" i="8" s="1"/>
  <c r="I61" i="8"/>
  <c r="I149" i="8" s="1"/>
  <c r="I323" i="8"/>
  <c r="I472" i="8" s="1"/>
  <c r="K472" i="8" s="1"/>
  <c r="N472" i="8" s="1"/>
  <c r="Y468" i="8" s="1"/>
  <c r="I262" i="8"/>
  <c r="K262" i="8" s="1"/>
  <c r="I59" i="8"/>
  <c r="I147" i="8" s="1"/>
  <c r="I319" i="8"/>
  <c r="I468" i="8" s="1"/>
  <c r="K468" i="8" s="1"/>
  <c r="N468" i="8" s="1"/>
  <c r="S470" i="8" s="1"/>
  <c r="I258" i="8"/>
  <c r="K258" i="8" s="1"/>
  <c r="I51" i="8"/>
  <c r="I139" i="8" s="1"/>
  <c r="C146" i="8"/>
  <c r="C460" i="8"/>
  <c r="J460" i="8" s="1"/>
  <c r="M460" i="8" s="1"/>
  <c r="L311" i="8"/>
  <c r="M311" i="8" s="1"/>
  <c r="J382" i="8" s="1"/>
  <c r="C170" i="8"/>
  <c r="R12" i="8"/>
  <c r="Q256" i="8"/>
  <c r="BI376" i="8"/>
  <c r="I309" i="8"/>
  <c r="I458" i="8" s="1"/>
  <c r="K458" i="8" s="1"/>
  <c r="N458" i="8" s="1"/>
  <c r="S468" i="8" s="1"/>
  <c r="I248" i="8"/>
  <c r="K248" i="8" s="1"/>
  <c r="I49" i="8"/>
  <c r="I137" i="8" s="1"/>
  <c r="K270" i="8"/>
  <c r="Q5" i="8"/>
  <c r="K78" i="8"/>
  <c r="L78" i="8" s="1"/>
  <c r="C166" i="8"/>
  <c r="K166" i="8" s="1"/>
  <c r="BD363" i="8"/>
  <c r="BE363" i="8"/>
  <c r="B185" i="8"/>
  <c r="F162" i="8"/>
  <c r="A185" i="8"/>
  <c r="K277" i="8"/>
  <c r="C158" i="8"/>
  <c r="K158" i="8" s="1"/>
  <c r="K70" i="8"/>
  <c r="L70" i="8" s="1"/>
  <c r="C485" i="8"/>
  <c r="J485" i="8" s="1"/>
  <c r="L336" i="8"/>
  <c r="M336" i="8" s="1"/>
  <c r="J388" i="8" s="1"/>
  <c r="Q14" i="8"/>
  <c r="C160" i="8"/>
  <c r="K160" i="8" s="1"/>
  <c r="K72" i="8"/>
  <c r="L72" i="8" s="1"/>
  <c r="L34" i="8"/>
  <c r="M34" i="8" s="1"/>
  <c r="Q4" i="8"/>
  <c r="C469" i="8"/>
  <c r="J469" i="8" s="1"/>
  <c r="M469" i="8" s="1"/>
  <c r="L320" i="8"/>
  <c r="M320" i="8" s="1"/>
  <c r="M387" i="8" s="1"/>
  <c r="I318" i="8"/>
  <c r="I467" i="8" s="1"/>
  <c r="K467" i="8" s="1"/>
  <c r="N467" i="8" s="1"/>
  <c r="AE468" i="8" s="1"/>
  <c r="I257" i="8"/>
  <c r="K257" i="8" s="1"/>
  <c r="I76" i="8"/>
  <c r="I164" i="8" s="1"/>
  <c r="I328" i="8"/>
  <c r="I477" i="8" s="1"/>
  <c r="K477" i="8" s="1"/>
  <c r="N477" i="8" s="1"/>
  <c r="AB468" i="8" s="1"/>
  <c r="I71" i="8"/>
  <c r="I159" i="8" s="1"/>
  <c r="I267" i="8"/>
  <c r="K267" i="8" s="1"/>
  <c r="Q10" i="8"/>
  <c r="C152" i="8"/>
  <c r="L49" i="2"/>
  <c r="K49" i="2"/>
  <c r="M49" i="2"/>
  <c r="R49" i="2" s="1"/>
  <c r="F103" i="2" s="1"/>
  <c r="L46" i="2"/>
  <c r="M44" i="2"/>
  <c r="R44" i="2" s="1"/>
  <c r="F98" i="2" s="1"/>
  <c r="AU93" i="2" s="1"/>
  <c r="V195" i="10"/>
  <c r="AB187" i="10"/>
  <c r="W196" i="10"/>
  <c r="U193" i="10"/>
  <c r="AC184" i="10"/>
  <c r="U194" i="10"/>
  <c r="V193" i="10"/>
  <c r="U196" i="10"/>
  <c r="AC185" i="10"/>
  <c r="I183" i="10"/>
  <c r="AH27" i="10"/>
  <c r="AB185" i="10"/>
  <c r="AB184" i="10"/>
  <c r="W193" i="10"/>
  <c r="G184" i="10"/>
  <c r="AD186" i="10"/>
  <c r="D234" i="10"/>
  <c r="H177" i="10"/>
  <c r="M177" i="10" s="1"/>
  <c r="I177" i="10"/>
  <c r="N177" i="10" s="1"/>
  <c r="J177" i="10"/>
  <c r="O177" i="10" s="1"/>
  <c r="I184" i="10"/>
  <c r="H178" i="10"/>
  <c r="M178" i="10" s="1"/>
  <c r="J178" i="10"/>
  <c r="O178" i="10" s="1"/>
  <c r="D235" i="10"/>
  <c r="I178" i="10"/>
  <c r="N178" i="10" s="1"/>
  <c r="G183" i="10"/>
  <c r="BG42" i="10"/>
  <c r="W194" i="10"/>
  <c r="H185" i="10"/>
  <c r="D222" i="10"/>
  <c r="D207" i="10"/>
  <c r="D212" i="10"/>
  <c r="D217" i="10"/>
  <c r="E103" i="10"/>
  <c r="J110" i="10" s="1"/>
  <c r="H110" i="10"/>
  <c r="J111" i="10"/>
  <c r="I110" i="10"/>
  <c r="H109" i="10"/>
  <c r="G111" i="10"/>
  <c r="I109" i="10"/>
  <c r="H111" i="10"/>
  <c r="J109" i="10"/>
  <c r="G109" i="10"/>
  <c r="G110" i="10"/>
  <c r="I111" i="10"/>
  <c r="I153" i="10"/>
  <c r="I154" i="10"/>
  <c r="J152" i="10"/>
  <c r="J153" i="10"/>
  <c r="J154" i="10"/>
  <c r="H153" i="10"/>
  <c r="H154" i="10"/>
  <c r="I152" i="10"/>
  <c r="J148" i="10"/>
  <c r="J149" i="10"/>
  <c r="J141" i="10"/>
  <c r="G153" i="10"/>
  <c r="G154" i="10"/>
  <c r="G152" i="10"/>
  <c r="G148" i="10"/>
  <c r="G149" i="10"/>
  <c r="H147" i="10"/>
  <c r="I148" i="10"/>
  <c r="I147" i="10"/>
  <c r="G140" i="10"/>
  <c r="I137" i="10"/>
  <c r="J147" i="10"/>
  <c r="G142" i="10"/>
  <c r="J137" i="10"/>
  <c r="H149" i="10"/>
  <c r="G147" i="10"/>
  <c r="H142" i="10"/>
  <c r="G136" i="10"/>
  <c r="I149" i="10"/>
  <c r="G141" i="10"/>
  <c r="I142" i="10"/>
  <c r="H141" i="10"/>
  <c r="J142" i="10"/>
  <c r="H140" i="10"/>
  <c r="I136" i="10"/>
  <c r="H152" i="10"/>
  <c r="I141" i="10"/>
  <c r="I140" i="10"/>
  <c r="J136" i="10"/>
  <c r="J135" i="10"/>
  <c r="J129" i="10"/>
  <c r="H127" i="10"/>
  <c r="I124" i="10"/>
  <c r="H122" i="10"/>
  <c r="G122" i="10"/>
  <c r="G116" i="10"/>
  <c r="I114" i="10"/>
  <c r="H116" i="10"/>
  <c r="H136" i="10"/>
  <c r="G135" i="10"/>
  <c r="I127" i="10"/>
  <c r="J124" i="10"/>
  <c r="I122" i="10"/>
  <c r="G115" i="10"/>
  <c r="J114" i="10"/>
  <c r="G128" i="10"/>
  <c r="J127" i="10"/>
  <c r="G127" i="10"/>
  <c r="J122" i="10"/>
  <c r="H115" i="10"/>
  <c r="I116" i="10"/>
  <c r="J140" i="10"/>
  <c r="H128" i="10"/>
  <c r="G123" i="10"/>
  <c r="I115" i="10"/>
  <c r="J116" i="10"/>
  <c r="I128" i="10"/>
  <c r="H123" i="10"/>
  <c r="J115" i="10"/>
  <c r="H137" i="10"/>
  <c r="I135" i="10"/>
  <c r="I129" i="10"/>
  <c r="H124" i="10"/>
  <c r="H114" i="10"/>
  <c r="G124" i="10"/>
  <c r="G129" i="10"/>
  <c r="G114" i="10"/>
  <c r="H129" i="10"/>
  <c r="J128" i="10"/>
  <c r="H148" i="10"/>
  <c r="I123" i="10"/>
  <c r="G137" i="10"/>
  <c r="H135" i="10"/>
  <c r="J123" i="10"/>
  <c r="AC186" i="10"/>
  <c r="V196" i="10"/>
  <c r="D211" i="10"/>
  <c r="D206" i="10"/>
  <c r="D221" i="10"/>
  <c r="D216" i="10"/>
  <c r="J185" i="10"/>
  <c r="AB186" i="10"/>
  <c r="D232" i="10"/>
  <c r="J175" i="10"/>
  <c r="O175" i="10" s="1"/>
  <c r="I175" i="10"/>
  <c r="N175" i="10" s="1"/>
  <c r="M175" i="10"/>
  <c r="D233" i="10"/>
  <c r="M176" i="10"/>
  <c r="J176" i="10"/>
  <c r="O176" i="10" s="1"/>
  <c r="I176" i="10"/>
  <c r="N176" i="10" s="1"/>
  <c r="U195" i="10"/>
  <c r="Y16" i="10"/>
  <c r="J184" i="10"/>
  <c r="I185" i="10"/>
  <c r="G185" i="10"/>
  <c r="Z16" i="10"/>
  <c r="AJ27" i="10"/>
  <c r="BH42" i="10"/>
  <c r="BI42" i="10"/>
  <c r="CM54" i="10"/>
  <c r="BI41" i="10"/>
  <c r="AJ28" i="10"/>
  <c r="CM52" i="10"/>
  <c r="Y14" i="10"/>
  <c r="CK53" i="10"/>
  <c r="BH41" i="10"/>
  <c r="CL52" i="10"/>
  <c r="CK54" i="10"/>
  <c r="AI27" i="10"/>
  <c r="E8" i="10"/>
  <c r="I19" i="10"/>
  <c r="I29" i="10"/>
  <c r="AI29" i="10"/>
  <c r="CM53" i="10"/>
  <c r="AH29" i="10"/>
  <c r="AH28" i="10"/>
  <c r="CL53" i="10"/>
  <c r="Z15" i="10"/>
  <c r="AI28" i="10"/>
  <c r="CL54" i="10"/>
  <c r="BH40" i="10"/>
  <c r="I34" i="10"/>
  <c r="I14" i="10"/>
  <c r="I40" i="10"/>
  <c r="BI40" i="10" s="1"/>
  <c r="B4" i="5"/>
  <c r="B90" i="8" s="1"/>
  <c r="B14" i="5"/>
  <c r="B100" i="8" s="1"/>
  <c r="L47" i="2"/>
  <c r="B98" i="2"/>
  <c r="M38" i="2"/>
  <c r="R38" i="2" s="1"/>
  <c r="L38" i="2"/>
  <c r="K38" i="2"/>
  <c r="M47" i="2"/>
  <c r="R47" i="2" s="1"/>
  <c r="L44" i="2"/>
  <c r="Q44" i="2" s="1"/>
  <c r="L98" i="2" s="1"/>
  <c r="AV93" i="2" s="1"/>
  <c r="L48" i="2"/>
  <c r="K47" i="2"/>
  <c r="K48" i="2"/>
  <c r="M48" i="2"/>
  <c r="R48" i="2" s="1"/>
  <c r="L177" i="2"/>
  <c r="L166" i="2"/>
  <c r="L178" i="2"/>
  <c r="L146" i="2"/>
  <c r="L150" i="2"/>
  <c r="L152" i="2"/>
  <c r="K159" i="2"/>
  <c r="L151" i="2"/>
  <c r="L153" i="2"/>
  <c r="M162" i="2"/>
  <c r="L149" i="2"/>
  <c r="K179" i="2"/>
  <c r="L160" i="2"/>
  <c r="K167" i="2"/>
  <c r="K171" i="2"/>
  <c r="L157" i="2"/>
  <c r="L155" i="2"/>
  <c r="L147" i="2"/>
  <c r="M161" i="2"/>
  <c r="L176" i="2"/>
  <c r="L148" i="2"/>
  <c r="L159" i="2"/>
  <c r="K148" i="2"/>
  <c r="L156" i="2"/>
  <c r="M148" i="2"/>
  <c r="K157" i="2"/>
  <c r="M179" i="2"/>
  <c r="M150" i="2"/>
  <c r="L179" i="2"/>
  <c r="K150" i="2"/>
  <c r="E154" i="2"/>
  <c r="J154" i="2" s="1"/>
  <c r="L154" i="2" s="1"/>
  <c r="K147" i="2"/>
  <c r="G154" i="2"/>
  <c r="M155" i="2"/>
  <c r="K169" i="2"/>
  <c r="M176" i="2"/>
  <c r="M147" i="2"/>
  <c r="K149" i="2"/>
  <c r="M159" i="2"/>
  <c r="K152" i="2"/>
  <c r="M149" i="2"/>
  <c r="K156" i="2"/>
  <c r="L161" i="2"/>
  <c r="K146" i="2"/>
  <c r="K151" i="2"/>
  <c r="K160" i="2"/>
  <c r="M152" i="2"/>
  <c r="K165" i="2"/>
  <c r="M146" i="2"/>
  <c r="M151" i="2"/>
  <c r="M153" i="2"/>
  <c r="M156" i="2"/>
  <c r="L158" i="2"/>
  <c r="M160" i="2"/>
  <c r="M163" i="2"/>
  <c r="K168" i="2"/>
  <c r="K158" i="2"/>
  <c r="L165" i="2"/>
  <c r="M165" i="2"/>
  <c r="M158" i="2"/>
  <c r="L169" i="2"/>
  <c r="M169" i="2"/>
  <c r="K155" i="2"/>
  <c r="M157" i="2"/>
  <c r="L167" i="2"/>
  <c r="M167" i="2"/>
  <c r="L171" i="2"/>
  <c r="M171" i="2"/>
  <c r="M177" i="2"/>
  <c r="K166" i="2"/>
  <c r="M173" i="2"/>
  <c r="L173" i="2"/>
  <c r="K173" i="2"/>
  <c r="M164" i="2"/>
  <c r="L164" i="2"/>
  <c r="M166" i="2"/>
  <c r="L168" i="2"/>
  <c r="M168" i="2"/>
  <c r="M172" i="2"/>
  <c r="L172" i="2"/>
  <c r="K172" i="2"/>
  <c r="K178" i="2"/>
  <c r="K153" i="2"/>
  <c r="L163" i="2"/>
  <c r="K163" i="2"/>
  <c r="K164" i="2"/>
  <c r="M178" i="2"/>
  <c r="M174" i="2"/>
  <c r="L174" i="2"/>
  <c r="K174" i="2"/>
  <c r="M175" i="2"/>
  <c r="L175" i="2"/>
  <c r="K175" i="2"/>
  <c r="K161" i="2"/>
  <c r="L162" i="2"/>
  <c r="E170" i="2"/>
  <c r="J170" i="2" s="1"/>
  <c r="L170" i="2" s="1"/>
  <c r="K162" i="2"/>
  <c r="G170" i="2"/>
  <c r="K176" i="2"/>
  <c r="K177" i="2"/>
  <c r="AG26" i="2"/>
  <c r="AG43" i="2"/>
  <c r="AG14" i="2"/>
  <c r="AI17" i="2"/>
  <c r="AH45" i="2"/>
  <c r="AF22" i="2"/>
  <c r="AG34" i="2"/>
  <c r="AH23" i="2"/>
  <c r="AM23" i="2" s="1"/>
  <c r="C77" i="2" s="1"/>
  <c r="AG19" i="2"/>
  <c r="AG22" i="2"/>
  <c r="AG47" i="2"/>
  <c r="K40" i="2"/>
  <c r="AG48" i="2"/>
  <c r="AG18" i="2"/>
  <c r="AF26" i="2"/>
  <c r="AH36" i="2"/>
  <c r="AM36" i="2" s="1"/>
  <c r="C90" i="2" s="1"/>
  <c r="H41" i="2"/>
  <c r="AH34" i="2"/>
  <c r="AM34" i="2" s="1"/>
  <c r="C88" i="2" s="1"/>
  <c r="L42" i="2"/>
  <c r="AC29" i="2"/>
  <c r="AF29" i="2" s="1"/>
  <c r="AF20" i="2"/>
  <c r="K42" i="2"/>
  <c r="AH22" i="2"/>
  <c r="AM22" i="2" s="1"/>
  <c r="C76" i="2" s="1"/>
  <c r="AG23" i="2"/>
  <c r="AH47" i="2"/>
  <c r="AM47" i="2" s="1"/>
  <c r="C101" i="2" s="1"/>
  <c r="AH18" i="2"/>
  <c r="AM18" i="2" s="1"/>
  <c r="C72" i="2" s="1"/>
  <c r="AI21" i="2"/>
  <c r="Z31" i="2"/>
  <c r="AE31" i="2" s="1"/>
  <c r="AF31" i="2" s="1"/>
  <c r="AI33" i="2"/>
  <c r="L43" i="2"/>
  <c r="M41" i="2"/>
  <c r="AC17" i="2"/>
  <c r="AF17" i="2" s="1"/>
  <c r="AL17" i="2" s="1"/>
  <c r="I71" i="2" s="1"/>
  <c r="AC21" i="2"/>
  <c r="AF21" i="2" s="1"/>
  <c r="AL21" i="2" s="1"/>
  <c r="I75" i="2" s="1"/>
  <c r="AH37" i="2"/>
  <c r="M43" i="2"/>
  <c r="R43" i="2" s="1"/>
  <c r="F97" i="2" s="1"/>
  <c r="AU92" i="2" s="1"/>
  <c r="AC45" i="2"/>
  <c r="AF45" i="2" s="1"/>
  <c r="AL45" i="2" s="1"/>
  <c r="I99" i="2" s="1"/>
  <c r="AH19" i="2"/>
  <c r="AM19" i="2" s="1"/>
  <c r="C73" i="2" s="1"/>
  <c r="K43" i="2"/>
  <c r="AC41" i="2"/>
  <c r="AF41" i="2" s="1"/>
  <c r="AF19" i="2"/>
  <c r="AF28" i="2"/>
  <c r="AH33" i="2"/>
  <c r="AF34" i="2"/>
  <c r="AH21" i="2"/>
  <c r="AF46" i="2"/>
  <c r="AF14" i="2"/>
  <c r="AF24" i="2"/>
  <c r="AH17" i="2"/>
  <c r="AI25" i="2"/>
  <c r="M42" i="2"/>
  <c r="AI41" i="2"/>
  <c r="AF39" i="2"/>
  <c r="AG39" i="2"/>
  <c r="M39" i="2"/>
  <c r="R39" i="2" s="1"/>
  <c r="AF35" i="2"/>
  <c r="AG35" i="2"/>
  <c r="AG36" i="2"/>
  <c r="AF36" i="2"/>
  <c r="L39" i="2"/>
  <c r="K39" i="2"/>
  <c r="AC33" i="2"/>
  <c r="AF33" i="2" s="1"/>
  <c r="AI37" i="2"/>
  <c r="N41" i="2"/>
  <c r="H45" i="2"/>
  <c r="AC37" i="2"/>
  <c r="AF37" i="2" s="1"/>
  <c r="AL37" i="2" s="1"/>
  <c r="I91" i="2" s="1"/>
  <c r="AF18" i="2"/>
  <c r="AF15" i="2"/>
  <c r="AH26" i="2"/>
  <c r="AM26" i="2" s="1"/>
  <c r="C80" i="2" s="1"/>
  <c r="AH41" i="2"/>
  <c r="AF47" i="2"/>
  <c r="AG15" i="2"/>
  <c r="AH25" i="2"/>
  <c r="AI29" i="2"/>
  <c r="AH29" i="2"/>
  <c r="AH14" i="2"/>
  <c r="AM14" i="2" s="1"/>
  <c r="C68" i="2" s="1"/>
  <c r="AH28" i="2"/>
  <c r="AM28" i="2" s="1"/>
  <c r="C82" i="2" s="1"/>
  <c r="AH30" i="2"/>
  <c r="AM30" i="2" s="1"/>
  <c r="C84" i="2" s="1"/>
  <c r="AG30" i="2"/>
  <c r="AF30" i="2"/>
  <c r="M46" i="2"/>
  <c r="R46" i="2" s="1"/>
  <c r="K46" i="2"/>
  <c r="AG32" i="2"/>
  <c r="AH32" i="2"/>
  <c r="AM32" i="2" s="1"/>
  <c r="C86" i="2" s="1"/>
  <c r="AF32" i="2"/>
  <c r="AH43" i="2"/>
  <c r="AM43" i="2" s="1"/>
  <c r="C97" i="2" s="1"/>
  <c r="AF27" i="2"/>
  <c r="AH48" i="2"/>
  <c r="AM48" i="2" s="1"/>
  <c r="C102" i="2" s="1"/>
  <c r="AH27" i="2"/>
  <c r="AM27" i="2" s="1"/>
  <c r="C81" i="2" s="1"/>
  <c r="AG27" i="2"/>
  <c r="N45" i="2"/>
  <c r="M45" i="2"/>
  <c r="AH24" i="2"/>
  <c r="AM24" i="2" s="1"/>
  <c r="C78" i="2" s="1"/>
  <c r="M40" i="2"/>
  <c r="R40" i="2" s="1"/>
  <c r="L40" i="2"/>
  <c r="AI45" i="2"/>
  <c r="AH35" i="2"/>
  <c r="AM35" i="2" s="1"/>
  <c r="C89" i="2" s="1"/>
  <c r="AH39" i="2"/>
  <c r="AM39" i="2" s="1"/>
  <c r="C93" i="2" s="1"/>
  <c r="AG24" i="2"/>
  <c r="AG28" i="2"/>
  <c r="AG16" i="2"/>
  <c r="AF43" i="2"/>
  <c r="AF48" i="2"/>
  <c r="AF16" i="2"/>
  <c r="AF23" i="2"/>
  <c r="AG46" i="2"/>
  <c r="AC25" i="2"/>
  <c r="AF25" i="2" s="1"/>
  <c r="AH46" i="2"/>
  <c r="AM46" i="2" s="1"/>
  <c r="C100" i="2" s="1"/>
  <c r="AF42" i="2"/>
  <c r="AH42" i="2"/>
  <c r="AM42" i="2" s="1"/>
  <c r="AG42" i="2"/>
  <c r="AG40" i="2"/>
  <c r="AH40" i="2"/>
  <c r="AM40" i="2" s="1"/>
  <c r="C94" i="2" s="1"/>
  <c r="AF40" i="2"/>
  <c r="AH16" i="2"/>
  <c r="AM16" i="2" s="1"/>
  <c r="C70" i="2" s="1"/>
  <c r="AH20" i="2"/>
  <c r="AM20" i="2" s="1"/>
  <c r="C74" i="2" s="1"/>
  <c r="AG20" i="2"/>
  <c r="AH15" i="2"/>
  <c r="AM15" i="2" s="1"/>
  <c r="C69" i="2" s="1"/>
  <c r="Z13" i="2"/>
  <c r="AE13" i="2" s="1"/>
  <c r="Z12" i="2"/>
  <c r="AE12" i="2" s="1"/>
  <c r="Z11" i="2"/>
  <c r="AE11" i="2" s="1"/>
  <c r="Z10" i="2"/>
  <c r="AE10" i="2" s="1"/>
  <c r="AA9" i="2"/>
  <c r="Z9" i="2"/>
  <c r="AE9" i="2" s="1"/>
  <c r="Z7" i="2"/>
  <c r="AE7" i="2" s="1"/>
  <c r="Z6" i="2"/>
  <c r="AE6" i="2" s="1"/>
  <c r="Z5" i="2"/>
  <c r="AE5" i="2" s="1"/>
  <c r="Z4" i="2"/>
  <c r="AE4" i="2" s="1"/>
  <c r="Z2" i="2"/>
  <c r="AE2" i="2" s="1"/>
  <c r="K82" i="8" l="1"/>
  <c r="L82" i="8" s="1"/>
  <c r="M466" i="8"/>
  <c r="K54" i="8"/>
  <c r="L54" i="8" s="1"/>
  <c r="M488" i="8"/>
  <c r="K143" i="8"/>
  <c r="L315" i="8"/>
  <c r="M315" i="8" s="1"/>
  <c r="M397" i="8" s="1"/>
  <c r="A216" i="8"/>
  <c r="A221" i="8" s="1"/>
  <c r="K64" i="8"/>
  <c r="L64" i="8" s="1"/>
  <c r="K152" i="8"/>
  <c r="M485" i="8"/>
  <c r="M456" i="8"/>
  <c r="L317" i="8"/>
  <c r="M317" i="8" s="1"/>
  <c r="J397" i="8" s="1"/>
  <c r="L339" i="8"/>
  <c r="M339" i="8" s="1"/>
  <c r="M403" i="8" s="1"/>
  <c r="K154" i="8"/>
  <c r="K75" i="8"/>
  <c r="L75" i="8" s="1"/>
  <c r="M486" i="8"/>
  <c r="K170" i="8"/>
  <c r="M482" i="8"/>
  <c r="L307" i="8"/>
  <c r="M307" i="8" s="1"/>
  <c r="M382" i="8" s="1"/>
  <c r="L332" i="8"/>
  <c r="M332" i="8" s="1"/>
  <c r="M390" i="8" s="1"/>
  <c r="K161" i="8"/>
  <c r="M481" i="8"/>
  <c r="K68" i="8"/>
  <c r="L68" i="8" s="1"/>
  <c r="M471" i="8"/>
  <c r="K73" i="8"/>
  <c r="L73" i="8" s="1"/>
  <c r="L310" i="8"/>
  <c r="M310" i="8" s="1"/>
  <c r="K156" i="8"/>
  <c r="L314" i="8"/>
  <c r="M314" i="8" s="1"/>
  <c r="M396" i="8" s="1"/>
  <c r="L322" i="8"/>
  <c r="M322" i="8" s="1"/>
  <c r="L318" i="8"/>
  <c r="M318" i="8" s="1"/>
  <c r="M398" i="8" s="1"/>
  <c r="K61" i="8"/>
  <c r="L61" i="8" s="1"/>
  <c r="L324" i="8"/>
  <c r="M324" i="8" s="1"/>
  <c r="J385" i="8" s="1"/>
  <c r="K77" i="8"/>
  <c r="L77" i="8" s="1"/>
  <c r="M459" i="8"/>
  <c r="M477" i="8"/>
  <c r="K165" i="8"/>
  <c r="L312" i="8"/>
  <c r="M312" i="8" s="1"/>
  <c r="M462" i="8"/>
  <c r="Q247" i="8"/>
  <c r="K146" i="8"/>
  <c r="K141" i="8"/>
  <c r="M461" i="8"/>
  <c r="K155" i="8"/>
  <c r="M474" i="8"/>
  <c r="K58" i="8"/>
  <c r="L58" i="8" s="1"/>
  <c r="L329" i="8"/>
  <c r="M329" i="8" s="1"/>
  <c r="J399" i="8" s="1"/>
  <c r="K67" i="8"/>
  <c r="L67" i="8" s="1"/>
  <c r="K79" i="8"/>
  <c r="L79" i="8" s="1"/>
  <c r="M478" i="8"/>
  <c r="K76" i="8"/>
  <c r="L76" i="8" s="1"/>
  <c r="K51" i="8"/>
  <c r="L51" i="8" s="1"/>
  <c r="AO109" i="10"/>
  <c r="AN111" i="10"/>
  <c r="AN116" i="10" s="1"/>
  <c r="FM147" i="10"/>
  <c r="AN109" i="10"/>
  <c r="BH384" i="8"/>
  <c r="A394" i="8"/>
  <c r="R10" i="8"/>
  <c r="Q254" i="8"/>
  <c r="A410" i="8"/>
  <c r="BH369" i="8"/>
  <c r="BI394" i="8"/>
  <c r="R15" i="8"/>
  <c r="Q259" i="8"/>
  <c r="L337" i="8"/>
  <c r="M337" i="8" s="1"/>
  <c r="J389" i="8" s="1"/>
  <c r="BI369" i="8"/>
  <c r="A416" i="8"/>
  <c r="BH397" i="8"/>
  <c r="L325" i="8"/>
  <c r="M325" i="8" s="1"/>
  <c r="J386" i="8" s="1"/>
  <c r="K164" i="8"/>
  <c r="K137" i="8"/>
  <c r="L313" i="8"/>
  <c r="M313" i="8" s="1"/>
  <c r="J396" i="8" s="1"/>
  <c r="L328" i="8"/>
  <c r="M328" i="8" s="1"/>
  <c r="J398" i="8" s="1"/>
  <c r="BI397" i="8"/>
  <c r="R34" i="8"/>
  <c r="Q278" i="8"/>
  <c r="R26" i="8"/>
  <c r="Q270" i="8"/>
  <c r="M467" i="8"/>
  <c r="K149" i="8"/>
  <c r="M473" i="8"/>
  <c r="K71" i="8"/>
  <c r="L71" i="8" s="1"/>
  <c r="K63" i="8"/>
  <c r="L63" i="8" s="1"/>
  <c r="L319" i="8"/>
  <c r="M319" i="8" s="1"/>
  <c r="M386" i="8" s="1"/>
  <c r="K66" i="8"/>
  <c r="L66" i="8" s="1"/>
  <c r="B205" i="8"/>
  <c r="A205" i="8"/>
  <c r="A213" i="8" s="1"/>
  <c r="A222" i="8" s="1"/>
  <c r="K167" i="8"/>
  <c r="A392" i="8"/>
  <c r="BH391" i="8"/>
  <c r="L321" i="8"/>
  <c r="M321" i="8" s="1"/>
  <c r="M388" i="8" s="1"/>
  <c r="K69" i="8"/>
  <c r="L69" i="8" s="1"/>
  <c r="K139" i="8"/>
  <c r="L342" i="8"/>
  <c r="M342" i="8" s="1"/>
  <c r="M404" i="8" s="1"/>
  <c r="R5" i="8"/>
  <c r="Q249" i="8"/>
  <c r="R33" i="8"/>
  <c r="Q277" i="8"/>
  <c r="K159" i="8"/>
  <c r="K151" i="8"/>
  <c r="M468" i="8"/>
  <c r="K135" i="8"/>
  <c r="M470" i="8"/>
  <c r="K157" i="8"/>
  <c r="M491" i="8"/>
  <c r="R6" i="8"/>
  <c r="Q250" i="8"/>
  <c r="B206" i="8"/>
  <c r="A206" i="8"/>
  <c r="A212" i="8" s="1"/>
  <c r="A224" i="8" s="1"/>
  <c r="L326" i="8"/>
  <c r="M326" i="8" s="1"/>
  <c r="M399" i="8" s="1"/>
  <c r="BI383" i="8"/>
  <c r="A391" i="8"/>
  <c r="BH390" i="8"/>
  <c r="R21" i="8"/>
  <c r="Q265" i="8"/>
  <c r="K74" i="8"/>
  <c r="L74" i="8" s="1"/>
  <c r="K144" i="8"/>
  <c r="K47" i="8"/>
  <c r="L47" i="8" s="1"/>
  <c r="R25" i="8"/>
  <c r="Q269" i="8"/>
  <c r="K145" i="8"/>
  <c r="R4" i="8"/>
  <c r="Q248" i="8"/>
  <c r="BH388" i="8"/>
  <c r="A417" i="8"/>
  <c r="R24" i="8"/>
  <c r="Q268" i="8"/>
  <c r="R14" i="8"/>
  <c r="Q258" i="8"/>
  <c r="M475" i="8"/>
  <c r="BI387" i="8"/>
  <c r="BI393" i="8"/>
  <c r="M463" i="8"/>
  <c r="BH361" i="8"/>
  <c r="A385" i="8"/>
  <c r="K136" i="8"/>
  <c r="R28" i="8"/>
  <c r="Q272" i="8"/>
  <c r="M479" i="8"/>
  <c r="K162" i="8"/>
  <c r="K56" i="8"/>
  <c r="L56" i="8" s="1"/>
  <c r="L335" i="8"/>
  <c r="M335" i="8" s="1"/>
  <c r="J387" i="8" s="1"/>
  <c r="BI373" i="8"/>
  <c r="K57" i="8"/>
  <c r="L57" i="8" s="1"/>
  <c r="L327" i="8"/>
  <c r="M327" i="8" s="1"/>
  <c r="M400" i="8" s="1"/>
  <c r="A395" i="8"/>
  <c r="BH392" i="8"/>
  <c r="BI367" i="8"/>
  <c r="R31" i="8"/>
  <c r="Q275" i="8"/>
  <c r="BH377" i="8"/>
  <c r="A413" i="8"/>
  <c r="BI391" i="8"/>
  <c r="B203" i="8"/>
  <c r="A203" i="8"/>
  <c r="BI396" i="8"/>
  <c r="K48" i="8"/>
  <c r="L48" i="8" s="1"/>
  <c r="L323" i="8"/>
  <c r="M323" i="8" s="1"/>
  <c r="J384" i="8" s="1"/>
  <c r="L330" i="8"/>
  <c r="M330" i="8" s="1"/>
  <c r="M401" i="8" s="1"/>
  <c r="K60" i="8"/>
  <c r="L60" i="8" s="1"/>
  <c r="L309" i="8"/>
  <c r="M309" i="8" s="1"/>
  <c r="M384" i="8" s="1"/>
  <c r="K59" i="8"/>
  <c r="L59" i="8" s="1"/>
  <c r="M484" i="8"/>
  <c r="L334" i="8"/>
  <c r="M334" i="8" s="1"/>
  <c r="P384" i="8" s="1"/>
  <c r="K169" i="8"/>
  <c r="M487" i="8"/>
  <c r="M480" i="8"/>
  <c r="K62" i="8"/>
  <c r="L62" i="8" s="1"/>
  <c r="M476" i="8"/>
  <c r="BI366" i="8"/>
  <c r="BH374" i="8"/>
  <c r="A401" i="8"/>
  <c r="R8" i="8"/>
  <c r="Q252" i="8"/>
  <c r="BH365" i="8"/>
  <c r="A397" i="8"/>
  <c r="A388" i="8"/>
  <c r="BH381" i="8"/>
  <c r="BI365" i="8"/>
  <c r="BI385" i="8"/>
  <c r="BH387" i="8"/>
  <c r="A406" i="8"/>
  <c r="R22" i="8"/>
  <c r="Q266" i="8"/>
  <c r="K53" i="8"/>
  <c r="L53" i="8" s="1"/>
  <c r="B204" i="8"/>
  <c r="B214" i="8" s="1"/>
  <c r="B220" i="8" s="1"/>
  <c r="A204" i="8"/>
  <c r="A214" i="8" s="1"/>
  <c r="A220" i="8" s="1"/>
  <c r="M472" i="8"/>
  <c r="BH368" i="8"/>
  <c r="A409" i="8"/>
  <c r="K148" i="8"/>
  <c r="M458" i="8"/>
  <c r="K147" i="8"/>
  <c r="BI382" i="8"/>
  <c r="K49" i="8"/>
  <c r="L49" i="8" s="1"/>
  <c r="M483" i="8"/>
  <c r="K81" i="8"/>
  <c r="L81" i="8" s="1"/>
  <c r="L338" i="8"/>
  <c r="M338" i="8" s="1"/>
  <c r="M402" i="8" s="1"/>
  <c r="L331" i="8"/>
  <c r="M331" i="8" s="1"/>
  <c r="M389" i="8" s="1"/>
  <c r="K150" i="8"/>
  <c r="AM111" i="10"/>
  <c r="AN110" i="10"/>
  <c r="BI124" i="10"/>
  <c r="AO110" i="10"/>
  <c r="AP109" i="10"/>
  <c r="AM110" i="10"/>
  <c r="BG122" i="10"/>
  <c r="DG137" i="10"/>
  <c r="Q49" i="2"/>
  <c r="L103" i="2" s="1"/>
  <c r="P44" i="2"/>
  <c r="E36" i="9"/>
  <c r="E34" i="5"/>
  <c r="E120" i="8" s="1"/>
  <c r="E36" i="8"/>
  <c r="CQ5" i="10"/>
  <c r="X184" i="10"/>
  <c r="D36" i="9"/>
  <c r="D34" i="5"/>
  <c r="D120" i="8" s="1"/>
  <c r="L120" i="8" s="1"/>
  <c r="D36" i="8"/>
  <c r="D24" i="8"/>
  <c r="N24" i="8" s="1"/>
  <c r="W184" i="10"/>
  <c r="S242" i="10" s="1"/>
  <c r="D24" i="9"/>
  <c r="AM109" i="10"/>
  <c r="AP111" i="10"/>
  <c r="BH122" i="10"/>
  <c r="FN147" i="10"/>
  <c r="BJ122" i="10"/>
  <c r="DH137" i="10"/>
  <c r="FN148" i="10"/>
  <c r="DH135" i="10"/>
  <c r="AP110" i="10"/>
  <c r="AO111" i="10"/>
  <c r="DG136" i="10"/>
  <c r="BG124" i="10"/>
  <c r="FO148" i="10"/>
  <c r="FO147" i="10"/>
  <c r="I233" i="10"/>
  <c r="N233" i="10" s="1"/>
  <c r="D243" i="10"/>
  <c r="J233" i="10"/>
  <c r="O233" i="10" s="1"/>
  <c r="H233" i="10"/>
  <c r="M233" i="10" s="1"/>
  <c r="BJ123" i="10"/>
  <c r="BJ124" i="10"/>
  <c r="D242" i="10"/>
  <c r="H232" i="10"/>
  <c r="M232" i="10" s="1"/>
  <c r="I232" i="10"/>
  <c r="N232" i="10" s="1"/>
  <c r="J232" i="10"/>
  <c r="O232" i="10" s="1"/>
  <c r="AJ29" i="10"/>
  <c r="BG123" i="10"/>
  <c r="DF135" i="10"/>
  <c r="DF137" i="10"/>
  <c r="DE137" i="10"/>
  <c r="DE135" i="10"/>
  <c r="BI123" i="10"/>
  <c r="BH124" i="10"/>
  <c r="BH123" i="10"/>
  <c r="DF136" i="10"/>
  <c r="E211" i="10"/>
  <c r="E221" i="10"/>
  <c r="E216" i="10"/>
  <c r="E206" i="10"/>
  <c r="BI122" i="10"/>
  <c r="DG135" i="10"/>
  <c r="FM149" i="10"/>
  <c r="FL147" i="10"/>
  <c r="FL148" i="10"/>
  <c r="FN149" i="10"/>
  <c r="D245" i="10"/>
  <c r="H235" i="10"/>
  <c r="M235" i="10" s="1"/>
  <c r="I235" i="10"/>
  <c r="N235" i="10" s="1"/>
  <c r="J235" i="10"/>
  <c r="O235" i="10" s="1"/>
  <c r="D244" i="10"/>
  <c r="I234" i="10"/>
  <c r="N234" i="10" s="1"/>
  <c r="H234" i="10"/>
  <c r="M234" i="10" s="1"/>
  <c r="J234" i="10"/>
  <c r="O234" i="10" s="1"/>
  <c r="FO149" i="10"/>
  <c r="DH136" i="10"/>
  <c r="FM148" i="10"/>
  <c r="DE136" i="10"/>
  <c r="FL149" i="10"/>
  <c r="F103" i="10"/>
  <c r="E222" i="10"/>
  <c r="E217" i="10"/>
  <c r="E212" i="10"/>
  <c r="E207" i="10"/>
  <c r="Z14" i="10"/>
  <c r="F8" i="10"/>
  <c r="J21" i="10"/>
  <c r="J15" i="10"/>
  <c r="J54" i="10"/>
  <c r="J41" i="10"/>
  <c r="J57" i="10"/>
  <c r="J28" i="10"/>
  <c r="J34" i="10"/>
  <c r="J59" i="10"/>
  <c r="J19" i="10"/>
  <c r="J20" i="10"/>
  <c r="J45" i="10"/>
  <c r="J33" i="10"/>
  <c r="J40" i="10"/>
  <c r="J46" i="10"/>
  <c r="J16" i="10"/>
  <c r="J52" i="10"/>
  <c r="J32" i="10"/>
  <c r="J58" i="10"/>
  <c r="J47" i="10"/>
  <c r="J27" i="10"/>
  <c r="J29" i="10"/>
  <c r="J14" i="10"/>
  <c r="J42" i="10"/>
  <c r="J53" i="10"/>
  <c r="K45" i="2"/>
  <c r="Q45" i="2" s="1"/>
  <c r="K41" i="2"/>
  <c r="Q41" i="2" s="1"/>
  <c r="L95" i="2" s="1"/>
  <c r="H98" i="2"/>
  <c r="J98" i="2" s="1"/>
  <c r="K98" i="2" s="1"/>
  <c r="AL34" i="2"/>
  <c r="I88" i="2" s="1"/>
  <c r="B101" i="2"/>
  <c r="D101" i="2" s="1"/>
  <c r="E101" i="2" s="1"/>
  <c r="AU95" i="2"/>
  <c r="B102" i="2"/>
  <c r="F102" i="2"/>
  <c r="B96" i="2"/>
  <c r="F96" i="2"/>
  <c r="B100" i="2"/>
  <c r="F100" i="2"/>
  <c r="B94" i="2"/>
  <c r="D94" i="2" s="1"/>
  <c r="E94" i="2" s="1"/>
  <c r="F94" i="2"/>
  <c r="AU90" i="2" s="1"/>
  <c r="AL24" i="2"/>
  <c r="I78" i="2" s="1"/>
  <c r="B93" i="2"/>
  <c r="D93" i="2" s="1"/>
  <c r="E93" i="2" s="1"/>
  <c r="F93" i="2"/>
  <c r="AU89" i="2" s="1"/>
  <c r="B92" i="2"/>
  <c r="D92" i="2" s="1"/>
  <c r="E92" i="2" s="1"/>
  <c r="F92" i="2"/>
  <c r="AU88" i="2" s="1"/>
  <c r="Q38" i="2"/>
  <c r="L92" i="2" s="1"/>
  <c r="AV88" i="2" s="1"/>
  <c r="P38" i="2"/>
  <c r="M154" i="2"/>
  <c r="AL26" i="2"/>
  <c r="I80" i="2" s="1"/>
  <c r="K154" i="2"/>
  <c r="AM21" i="2"/>
  <c r="C75" i="2" s="1"/>
  <c r="AG31" i="2"/>
  <c r="AL31" i="2" s="1"/>
  <c r="I85" i="2" s="1"/>
  <c r="K170" i="2"/>
  <c r="M170" i="2"/>
  <c r="Q43" i="2"/>
  <c r="L97" i="2" s="1"/>
  <c r="AK22" i="2"/>
  <c r="AL19" i="2"/>
  <c r="I73" i="2" s="1"/>
  <c r="AL14" i="2"/>
  <c r="I68" i="2" s="1"/>
  <c r="AH6" i="2"/>
  <c r="AM6" i="2" s="1"/>
  <c r="C60" i="2" s="1"/>
  <c r="AK34" i="2"/>
  <c r="AM17" i="2"/>
  <c r="C71" i="2" s="1"/>
  <c r="AF10" i="2"/>
  <c r="AL22" i="2"/>
  <c r="I76" i="2" s="1"/>
  <c r="AI9" i="2"/>
  <c r="AM49" i="2"/>
  <c r="C103" i="2" s="1"/>
  <c r="AL47" i="2"/>
  <c r="I101" i="2" s="1"/>
  <c r="R41" i="2"/>
  <c r="AG10" i="2"/>
  <c r="AM41" i="2"/>
  <c r="C95" i="2" s="1"/>
  <c r="C96" i="2"/>
  <c r="B97" i="2"/>
  <c r="P42" i="2"/>
  <c r="AM25" i="2"/>
  <c r="C79" i="2" s="1"/>
  <c r="AL18" i="2"/>
  <c r="I72" i="2" s="1"/>
  <c r="AL39" i="2"/>
  <c r="I93" i="2" s="1"/>
  <c r="AL20" i="2"/>
  <c r="I74" i="2" s="1"/>
  <c r="AK21" i="2"/>
  <c r="AL36" i="2"/>
  <c r="I90" i="2" s="1"/>
  <c r="AK41" i="2"/>
  <c r="L96" i="2"/>
  <c r="AG6" i="2"/>
  <c r="AH13" i="2"/>
  <c r="AK28" i="2"/>
  <c r="AM37" i="2"/>
  <c r="C91" i="2" s="1"/>
  <c r="AL35" i="2"/>
  <c r="I89" i="2" s="1"/>
  <c r="AG11" i="2"/>
  <c r="AL15" i="2"/>
  <c r="I69" i="2" s="1"/>
  <c r="AK33" i="2"/>
  <c r="Z8" i="2"/>
  <c r="AE8" i="2" s="1"/>
  <c r="AH31" i="2"/>
  <c r="AM31" i="2" s="1"/>
  <c r="C85" i="2" s="1"/>
  <c r="AL41" i="2"/>
  <c r="I95" i="2" s="1"/>
  <c r="AM33" i="2"/>
  <c r="C87" i="2" s="1"/>
  <c r="AC9" i="2"/>
  <c r="AF9" i="2" s="1"/>
  <c r="AG12" i="2"/>
  <c r="AI5" i="2"/>
  <c r="AK19" i="2"/>
  <c r="D100" i="2"/>
  <c r="E100" i="2" s="1"/>
  <c r="AK39" i="2"/>
  <c r="P40" i="2"/>
  <c r="AK47" i="2"/>
  <c r="P43" i="2"/>
  <c r="AK37" i="2"/>
  <c r="AK17" i="2"/>
  <c r="AH7" i="2"/>
  <c r="AM7" i="2" s="1"/>
  <c r="C61" i="2" s="1"/>
  <c r="AH5" i="2"/>
  <c r="AL33" i="2"/>
  <c r="I87" i="2" s="1"/>
  <c r="AG7" i="2"/>
  <c r="AH12" i="2"/>
  <c r="AM12" i="2" s="1"/>
  <c r="C66" i="2" s="1"/>
  <c r="AK46" i="2"/>
  <c r="Z3" i="2"/>
  <c r="AE3" i="2" s="1"/>
  <c r="AG3" i="2" s="1"/>
  <c r="AH10" i="2"/>
  <c r="AM10" i="2" s="1"/>
  <c r="C64" i="2" s="1"/>
  <c r="AK45" i="2"/>
  <c r="AF5" i="2"/>
  <c r="AL5" i="2" s="1"/>
  <c r="I59" i="2" s="1"/>
  <c r="AF7" i="2"/>
  <c r="AC13" i="2"/>
  <c r="AF13" i="2" s="1"/>
  <c r="AL13" i="2" s="1"/>
  <c r="I67" i="2" s="1"/>
  <c r="Q40" i="2"/>
  <c r="AK36" i="2"/>
  <c r="AL28" i="2"/>
  <c r="I82" i="2" s="1"/>
  <c r="AH11" i="2"/>
  <c r="AM11" i="2" s="1"/>
  <c r="C65" i="2" s="1"/>
  <c r="AK20" i="2"/>
  <c r="R45" i="2"/>
  <c r="AH9" i="2"/>
  <c r="AF12" i="2"/>
  <c r="AK18" i="2"/>
  <c r="AK26" i="2"/>
  <c r="AM29" i="2"/>
  <c r="C83" i="2" s="1"/>
  <c r="Q39" i="2"/>
  <c r="L93" i="2" s="1"/>
  <c r="P39" i="2"/>
  <c r="AF2" i="2"/>
  <c r="AH4" i="2"/>
  <c r="AM4" i="2" s="1"/>
  <c r="C58" i="2" s="1"/>
  <c r="AF4" i="2"/>
  <c r="AG4" i="2"/>
  <c r="AH2" i="2"/>
  <c r="AM2" i="2" s="1"/>
  <c r="AG2" i="2"/>
  <c r="AF6" i="2"/>
  <c r="AL46" i="2"/>
  <c r="I100" i="2" s="1"/>
  <c r="AK24" i="2"/>
  <c r="AL48" i="2"/>
  <c r="I102" i="2" s="1"/>
  <c r="AK48" i="2"/>
  <c r="AL49" i="2"/>
  <c r="I103" i="2" s="1"/>
  <c r="AK49" i="2"/>
  <c r="Q47" i="2"/>
  <c r="P47" i="2"/>
  <c r="P49" i="2"/>
  <c r="AM45" i="2"/>
  <c r="AK30" i="2"/>
  <c r="AL30" i="2"/>
  <c r="I84" i="2" s="1"/>
  <c r="AF11" i="2"/>
  <c r="AK32" i="2"/>
  <c r="AL32" i="2"/>
  <c r="I86" i="2" s="1"/>
  <c r="Q46" i="2"/>
  <c r="L100" i="2" s="1"/>
  <c r="P46" i="2"/>
  <c r="AL42" i="2"/>
  <c r="I96" i="2" s="1"/>
  <c r="AK42" i="2"/>
  <c r="AK35" i="2"/>
  <c r="AK29" i="2"/>
  <c r="AL29" i="2"/>
  <c r="I83" i="2" s="1"/>
  <c r="AI13" i="2"/>
  <c r="AK43" i="2"/>
  <c r="AL43" i="2"/>
  <c r="I97" i="2" s="1"/>
  <c r="H99" i="2"/>
  <c r="AK23" i="2"/>
  <c r="AL23" i="2"/>
  <c r="I77" i="2" s="1"/>
  <c r="AK15" i="2"/>
  <c r="P48" i="2"/>
  <c r="Q48" i="2"/>
  <c r="AK16" i="2"/>
  <c r="AL16" i="2"/>
  <c r="I70" i="2" s="1"/>
  <c r="AK27" i="2"/>
  <c r="AL27" i="2"/>
  <c r="I81" i="2" s="1"/>
  <c r="AK40" i="2"/>
  <c r="AL40" i="2"/>
  <c r="I94" i="2" s="1"/>
  <c r="AK25" i="2"/>
  <c r="AL25" i="2"/>
  <c r="I79" i="2" s="1"/>
  <c r="AK14" i="2"/>
  <c r="E33" i="2"/>
  <c r="J33" i="2" s="1"/>
  <c r="F32" i="2"/>
  <c r="J32" i="2"/>
  <c r="F31" i="2"/>
  <c r="E31" i="2"/>
  <c r="J31" i="2" s="1"/>
  <c r="E30" i="2"/>
  <c r="J30" i="2" s="1"/>
  <c r="F37" i="2"/>
  <c r="E37" i="2"/>
  <c r="J37" i="2" s="1"/>
  <c r="E36" i="2"/>
  <c r="J36" i="2" s="1"/>
  <c r="E35" i="2"/>
  <c r="J35" i="2" s="1"/>
  <c r="F34" i="2"/>
  <c r="E34" i="2"/>
  <c r="J34" i="2" s="1"/>
  <c r="F29" i="2"/>
  <c r="E29" i="2"/>
  <c r="J29" i="2" s="1"/>
  <c r="E28" i="2"/>
  <c r="J28" i="2" s="1"/>
  <c r="E27" i="2"/>
  <c r="J27" i="2" s="1"/>
  <c r="E26" i="2"/>
  <c r="J26" i="2" s="1"/>
  <c r="E25" i="2"/>
  <c r="J25" i="2" s="1"/>
  <c r="E24" i="2"/>
  <c r="J24" i="2" s="1"/>
  <c r="E23" i="2"/>
  <c r="J23" i="2" s="1"/>
  <c r="E22" i="2"/>
  <c r="J22" i="2" s="1"/>
  <c r="F21" i="2"/>
  <c r="E21" i="2"/>
  <c r="J21" i="2" s="1"/>
  <c r="E20" i="2"/>
  <c r="J20" i="2" s="1"/>
  <c r="E19" i="2"/>
  <c r="J19" i="2" s="1"/>
  <c r="I18" i="2"/>
  <c r="E18" i="2"/>
  <c r="J18" i="2" s="1"/>
  <c r="F17" i="2"/>
  <c r="E17" i="2"/>
  <c r="J17" i="2" s="1"/>
  <c r="E16" i="2"/>
  <c r="J16" i="2" s="1"/>
  <c r="I15" i="2"/>
  <c r="F15" i="2"/>
  <c r="E15" i="2"/>
  <c r="J15" i="2" s="1"/>
  <c r="E14" i="2"/>
  <c r="J14" i="2" s="1"/>
  <c r="F13" i="2"/>
  <c r="E13" i="2"/>
  <c r="J13" i="2" s="1"/>
  <c r="F12" i="2"/>
  <c r="E12" i="2"/>
  <c r="J12" i="2" s="1"/>
  <c r="E11" i="2"/>
  <c r="J11" i="2" s="1"/>
  <c r="F11" i="2"/>
  <c r="F10" i="2"/>
  <c r="E10" i="2"/>
  <c r="J10" i="2" s="1"/>
  <c r="F9" i="2"/>
  <c r="E9" i="2"/>
  <c r="J9" i="2" s="1"/>
  <c r="F8" i="2"/>
  <c r="E8" i="2"/>
  <c r="J8" i="2" s="1"/>
  <c r="F7" i="2"/>
  <c r="E7" i="2"/>
  <c r="J7" i="2" s="1"/>
  <c r="E6" i="2"/>
  <c r="J6" i="2" s="1"/>
  <c r="F5" i="2"/>
  <c r="E5" i="2"/>
  <c r="J5" i="2" s="1"/>
  <c r="F4" i="2"/>
  <c r="E4" i="2"/>
  <c r="J4" i="2" s="1"/>
  <c r="F3" i="2"/>
  <c r="E3" i="2"/>
  <c r="J3" i="2" s="1"/>
  <c r="F2" i="2"/>
  <c r="E2" i="2"/>
  <c r="BH382" i="8" l="1"/>
  <c r="J383" i="8"/>
  <c r="A399" i="8"/>
  <c r="P383" i="8"/>
  <c r="AA3" i="9"/>
  <c r="P50" i="9" s="1"/>
  <c r="A387" i="8"/>
  <c r="P382" i="8"/>
  <c r="BH372" i="8"/>
  <c r="BH371" i="8"/>
  <c r="A389" i="8"/>
  <c r="AO115" i="10"/>
  <c r="AN115" i="10"/>
  <c r="BH395" i="8"/>
  <c r="A407" i="8"/>
  <c r="A411" i="8"/>
  <c r="BH375" i="8"/>
  <c r="BH376" i="8"/>
  <c r="A412" i="8"/>
  <c r="S24" i="8"/>
  <c r="BH385" i="8"/>
  <c r="A402" i="8"/>
  <c r="A419" i="8"/>
  <c r="BH398" i="8"/>
  <c r="BH373" i="8"/>
  <c r="A400" i="8"/>
  <c r="E341" i="8"/>
  <c r="E490" i="8" s="1"/>
  <c r="E280" i="8"/>
  <c r="E65" i="8"/>
  <c r="E153" i="8" s="1"/>
  <c r="B212" i="8"/>
  <c r="B224" i="8" s="1"/>
  <c r="B213" i="8"/>
  <c r="B222" i="8" s="1"/>
  <c r="A414" i="8"/>
  <c r="BH378" i="8"/>
  <c r="BH367" i="8"/>
  <c r="A408" i="8"/>
  <c r="BH362" i="8"/>
  <c r="A386" i="8"/>
  <c r="A403" i="8"/>
  <c r="BH393" i="8"/>
  <c r="BG387" i="8"/>
  <c r="D329" i="8"/>
  <c r="D268" i="8"/>
  <c r="N268" i="8" s="1"/>
  <c r="D72" i="8"/>
  <c r="BH396" i="8"/>
  <c r="A415" i="8"/>
  <c r="B215" i="8"/>
  <c r="B223" i="8" s="1"/>
  <c r="A215" i="8"/>
  <c r="A223" i="8" s="1"/>
  <c r="A404" i="8"/>
  <c r="BH394" i="8"/>
  <c r="A384" i="8"/>
  <c r="BH360" i="8"/>
  <c r="A398" i="8"/>
  <c r="BH366" i="8"/>
  <c r="A396" i="8"/>
  <c r="BH364" i="8"/>
  <c r="BH386" i="8"/>
  <c r="A405" i="8"/>
  <c r="BG379" i="8"/>
  <c r="D341" i="8"/>
  <c r="I390" i="8" s="1"/>
  <c r="X474" i="8" s="1"/>
  <c r="D280" i="8"/>
  <c r="N280" i="8" s="1"/>
  <c r="D65" i="8"/>
  <c r="N36" i="8"/>
  <c r="S36" i="8"/>
  <c r="A390" i="8"/>
  <c r="BH383" i="8"/>
  <c r="AM116" i="10"/>
  <c r="AM114" i="10"/>
  <c r="AN114" i="10"/>
  <c r="BG126" i="10"/>
  <c r="AO116" i="10"/>
  <c r="AO114" i="10"/>
  <c r="AP114" i="10"/>
  <c r="AP116" i="10"/>
  <c r="AP115" i="10"/>
  <c r="BG127" i="10"/>
  <c r="BG128" i="10"/>
  <c r="AM115" i="10"/>
  <c r="H103" i="2"/>
  <c r="W187" i="10"/>
  <c r="D25" i="8"/>
  <c r="S25" i="8" s="1"/>
  <c r="D25" i="9"/>
  <c r="P45" i="2"/>
  <c r="T242" i="10"/>
  <c r="AI184" i="10"/>
  <c r="AH184" i="10"/>
  <c r="AU91" i="2"/>
  <c r="V184" i="10" s="1"/>
  <c r="D12" i="8"/>
  <c r="D12" i="9"/>
  <c r="R193" i="10"/>
  <c r="D35" i="8"/>
  <c r="D35" i="9"/>
  <c r="Q193" i="10"/>
  <c r="D23" i="9"/>
  <c r="D23" i="8"/>
  <c r="E11" i="9"/>
  <c r="U19" i="9" s="1"/>
  <c r="U13" i="9" s="1"/>
  <c r="S44" i="9" s="1"/>
  <c r="E29" i="5"/>
  <c r="E115" i="8" s="1"/>
  <c r="E11" i="8"/>
  <c r="CR3" i="10"/>
  <c r="P193" i="10"/>
  <c r="D11" i="9"/>
  <c r="D29" i="5"/>
  <c r="D115" i="8" s="1"/>
  <c r="L115" i="8" s="1"/>
  <c r="M97" i="8" s="1"/>
  <c r="D11" i="8"/>
  <c r="M27" i="2"/>
  <c r="L23" i="2"/>
  <c r="M23" i="2"/>
  <c r="R23" i="2" s="1"/>
  <c r="K23" i="2"/>
  <c r="Q23" i="2" s="1"/>
  <c r="L3" i="2"/>
  <c r="M3" i="2"/>
  <c r="R3" i="2" s="1"/>
  <c r="K3" i="2"/>
  <c r="M2" i="2"/>
  <c r="R2" i="2" s="1"/>
  <c r="K2" i="2"/>
  <c r="L2" i="2"/>
  <c r="H242" i="10"/>
  <c r="M242" i="10" s="1"/>
  <c r="I242" i="10"/>
  <c r="N242" i="10" s="1"/>
  <c r="X242" i="10" s="1"/>
  <c r="J242" i="10"/>
  <c r="O242" i="10" s="1"/>
  <c r="Y242" i="10" s="1"/>
  <c r="G103" i="10"/>
  <c r="F222" i="10"/>
  <c r="F217" i="10"/>
  <c r="F207" i="10"/>
  <c r="F212" i="10"/>
  <c r="K109" i="10"/>
  <c r="K148" i="10"/>
  <c r="K154" i="10"/>
  <c r="K111" i="10"/>
  <c r="K149" i="10"/>
  <c r="K141" i="10"/>
  <c r="K147" i="10"/>
  <c r="K124" i="10"/>
  <c r="K135" i="10"/>
  <c r="K127" i="10"/>
  <c r="K140" i="10"/>
  <c r="K116" i="10"/>
  <c r="AQ111" i="10" s="1"/>
  <c r="K153" i="10"/>
  <c r="K137" i="10"/>
  <c r="K129" i="10"/>
  <c r="K114" i="10"/>
  <c r="K122" i="10"/>
  <c r="K128" i="10"/>
  <c r="K110" i="10"/>
  <c r="K123" i="10"/>
  <c r="K115" i="10"/>
  <c r="K152" i="10"/>
  <c r="K142" i="10"/>
  <c r="K136" i="10"/>
  <c r="F216" i="10"/>
  <c r="F211" i="10"/>
  <c r="F206" i="10"/>
  <c r="F221" i="10"/>
  <c r="H244" i="10"/>
  <c r="M244" i="10" s="1"/>
  <c r="J244" i="10"/>
  <c r="O244" i="10" s="1"/>
  <c r="I244" i="10"/>
  <c r="N244" i="10" s="1"/>
  <c r="H243" i="10"/>
  <c r="M243" i="10" s="1"/>
  <c r="J243" i="10"/>
  <c r="O243" i="10" s="1"/>
  <c r="I243" i="10"/>
  <c r="N243" i="10" s="1"/>
  <c r="AK28" i="10"/>
  <c r="I245" i="10"/>
  <c r="N245" i="10" s="1"/>
  <c r="J245" i="10"/>
  <c r="O245" i="10" s="1"/>
  <c r="H245" i="10"/>
  <c r="M245" i="10" s="1"/>
  <c r="CN52" i="10"/>
  <c r="CN53" i="10"/>
  <c r="AK29" i="10"/>
  <c r="BJ41" i="10"/>
  <c r="BJ42" i="10"/>
  <c r="BJ40" i="10"/>
  <c r="AA15" i="10"/>
  <c r="AK27" i="10"/>
  <c r="AA14" i="10"/>
  <c r="AA16" i="10"/>
  <c r="CN54" i="10"/>
  <c r="G8" i="10"/>
  <c r="K16" i="10"/>
  <c r="K15" i="10"/>
  <c r="K27" i="10"/>
  <c r="K14" i="10"/>
  <c r="K58" i="10"/>
  <c r="K34" i="10"/>
  <c r="K19" i="10"/>
  <c r="K20" i="10"/>
  <c r="K28" i="10"/>
  <c r="K45" i="10"/>
  <c r="K40" i="10"/>
  <c r="K46" i="10"/>
  <c r="K29" i="10"/>
  <c r="K47" i="10"/>
  <c r="K33" i="10"/>
  <c r="K54" i="10"/>
  <c r="K41" i="10"/>
  <c r="K42" i="10"/>
  <c r="K59" i="10"/>
  <c r="K52" i="10"/>
  <c r="K32" i="10"/>
  <c r="K21" i="10"/>
  <c r="K53" i="10"/>
  <c r="K57" i="10"/>
  <c r="L102" i="2"/>
  <c r="L101" i="2"/>
  <c r="AV95" i="2" s="1"/>
  <c r="P41" i="2"/>
  <c r="H95" i="2"/>
  <c r="J95" i="2" s="1"/>
  <c r="K95" i="2" s="1"/>
  <c r="L94" i="2"/>
  <c r="AV90" i="2" s="1"/>
  <c r="B99" i="2"/>
  <c r="F99" i="2"/>
  <c r="H101" i="2"/>
  <c r="J101" i="2" s="1"/>
  <c r="K101" i="2" s="1"/>
  <c r="H92" i="2"/>
  <c r="J92" i="2" s="1"/>
  <c r="K92" i="2" s="1"/>
  <c r="H100" i="2"/>
  <c r="J100" i="2" s="1"/>
  <c r="K100" i="2" s="1"/>
  <c r="AV94" i="2"/>
  <c r="H93" i="2"/>
  <c r="J93" i="2" s="1"/>
  <c r="K93" i="2" s="1"/>
  <c r="H97" i="2"/>
  <c r="J97" i="2" s="1"/>
  <c r="K97" i="2" s="1"/>
  <c r="AV92" i="2"/>
  <c r="AU94" i="2"/>
  <c r="H94" i="2"/>
  <c r="J94" i="2" s="1"/>
  <c r="K94" i="2" s="1"/>
  <c r="B95" i="2"/>
  <c r="D95" i="2" s="1"/>
  <c r="E95" i="2" s="1"/>
  <c r="F95" i="2"/>
  <c r="AR7" i="2" s="1"/>
  <c r="C6" i="6" s="1"/>
  <c r="H102" i="2"/>
  <c r="J102" i="2" s="1"/>
  <c r="K102" i="2" s="1"/>
  <c r="H96" i="2"/>
  <c r="J96" i="2" s="1"/>
  <c r="K96" i="2" s="1"/>
  <c r="D97" i="2"/>
  <c r="E97" i="2" s="1"/>
  <c r="AU96" i="2"/>
  <c r="D31" i="5"/>
  <c r="D117" i="8" s="1"/>
  <c r="L117" i="8" s="1"/>
  <c r="D32" i="5"/>
  <c r="D118" i="8" s="1"/>
  <c r="L118" i="8" s="1"/>
  <c r="D35" i="5"/>
  <c r="D121" i="8" s="1"/>
  <c r="L121" i="8" s="1"/>
  <c r="D30" i="5"/>
  <c r="D116" i="8" s="1"/>
  <c r="L116" i="8" s="1"/>
  <c r="D36" i="5"/>
  <c r="D122" i="8" s="1"/>
  <c r="L122" i="8" s="1"/>
  <c r="AM9" i="2"/>
  <c r="C63" i="2" s="1"/>
  <c r="AG8" i="2"/>
  <c r="AL10" i="2"/>
  <c r="I64" i="2" s="1"/>
  <c r="AL7" i="2"/>
  <c r="I61" i="2" s="1"/>
  <c r="AH3" i="2"/>
  <c r="AM3" i="2" s="1"/>
  <c r="C57" i="2" s="1"/>
  <c r="AH8" i="2"/>
  <c r="AM8" i="2" s="1"/>
  <c r="C62" i="2" s="1"/>
  <c r="AL12" i="2"/>
  <c r="I66" i="2" s="1"/>
  <c r="AK31" i="2"/>
  <c r="AM13" i="2"/>
  <c r="C67" i="2" s="1"/>
  <c r="N13" i="2"/>
  <c r="AF8" i="2"/>
  <c r="D98" i="2"/>
  <c r="E98" i="2" s="1"/>
  <c r="C99" i="2"/>
  <c r="J103" i="2"/>
  <c r="K103" i="2" s="1"/>
  <c r="AS14" i="2"/>
  <c r="AK7" i="2"/>
  <c r="AK12" i="2"/>
  <c r="AM5" i="2"/>
  <c r="C59" i="2" s="1"/>
  <c r="K20" i="2"/>
  <c r="D96" i="2"/>
  <c r="E96" i="2" s="1"/>
  <c r="H25" i="2"/>
  <c r="AV89" i="2"/>
  <c r="AV91" i="2"/>
  <c r="N9" i="2"/>
  <c r="L28" i="2"/>
  <c r="K10" i="2"/>
  <c r="J99" i="2"/>
  <c r="K99" i="2" s="1"/>
  <c r="AS8" i="2"/>
  <c r="AS7" i="2"/>
  <c r="L7" i="2"/>
  <c r="H13" i="2"/>
  <c r="K13" i="2" s="1"/>
  <c r="Q13" i="2" s="1"/>
  <c r="L67" i="2" s="1"/>
  <c r="M16" i="2"/>
  <c r="R16" i="2" s="1"/>
  <c r="L19" i="2"/>
  <c r="AF3" i="2"/>
  <c r="D102" i="2"/>
  <c r="E102" i="2" s="1"/>
  <c r="B103" i="2"/>
  <c r="L6" i="2"/>
  <c r="L35" i="2"/>
  <c r="M31" i="2"/>
  <c r="R31" i="2" s="1"/>
  <c r="F85" i="2" s="1"/>
  <c r="AK9" i="2"/>
  <c r="H33" i="2"/>
  <c r="K33" i="2" s="1"/>
  <c r="H5" i="2"/>
  <c r="K5" i="2" s="1"/>
  <c r="Q5" i="2" s="1"/>
  <c r="L59" i="2" s="1"/>
  <c r="M26" i="2"/>
  <c r="R26" i="2" s="1"/>
  <c r="F80" i="2" s="1"/>
  <c r="N29" i="2"/>
  <c r="L27" i="2"/>
  <c r="M11" i="2"/>
  <c r="R11" i="2" s="1"/>
  <c r="F65" i="2" s="1"/>
  <c r="H9" i="2"/>
  <c r="K9" i="2" s="1"/>
  <c r="Q9" i="2" s="1"/>
  <c r="L63" i="2" s="1"/>
  <c r="AL9" i="2"/>
  <c r="I63" i="2" s="1"/>
  <c r="H21" i="2"/>
  <c r="K24" i="2"/>
  <c r="H37" i="2"/>
  <c r="K37" i="2" s="1"/>
  <c r="Q37" i="2" s="1"/>
  <c r="L91" i="2" s="1"/>
  <c r="M14" i="2"/>
  <c r="R14" i="2" s="1"/>
  <c r="M10" i="2"/>
  <c r="R10" i="2" s="1"/>
  <c r="L4" i="2"/>
  <c r="K8" i="2"/>
  <c r="L15" i="2"/>
  <c r="M25" i="2"/>
  <c r="K4" i="2"/>
  <c r="M7" i="2"/>
  <c r="R7" i="2" s="1"/>
  <c r="L18" i="2"/>
  <c r="L31" i="2"/>
  <c r="M6" i="2"/>
  <c r="R6" i="2" s="1"/>
  <c r="K7" i="2"/>
  <c r="N21" i="2"/>
  <c r="K28" i="2"/>
  <c r="AK10" i="2"/>
  <c r="AK5" i="2"/>
  <c r="K27" i="2"/>
  <c r="N5" i="2"/>
  <c r="L10" i="2"/>
  <c r="K16" i="2"/>
  <c r="M22" i="2"/>
  <c r="R22" i="2" s="1"/>
  <c r="L26" i="2"/>
  <c r="M29" i="2"/>
  <c r="M8" i="2"/>
  <c r="R8" i="2" s="1"/>
  <c r="M13" i="2"/>
  <c r="K14" i="2"/>
  <c r="L16" i="2"/>
  <c r="M20" i="2"/>
  <c r="R20" i="2" s="1"/>
  <c r="L22" i="2"/>
  <c r="M24" i="2"/>
  <c r="R24" i="2" s="1"/>
  <c r="H29" i="2"/>
  <c r="L32" i="2"/>
  <c r="L11" i="2"/>
  <c r="N25" i="2"/>
  <c r="M5" i="2"/>
  <c r="M18" i="2"/>
  <c r="R18" i="2" s="1"/>
  <c r="M28" i="2"/>
  <c r="R28" i="2" s="1"/>
  <c r="K15" i="2"/>
  <c r="K19" i="2"/>
  <c r="N37" i="2"/>
  <c r="M9" i="2"/>
  <c r="M19" i="2"/>
  <c r="R19" i="2" s="1"/>
  <c r="M15" i="2"/>
  <c r="R15" i="2" s="1"/>
  <c r="R27" i="2"/>
  <c r="M4" i="2"/>
  <c r="R4" i="2" s="1"/>
  <c r="K11" i="2"/>
  <c r="L14" i="2"/>
  <c r="H17" i="2"/>
  <c r="K17" i="2" s="1"/>
  <c r="L24" i="2"/>
  <c r="M35" i="2"/>
  <c r="R35" i="2" s="1"/>
  <c r="M37" i="2"/>
  <c r="K31" i="2"/>
  <c r="K36" i="2"/>
  <c r="L36" i="2"/>
  <c r="L30" i="2"/>
  <c r="K30" i="2"/>
  <c r="M36" i="2"/>
  <c r="R36" i="2" s="1"/>
  <c r="M30" i="2"/>
  <c r="R30" i="2" s="1"/>
  <c r="K32" i="2"/>
  <c r="M32" i="2"/>
  <c r="R32" i="2" s="1"/>
  <c r="N33" i="2"/>
  <c r="M33" i="2"/>
  <c r="L8" i="2"/>
  <c r="L20" i="2"/>
  <c r="AK11" i="2"/>
  <c r="AL11" i="2"/>
  <c r="I65" i="2" s="1"/>
  <c r="AK2" i="2"/>
  <c r="AL2" i="2"/>
  <c r="I56" i="2" s="1"/>
  <c r="K18" i="2"/>
  <c r="K35" i="2"/>
  <c r="K22" i="2"/>
  <c r="AK6" i="2"/>
  <c r="AL6" i="2"/>
  <c r="I60" i="2" s="1"/>
  <c r="AK4" i="2"/>
  <c r="AL4" i="2"/>
  <c r="I58" i="2" s="1"/>
  <c r="M21" i="2"/>
  <c r="AK13" i="2"/>
  <c r="K26" i="2"/>
  <c r="K6" i="2"/>
  <c r="BF14" i="2" l="1"/>
  <c r="B406" i="8"/>
  <c r="I399" i="8"/>
  <c r="AA469" i="8" s="1"/>
  <c r="BG386" i="8"/>
  <c r="D328" i="8"/>
  <c r="D267" i="8"/>
  <c r="M267" i="8" s="1"/>
  <c r="D71" i="8"/>
  <c r="N23" i="8"/>
  <c r="S23" i="8"/>
  <c r="D160" i="8"/>
  <c r="L160" i="8" s="1"/>
  <c r="M72" i="8"/>
  <c r="BG363" i="8"/>
  <c r="D255" i="8"/>
  <c r="M255" i="8" s="1"/>
  <c r="D316" i="8"/>
  <c r="L385" i="8" s="1"/>
  <c r="R469" i="8" s="1"/>
  <c r="D50" i="8"/>
  <c r="N11" i="8"/>
  <c r="S11" i="8"/>
  <c r="BG388" i="8"/>
  <c r="D340" i="8"/>
  <c r="I400" i="8" s="1"/>
  <c r="I391" i="8" s="1"/>
  <c r="D279" i="8"/>
  <c r="M279" i="8" s="1"/>
  <c r="D73" i="8"/>
  <c r="N35" i="8"/>
  <c r="S35" i="8"/>
  <c r="D153" i="8"/>
  <c r="L153" i="8" s="1"/>
  <c r="M65" i="8"/>
  <c r="E255" i="8"/>
  <c r="E316" i="8"/>
  <c r="E465" i="8" s="1"/>
  <c r="E50" i="8"/>
  <c r="E138" i="8" s="1"/>
  <c r="D478" i="8"/>
  <c r="N329" i="8"/>
  <c r="D330" i="8"/>
  <c r="L401" i="8" s="1"/>
  <c r="AD471" i="8" s="1"/>
  <c r="BG395" i="8"/>
  <c r="D269" i="8"/>
  <c r="M269" i="8" s="1"/>
  <c r="D79" i="8"/>
  <c r="N25" i="8"/>
  <c r="D490" i="8"/>
  <c r="N341" i="8"/>
  <c r="B418" i="8"/>
  <c r="FP148" i="10"/>
  <c r="DI135" i="10"/>
  <c r="BG384" i="8"/>
  <c r="D256" i="8"/>
  <c r="N256" i="8" s="1"/>
  <c r="D69" i="8"/>
  <c r="D317" i="8"/>
  <c r="N12" i="8"/>
  <c r="S12" i="8"/>
  <c r="D13" i="6"/>
  <c r="BJ8" i="2"/>
  <c r="X187" i="10"/>
  <c r="D37" i="8"/>
  <c r="D37" i="9"/>
  <c r="E25" i="8"/>
  <c r="E25" i="9"/>
  <c r="X14" i="9" s="1"/>
  <c r="S245" i="10"/>
  <c r="X245" i="10" s="1"/>
  <c r="AH187" i="10"/>
  <c r="E13" i="8"/>
  <c r="E13" i="9"/>
  <c r="U14" i="9" s="1"/>
  <c r="V187" i="10"/>
  <c r="D13" i="8"/>
  <c r="D13" i="9"/>
  <c r="E24" i="8"/>
  <c r="E24" i="9"/>
  <c r="AF3" i="9" s="1"/>
  <c r="X4" i="9" s="1"/>
  <c r="CQ4" i="10"/>
  <c r="E12" i="9"/>
  <c r="AD3" i="9" s="1"/>
  <c r="U4" i="9" s="1"/>
  <c r="E12" i="8"/>
  <c r="CQ3" i="10"/>
  <c r="R242" i="10"/>
  <c r="W242" i="10" s="1"/>
  <c r="AA241" i="10" s="1"/>
  <c r="AG184" i="10"/>
  <c r="D7" i="6"/>
  <c r="BF5" i="2"/>
  <c r="D6" i="6"/>
  <c r="E35" i="9"/>
  <c r="AA18" i="9" s="1"/>
  <c r="AA12" i="9" s="1"/>
  <c r="E35" i="8"/>
  <c r="CR5" i="10"/>
  <c r="T232" i="10"/>
  <c r="Y232" i="10" s="1"/>
  <c r="AB193" i="10"/>
  <c r="E23" i="9"/>
  <c r="X18" i="9" s="1"/>
  <c r="X12" i="9" s="1"/>
  <c r="S47" i="9" s="1"/>
  <c r="E23" i="8"/>
  <c r="CR4" i="10"/>
  <c r="S232" i="10"/>
  <c r="X232" i="10" s="1"/>
  <c r="AA193" i="10"/>
  <c r="R232" i="10"/>
  <c r="W232" i="10" s="1"/>
  <c r="Z193" i="10"/>
  <c r="K21" i="2"/>
  <c r="DI137" i="10"/>
  <c r="FP149" i="10"/>
  <c r="AQ109" i="10"/>
  <c r="AQ116" i="10" s="1"/>
  <c r="AQ110" i="10"/>
  <c r="AQ114" i="10" s="1"/>
  <c r="FP147" i="10"/>
  <c r="DI136" i="10"/>
  <c r="G216" i="10"/>
  <c r="G221" i="10"/>
  <c r="G206" i="10"/>
  <c r="G211" i="10"/>
  <c r="H103" i="10"/>
  <c r="G222" i="10"/>
  <c r="G217" i="10"/>
  <c r="G207" i="10"/>
  <c r="G212" i="10"/>
  <c r="L111" i="10"/>
  <c r="L153" i="10"/>
  <c r="L147" i="10"/>
  <c r="L110" i="10"/>
  <c r="L149" i="10"/>
  <c r="L141" i="10"/>
  <c r="L154" i="10"/>
  <c r="L109" i="10"/>
  <c r="L140" i="10"/>
  <c r="L123" i="10"/>
  <c r="L135" i="10"/>
  <c r="L127" i="10"/>
  <c r="L128" i="10"/>
  <c r="L148" i="10"/>
  <c r="L142" i="10"/>
  <c r="L137" i="10"/>
  <c r="L129" i="10"/>
  <c r="L136" i="10"/>
  <c r="L122" i="10"/>
  <c r="L116" i="10"/>
  <c r="L115" i="10"/>
  <c r="L152" i="10"/>
  <c r="L124" i="10"/>
  <c r="L114" i="10"/>
  <c r="AR109" i="10" s="1"/>
  <c r="AL27" i="10"/>
  <c r="BK123" i="10"/>
  <c r="BK122" i="10"/>
  <c r="BK124" i="10"/>
  <c r="AB15" i="10"/>
  <c r="AB16" i="10"/>
  <c r="BK42" i="10"/>
  <c r="AL29" i="10"/>
  <c r="CO54" i="10"/>
  <c r="CO53" i="10"/>
  <c r="BK41" i="10"/>
  <c r="BK40" i="10"/>
  <c r="CO52" i="10"/>
  <c r="H8" i="10"/>
  <c r="L15" i="10"/>
  <c r="L20" i="10"/>
  <c r="L16" i="10"/>
  <c r="L27" i="10"/>
  <c r="L14" i="10"/>
  <c r="L59" i="10"/>
  <c r="L40" i="10"/>
  <c r="L28" i="10"/>
  <c r="L52" i="10"/>
  <c r="L29" i="10"/>
  <c r="L58" i="10"/>
  <c r="L46" i="10"/>
  <c r="L42" i="10"/>
  <c r="L41" i="10"/>
  <c r="L34" i="10"/>
  <c r="L47" i="10"/>
  <c r="L45" i="10"/>
  <c r="L33" i="10"/>
  <c r="L54" i="10"/>
  <c r="L53" i="10"/>
  <c r="L57" i="10"/>
  <c r="L19" i="10"/>
  <c r="L32" i="10"/>
  <c r="L21" i="10"/>
  <c r="AL28" i="10"/>
  <c r="AB14" i="10"/>
  <c r="D99" i="2"/>
  <c r="E99" i="2" s="1"/>
  <c r="Q33" i="2"/>
  <c r="L87" i="2" s="1"/>
  <c r="AS12" i="2" s="1"/>
  <c r="K29" i="2"/>
  <c r="P29" i="2" s="1"/>
  <c r="K25" i="2"/>
  <c r="Q25" i="2" s="1"/>
  <c r="L79" i="2" s="1"/>
  <c r="B58" i="2"/>
  <c r="D58" i="2" s="1"/>
  <c r="E58" i="2" s="1"/>
  <c r="F58" i="2"/>
  <c r="AU63" i="2" s="1"/>
  <c r="B77" i="2"/>
  <c r="D77" i="2" s="1"/>
  <c r="E77" i="2" s="1"/>
  <c r="F77" i="2"/>
  <c r="AU77" i="2" s="1"/>
  <c r="B57" i="2"/>
  <c r="D57" i="2" s="1"/>
  <c r="E57" i="2" s="1"/>
  <c r="F57" i="2"/>
  <c r="AU62" i="2" s="1"/>
  <c r="H59" i="2"/>
  <c r="AS3" i="2"/>
  <c r="B62" i="2"/>
  <c r="D62" i="2" s="1"/>
  <c r="E62" i="2" s="1"/>
  <c r="F62" i="2"/>
  <c r="AU66" i="2" s="1"/>
  <c r="B60" i="2"/>
  <c r="F60" i="2"/>
  <c r="B89" i="2"/>
  <c r="D89" i="2" s="1"/>
  <c r="E89" i="2" s="1"/>
  <c r="F89" i="2"/>
  <c r="AU86" i="2" s="1"/>
  <c r="B64" i="2"/>
  <c r="D64" i="2" s="1"/>
  <c r="E64" i="2" s="1"/>
  <c r="F64" i="2"/>
  <c r="AU67" i="2" s="1"/>
  <c r="B69" i="2"/>
  <c r="F69" i="2"/>
  <c r="H67" i="2"/>
  <c r="J67" i="2" s="1"/>
  <c r="K67" i="2" s="1"/>
  <c r="AV96" i="2"/>
  <c r="B81" i="2"/>
  <c r="D81" i="2" s="1"/>
  <c r="E81" i="2" s="1"/>
  <c r="F81" i="2"/>
  <c r="AU80" i="2" s="1"/>
  <c r="B56" i="2"/>
  <c r="D56" i="2" s="1"/>
  <c r="E56" i="2" s="1"/>
  <c r="F56" i="2"/>
  <c r="AU61" i="2" s="1"/>
  <c r="B90" i="2"/>
  <c r="D90" i="2" s="1"/>
  <c r="E90" i="2" s="1"/>
  <c r="F90" i="2"/>
  <c r="AU87" i="2" s="1"/>
  <c r="B73" i="2"/>
  <c r="D73" i="2" s="1"/>
  <c r="E73" i="2" s="1"/>
  <c r="F73" i="2"/>
  <c r="AU74" i="2" s="1"/>
  <c r="B72" i="2"/>
  <c r="F72" i="2"/>
  <c r="AU73" i="2" s="1"/>
  <c r="B61" i="2"/>
  <c r="F61" i="2"/>
  <c r="AU65" i="2" s="1"/>
  <c r="B68" i="2"/>
  <c r="D68" i="2" s="1"/>
  <c r="E68" i="2" s="1"/>
  <c r="F68" i="2"/>
  <c r="AU70" i="2" s="1"/>
  <c r="B86" i="2"/>
  <c r="D86" i="2" s="1"/>
  <c r="E86" i="2" s="1"/>
  <c r="F86" i="2"/>
  <c r="B84" i="2"/>
  <c r="F84" i="2"/>
  <c r="B82" i="2"/>
  <c r="D82" i="2" s="1"/>
  <c r="E82" i="2" s="1"/>
  <c r="F82" i="2"/>
  <c r="AU81" i="2" s="1"/>
  <c r="H63" i="2"/>
  <c r="J63" i="2" s="1"/>
  <c r="K63" i="2" s="1"/>
  <c r="B70" i="2"/>
  <c r="F70" i="2"/>
  <c r="AU72" i="2" s="1"/>
  <c r="B78" i="2"/>
  <c r="D78" i="2" s="1"/>
  <c r="E78" i="2" s="1"/>
  <c r="F78" i="2"/>
  <c r="AU78" i="2" s="1"/>
  <c r="B74" i="2"/>
  <c r="D74" i="2" s="1"/>
  <c r="E74" i="2" s="1"/>
  <c r="F74" i="2"/>
  <c r="AU75" i="2" s="1"/>
  <c r="B76" i="2"/>
  <c r="D76" i="2" s="1"/>
  <c r="E76" i="2" s="1"/>
  <c r="F76" i="2"/>
  <c r="AU76" i="2" s="1"/>
  <c r="H91" i="2"/>
  <c r="J91" i="2" s="1"/>
  <c r="K91" i="2" s="1"/>
  <c r="Q28" i="2"/>
  <c r="L82" i="2" s="1"/>
  <c r="D37" i="5"/>
  <c r="D123" i="8" s="1"/>
  <c r="L123" i="8" s="1"/>
  <c r="M99" i="8" s="1"/>
  <c r="E32" i="5"/>
  <c r="E118" i="8" s="1"/>
  <c r="E35" i="5"/>
  <c r="E121" i="8" s="1"/>
  <c r="E36" i="5"/>
  <c r="E122" i="8" s="1"/>
  <c r="E30" i="5"/>
  <c r="E116" i="8" s="1"/>
  <c r="E31" i="5"/>
  <c r="E117" i="8" s="1"/>
  <c r="E33" i="5"/>
  <c r="E119" i="8" s="1"/>
  <c r="D33" i="5"/>
  <c r="D119" i="8" s="1"/>
  <c r="L119" i="8" s="1"/>
  <c r="M98" i="8" s="1"/>
  <c r="AL8" i="2"/>
  <c r="I62" i="2" s="1"/>
  <c r="L12" i="2"/>
  <c r="AK8" i="2"/>
  <c r="L34" i="2"/>
  <c r="R9" i="2"/>
  <c r="Q31" i="2"/>
  <c r="L85" i="2" s="1"/>
  <c r="P19" i="2"/>
  <c r="R25" i="2"/>
  <c r="AK3" i="2"/>
  <c r="Q27" i="2"/>
  <c r="Q7" i="2"/>
  <c r="L61" i="2" s="1"/>
  <c r="Q16" i="2"/>
  <c r="L70" i="2" s="1"/>
  <c r="AL3" i="2"/>
  <c r="I57" i="2" s="1"/>
  <c r="R17" i="2"/>
  <c r="Q15" i="2"/>
  <c r="L69" i="2" s="1"/>
  <c r="R13" i="2"/>
  <c r="Q20" i="2"/>
  <c r="Q19" i="2"/>
  <c r="L73" i="2" s="1"/>
  <c r="Q4" i="2"/>
  <c r="L58" i="2" s="1"/>
  <c r="R29" i="2"/>
  <c r="P16" i="2"/>
  <c r="Q2" i="2"/>
  <c r="P31" i="2"/>
  <c r="D70" i="2"/>
  <c r="E70" i="2" s="1"/>
  <c r="P17" i="2"/>
  <c r="AS5" i="2"/>
  <c r="B85" i="2"/>
  <c r="P9" i="2"/>
  <c r="Q3" i="2"/>
  <c r="L57" i="2" s="1"/>
  <c r="B80" i="2"/>
  <c r="AR14" i="2"/>
  <c r="C13" i="6" s="1"/>
  <c r="D103" i="2"/>
  <c r="E103" i="2" s="1"/>
  <c r="K34" i="2"/>
  <c r="B65" i="2"/>
  <c r="AS13" i="2"/>
  <c r="M12" i="2"/>
  <c r="R12" i="2" s="1"/>
  <c r="P10" i="2"/>
  <c r="P7" i="2"/>
  <c r="R37" i="2"/>
  <c r="Q14" i="2"/>
  <c r="L68" i="2" s="1"/>
  <c r="R21" i="2"/>
  <c r="R33" i="2"/>
  <c r="P24" i="2"/>
  <c r="J59" i="2"/>
  <c r="K59" i="2" s="1"/>
  <c r="Q24" i="2"/>
  <c r="L78" i="2" s="1"/>
  <c r="AR8" i="2"/>
  <c r="C7" i="6" s="1"/>
  <c r="P11" i="2"/>
  <c r="P3" i="2"/>
  <c r="K12" i="2"/>
  <c r="R5" i="2"/>
  <c r="F59" i="2" s="1"/>
  <c r="P14" i="2"/>
  <c r="Q10" i="2"/>
  <c r="P8" i="2"/>
  <c r="P28" i="2"/>
  <c r="P13" i="2"/>
  <c r="D69" i="2"/>
  <c r="E69" i="2" s="1"/>
  <c r="AU71" i="2"/>
  <c r="D61" i="2"/>
  <c r="E61" i="2" s="1"/>
  <c r="D60" i="2"/>
  <c r="E60" i="2" s="1"/>
  <c r="Q17" i="2"/>
  <c r="L71" i="2" s="1"/>
  <c r="P37" i="2"/>
  <c r="Q8" i="2"/>
  <c r="L62" i="2" s="1"/>
  <c r="D72" i="2"/>
  <c r="E72" i="2" s="1"/>
  <c r="Q11" i="2"/>
  <c r="L65" i="2" s="1"/>
  <c r="AU84" i="2"/>
  <c r="Q29" i="2"/>
  <c r="L83" i="2" s="1"/>
  <c r="P5" i="2"/>
  <c r="P2" i="2"/>
  <c r="P15" i="2"/>
  <c r="P4" i="2"/>
  <c r="P23" i="2"/>
  <c r="P27" i="2"/>
  <c r="P20" i="2"/>
  <c r="P21" i="2"/>
  <c r="Q21" i="2"/>
  <c r="L75" i="2" s="1"/>
  <c r="P26" i="2"/>
  <c r="Q26" i="2"/>
  <c r="L80" i="2" s="1"/>
  <c r="P18" i="2"/>
  <c r="Q18" i="2"/>
  <c r="L72" i="2" s="1"/>
  <c r="Q22" i="2"/>
  <c r="P22" i="2"/>
  <c r="P6" i="2"/>
  <c r="Q6" i="2"/>
  <c r="L60" i="2" s="1"/>
  <c r="Q30" i="2"/>
  <c r="P30" i="2"/>
  <c r="Q32" i="2"/>
  <c r="L86" i="2" s="1"/>
  <c r="P32" i="2"/>
  <c r="P36" i="2"/>
  <c r="Q36" i="2"/>
  <c r="M34" i="2"/>
  <c r="R34" i="2" s="1"/>
  <c r="F88" i="2" s="1"/>
  <c r="AU85" i="2" s="1"/>
  <c r="P35" i="2"/>
  <c r="Q35" i="2"/>
  <c r="P47" i="9" l="1"/>
  <c r="N74" i="9"/>
  <c r="G74" i="9" s="1"/>
  <c r="O74" i="9"/>
  <c r="H74" i="9" s="1"/>
  <c r="S34" i="9"/>
  <c r="S49" i="9"/>
  <c r="Z34" i="9"/>
  <c r="B405" i="8"/>
  <c r="I398" i="8"/>
  <c r="AA468" i="8" s="1"/>
  <c r="D466" i="8"/>
  <c r="I397" i="8"/>
  <c r="AA467" i="8" s="1"/>
  <c r="S45" i="9"/>
  <c r="AM27" i="9"/>
  <c r="AM35" i="9" s="1"/>
  <c r="Z33" i="9"/>
  <c r="BL15" i="2"/>
  <c r="BJ14" i="2" s="1"/>
  <c r="S51" i="9"/>
  <c r="BG398" i="8"/>
  <c r="D342" i="8"/>
  <c r="L404" i="8" s="1"/>
  <c r="AD474" i="8" s="1"/>
  <c r="D281" i="8"/>
  <c r="M281" i="8" s="1"/>
  <c r="D82" i="8"/>
  <c r="N37" i="8"/>
  <c r="S37" i="8"/>
  <c r="E257" i="8"/>
  <c r="E318" i="8"/>
  <c r="E467" i="8" s="1"/>
  <c r="E76" i="8"/>
  <c r="E164" i="8" s="1"/>
  <c r="D167" i="8"/>
  <c r="L167" i="8" s="1"/>
  <c r="M79" i="8"/>
  <c r="D161" i="8"/>
  <c r="L161" i="8" s="1"/>
  <c r="M73" i="8"/>
  <c r="D465" i="8"/>
  <c r="N316" i="8"/>
  <c r="B393" i="8"/>
  <c r="D159" i="8"/>
  <c r="L159" i="8" s="1"/>
  <c r="M71" i="8"/>
  <c r="E328" i="8"/>
  <c r="E477" i="8" s="1"/>
  <c r="E267" i="8"/>
  <c r="E71" i="8"/>
  <c r="E159" i="8" s="1"/>
  <c r="D489" i="8"/>
  <c r="X475" i="8" s="1"/>
  <c r="N340" i="8"/>
  <c r="B417" i="8"/>
  <c r="D477" i="8"/>
  <c r="N328" i="8"/>
  <c r="E329" i="8"/>
  <c r="E478" i="8" s="1"/>
  <c r="E268" i="8"/>
  <c r="E72" i="8"/>
  <c r="E160" i="8" s="1"/>
  <c r="D479" i="8"/>
  <c r="N330" i="8"/>
  <c r="E330" i="8"/>
  <c r="E479" i="8" s="1"/>
  <c r="E269" i="8"/>
  <c r="E79" i="8"/>
  <c r="E167" i="8" s="1"/>
  <c r="B407" i="8"/>
  <c r="E340" i="8"/>
  <c r="E489" i="8" s="1"/>
  <c r="E279" i="8"/>
  <c r="E73" i="8"/>
  <c r="E161" i="8" s="1"/>
  <c r="D138" i="8"/>
  <c r="L138" i="8" s="1"/>
  <c r="M50" i="8"/>
  <c r="BG392" i="8"/>
  <c r="D318" i="8"/>
  <c r="L398" i="8" s="1"/>
  <c r="AD468" i="8" s="1"/>
  <c r="D257" i="8"/>
  <c r="M257" i="8" s="1"/>
  <c r="D76" i="8"/>
  <c r="N13" i="8"/>
  <c r="S13" i="8"/>
  <c r="AR111" i="10"/>
  <c r="FQ149" i="10"/>
  <c r="AQ115" i="10"/>
  <c r="N317" i="8"/>
  <c r="B394" i="8"/>
  <c r="D157" i="8"/>
  <c r="L157" i="8" s="1"/>
  <c r="M69" i="8"/>
  <c r="E317" i="8"/>
  <c r="E466" i="8" s="1"/>
  <c r="E69" i="8"/>
  <c r="E157" i="8" s="1"/>
  <c r="E256" i="8"/>
  <c r="P43" i="9"/>
  <c r="E37" i="5"/>
  <c r="E123" i="8" s="1"/>
  <c r="E37" i="9"/>
  <c r="AA14" i="9" s="1"/>
  <c r="E37" i="8"/>
  <c r="T245" i="10"/>
  <c r="Y245" i="10" s="1"/>
  <c r="AI187" i="10"/>
  <c r="R245" i="10"/>
  <c r="W245" i="10" s="1"/>
  <c r="AG187" i="10"/>
  <c r="AA231" i="10"/>
  <c r="BB8" i="2"/>
  <c r="D12" i="6"/>
  <c r="R203" i="10"/>
  <c r="D10" i="9"/>
  <c r="D10" i="8"/>
  <c r="T203" i="10"/>
  <c r="D34" i="9"/>
  <c r="D34" i="8"/>
  <c r="S203" i="10"/>
  <c r="D22" i="8"/>
  <c r="D22" i="9"/>
  <c r="D11" i="6"/>
  <c r="BF8" i="2"/>
  <c r="P33" i="2"/>
  <c r="R196" i="10"/>
  <c r="D33" i="9"/>
  <c r="FR54" i="10"/>
  <c r="D33" i="8"/>
  <c r="R194" i="10"/>
  <c r="D32" i="8"/>
  <c r="D32" i="9"/>
  <c r="Q194" i="10"/>
  <c r="D20" i="9"/>
  <c r="D20" i="8"/>
  <c r="W185" i="10"/>
  <c r="D19" i="8"/>
  <c r="D19" i="9"/>
  <c r="X185" i="10"/>
  <c r="D31" i="8"/>
  <c r="D31" i="9"/>
  <c r="V185" i="10"/>
  <c r="D7" i="9"/>
  <c r="D7" i="8"/>
  <c r="T201" i="10"/>
  <c r="BL29" i="10"/>
  <c r="D30" i="9"/>
  <c r="D30" i="8"/>
  <c r="S201" i="10"/>
  <c r="BL28" i="10"/>
  <c r="D18" i="8"/>
  <c r="D18" i="9"/>
  <c r="R201" i="10"/>
  <c r="D6" i="9"/>
  <c r="D6" i="8"/>
  <c r="BL27" i="10"/>
  <c r="T200" i="10"/>
  <c r="AR16" i="10"/>
  <c r="D29" i="8"/>
  <c r="D29" i="9"/>
  <c r="S200" i="10"/>
  <c r="D17" i="9"/>
  <c r="D17" i="8"/>
  <c r="AR15" i="10"/>
  <c r="R200" i="10"/>
  <c r="D5" i="9"/>
  <c r="D5" i="8"/>
  <c r="AR14" i="10"/>
  <c r="BF7" i="2"/>
  <c r="D4" i="6"/>
  <c r="V186" i="10"/>
  <c r="D4" i="9"/>
  <c r="D4" i="8"/>
  <c r="BJ7" i="2"/>
  <c r="D3" i="6"/>
  <c r="R195" i="10"/>
  <c r="D27" i="8"/>
  <c r="D27" i="9"/>
  <c r="Q195" i="10"/>
  <c r="D15" i="9"/>
  <c r="D15" i="8"/>
  <c r="P195" i="10"/>
  <c r="D3" i="9"/>
  <c r="D3" i="8"/>
  <c r="BB7" i="2"/>
  <c r="D2" i="6"/>
  <c r="T202" i="10"/>
  <c r="DJ42" i="10"/>
  <c r="D4" i="5"/>
  <c r="D90" i="8" s="1"/>
  <c r="L90" i="8" s="1"/>
  <c r="D26" i="8"/>
  <c r="D26" i="9"/>
  <c r="S202" i="10"/>
  <c r="DJ41" i="10"/>
  <c r="D14" i="8"/>
  <c r="D14" i="9"/>
  <c r="R202" i="10"/>
  <c r="D2" i="9"/>
  <c r="DJ40" i="10"/>
  <c r="D2" i="8"/>
  <c r="FQ148" i="10"/>
  <c r="DJ137" i="10"/>
  <c r="BL122" i="10"/>
  <c r="BL124" i="10"/>
  <c r="DJ135" i="10"/>
  <c r="I103" i="10"/>
  <c r="H222" i="10"/>
  <c r="H207" i="10"/>
  <c r="H212" i="10"/>
  <c r="H217" i="10"/>
  <c r="M109" i="10"/>
  <c r="M152" i="10"/>
  <c r="M128" i="10"/>
  <c r="M154" i="10"/>
  <c r="M111" i="10"/>
  <c r="M110" i="10"/>
  <c r="M140" i="10"/>
  <c r="M135" i="10"/>
  <c r="M115" i="10"/>
  <c r="M114" i="10"/>
  <c r="M123" i="10"/>
  <c r="M127" i="10"/>
  <c r="M153" i="10"/>
  <c r="M149" i="10"/>
  <c r="M141" i="10"/>
  <c r="M122" i="10"/>
  <c r="M142" i="10"/>
  <c r="M137" i="10"/>
  <c r="M136" i="10"/>
  <c r="M124" i="10"/>
  <c r="M129" i="10"/>
  <c r="M147" i="10"/>
  <c r="M116" i="10"/>
  <c r="M148" i="10"/>
  <c r="H221" i="10"/>
  <c r="H216" i="10"/>
  <c r="H211" i="10"/>
  <c r="H206" i="10"/>
  <c r="FQ147" i="10"/>
  <c r="DJ136" i="10"/>
  <c r="AM27" i="10"/>
  <c r="AR110" i="10"/>
  <c r="BL123" i="10"/>
  <c r="BL40" i="10"/>
  <c r="AC16" i="10"/>
  <c r="AC14" i="10"/>
  <c r="CP54" i="10"/>
  <c r="BL42" i="10"/>
  <c r="AM29" i="10"/>
  <c r="I8" i="10"/>
  <c r="M16" i="10"/>
  <c r="M54" i="10"/>
  <c r="M20" i="10"/>
  <c r="M52" i="10"/>
  <c r="M14" i="10"/>
  <c r="M57" i="10"/>
  <c r="M59" i="10"/>
  <c r="M29" i="10"/>
  <c r="M28" i="10"/>
  <c r="M46" i="10"/>
  <c r="M53" i="10"/>
  <c r="M19" i="10"/>
  <c r="M32" i="10"/>
  <c r="M45" i="10"/>
  <c r="M33" i="10"/>
  <c r="M27" i="10"/>
  <c r="M42" i="10"/>
  <c r="M58" i="10"/>
  <c r="M47" i="10"/>
  <c r="M15" i="10"/>
  <c r="M40" i="10"/>
  <c r="M41" i="10"/>
  <c r="M34" i="10"/>
  <c r="M21" i="10"/>
  <c r="CP52" i="10"/>
  <c r="BL41" i="10"/>
  <c r="CP53" i="10"/>
  <c r="AM28" i="10"/>
  <c r="AC15" i="10"/>
  <c r="L90" i="2"/>
  <c r="L89" i="2"/>
  <c r="AV86" i="2" s="1"/>
  <c r="H87" i="2"/>
  <c r="J87" i="2" s="1"/>
  <c r="K87" i="2" s="1"/>
  <c r="AU82" i="2"/>
  <c r="D23" i="5" s="1"/>
  <c r="D109" i="8" s="1"/>
  <c r="L109" i="8" s="1"/>
  <c r="L84" i="2"/>
  <c r="AV82" i="2" s="1"/>
  <c r="L81" i="2"/>
  <c r="AV80" i="2" s="1"/>
  <c r="P25" i="2"/>
  <c r="L76" i="2"/>
  <c r="AV76" i="2" s="1"/>
  <c r="L64" i="2"/>
  <c r="AV67" i="2" s="1"/>
  <c r="L77" i="2"/>
  <c r="L74" i="2"/>
  <c r="AV75" i="2" s="1"/>
  <c r="H72" i="2"/>
  <c r="J72" i="2" s="1"/>
  <c r="K72" i="2" s="1"/>
  <c r="H64" i="2"/>
  <c r="J64" i="2" s="1"/>
  <c r="K64" i="2" s="1"/>
  <c r="B83" i="2"/>
  <c r="D83" i="2" s="1"/>
  <c r="E83" i="2" s="1"/>
  <c r="F83" i="2"/>
  <c r="AR11" i="2" s="1"/>
  <c r="C10" i="6" s="1"/>
  <c r="B63" i="2"/>
  <c r="D63" i="2" s="1"/>
  <c r="E63" i="2" s="1"/>
  <c r="F63" i="2"/>
  <c r="AR4" i="2" s="1"/>
  <c r="C3" i="6" s="1"/>
  <c r="H86" i="2"/>
  <c r="H62" i="2"/>
  <c r="H77" i="2"/>
  <c r="J77" i="2" s="1"/>
  <c r="K77" i="2" s="1"/>
  <c r="H70" i="2"/>
  <c r="J70" i="2" s="1"/>
  <c r="K70" i="2" s="1"/>
  <c r="AV72" i="2"/>
  <c r="H78" i="2"/>
  <c r="J78" i="2" s="1"/>
  <c r="K78" i="2" s="1"/>
  <c r="H82" i="2"/>
  <c r="J82" i="2" s="1"/>
  <c r="K82" i="2" s="1"/>
  <c r="AV81" i="2"/>
  <c r="H80" i="2"/>
  <c r="J80" i="2" s="1"/>
  <c r="K80" i="2" s="1"/>
  <c r="H83" i="2"/>
  <c r="J83" i="2" s="1"/>
  <c r="K83" i="2" s="1"/>
  <c r="H79" i="2"/>
  <c r="J79" i="2" s="1"/>
  <c r="K79" i="2" s="1"/>
  <c r="H58" i="2"/>
  <c r="AV63" i="2"/>
  <c r="H61" i="2"/>
  <c r="J61" i="2" s="1"/>
  <c r="K61" i="2" s="1"/>
  <c r="AV65" i="2"/>
  <c r="H89" i="2"/>
  <c r="J89" i="2" s="1"/>
  <c r="K89" i="2" s="1"/>
  <c r="B87" i="2"/>
  <c r="D87" i="2" s="1"/>
  <c r="E87" i="2" s="1"/>
  <c r="F87" i="2"/>
  <c r="AR12" i="2" s="1"/>
  <c r="C11" i="6" s="1"/>
  <c r="H74" i="2"/>
  <c r="J74" i="2" s="1"/>
  <c r="K74" i="2" s="1"/>
  <c r="B67" i="2"/>
  <c r="D67" i="2" s="1"/>
  <c r="E67" i="2" s="1"/>
  <c r="F67" i="2"/>
  <c r="B79" i="2"/>
  <c r="D79" i="2" s="1"/>
  <c r="E79" i="2" s="1"/>
  <c r="F79" i="2"/>
  <c r="AR10" i="2" s="1"/>
  <c r="C9" i="6" s="1"/>
  <c r="H73" i="2"/>
  <c r="J73" i="2" s="1"/>
  <c r="K73" i="2" s="1"/>
  <c r="H75" i="2"/>
  <c r="B88" i="2"/>
  <c r="D88" i="2" s="1"/>
  <c r="E88" i="2" s="1"/>
  <c r="H68" i="2"/>
  <c r="J68" i="2" s="1"/>
  <c r="K68" i="2" s="1"/>
  <c r="AV70" i="2"/>
  <c r="H56" i="2"/>
  <c r="J56" i="2" s="1"/>
  <c r="K56" i="2" s="1"/>
  <c r="L56" i="2"/>
  <c r="AV61" i="2" s="1"/>
  <c r="H69" i="2"/>
  <c r="J69" i="2" s="1"/>
  <c r="K69" i="2" s="1"/>
  <c r="H84" i="2"/>
  <c r="J84" i="2" s="1"/>
  <c r="K84" i="2" s="1"/>
  <c r="B66" i="2"/>
  <c r="D66" i="2" s="1"/>
  <c r="E66" i="2" s="1"/>
  <c r="F66" i="2"/>
  <c r="AU69" i="2" s="1"/>
  <c r="H81" i="2"/>
  <c r="J81" i="2" s="1"/>
  <c r="K81" i="2" s="1"/>
  <c r="H60" i="2"/>
  <c r="J60" i="2" s="1"/>
  <c r="K60" i="2" s="1"/>
  <c r="H65" i="2"/>
  <c r="AV68" i="2"/>
  <c r="H71" i="2"/>
  <c r="J71" i="2" s="1"/>
  <c r="K71" i="2" s="1"/>
  <c r="AS6" i="2"/>
  <c r="B75" i="2"/>
  <c r="D75" i="2" s="1"/>
  <c r="E75" i="2" s="1"/>
  <c r="F75" i="2"/>
  <c r="H57" i="2"/>
  <c r="J57" i="2" s="1"/>
  <c r="K57" i="2" s="1"/>
  <c r="H90" i="2"/>
  <c r="J90" i="2" s="1"/>
  <c r="K90" i="2" s="1"/>
  <c r="H76" i="2"/>
  <c r="J76" i="2" s="1"/>
  <c r="K76" i="2" s="1"/>
  <c r="D84" i="2"/>
  <c r="E84" i="2" s="1"/>
  <c r="B91" i="2"/>
  <c r="D91" i="2" s="1"/>
  <c r="E91" i="2" s="1"/>
  <c r="F91" i="2"/>
  <c r="AR13" i="2" s="1"/>
  <c r="C12" i="6" s="1"/>
  <c r="B71" i="2"/>
  <c r="D71" i="2" s="1"/>
  <c r="E71" i="2" s="1"/>
  <c r="F71" i="2"/>
  <c r="AR6" i="2" s="1"/>
  <c r="C5" i="6" s="1"/>
  <c r="H85" i="2"/>
  <c r="J85" i="2" s="1"/>
  <c r="K85" i="2" s="1"/>
  <c r="AV83" i="2"/>
  <c r="B59" i="2"/>
  <c r="C2" i="6" s="1"/>
  <c r="AU79" i="2"/>
  <c r="AR9" i="2"/>
  <c r="C8" i="6" s="1"/>
  <c r="AU83" i="2"/>
  <c r="AU68" i="2"/>
  <c r="D13" i="5"/>
  <c r="D99" i="8" s="1"/>
  <c r="L99" i="8" s="1"/>
  <c r="AV71" i="2"/>
  <c r="D22" i="5"/>
  <c r="D108" i="8" s="1"/>
  <c r="L108" i="8" s="1"/>
  <c r="D27" i="5"/>
  <c r="D113" i="8" s="1"/>
  <c r="L113" i="8" s="1"/>
  <c r="D28" i="5"/>
  <c r="D114" i="8" s="1"/>
  <c r="L114" i="8" s="1"/>
  <c r="D3" i="5"/>
  <c r="D89" i="8" s="1"/>
  <c r="L89" i="8" s="1"/>
  <c r="D25" i="5"/>
  <c r="D111" i="8" s="1"/>
  <c r="L111" i="8" s="1"/>
  <c r="D15" i="5"/>
  <c r="D101" i="8" s="1"/>
  <c r="L101" i="8" s="1"/>
  <c r="D6" i="5"/>
  <c r="D92" i="8" s="1"/>
  <c r="L92" i="8" s="1"/>
  <c r="D11" i="5"/>
  <c r="D97" i="8" s="1"/>
  <c r="L97" i="8" s="1"/>
  <c r="M91" i="8" s="1"/>
  <c r="D5" i="5"/>
  <c r="D91" i="8" s="1"/>
  <c r="L91" i="8" s="1"/>
  <c r="D18" i="5"/>
  <c r="D104" i="8" s="1"/>
  <c r="L104" i="8" s="1"/>
  <c r="D14" i="5"/>
  <c r="D100" i="8" s="1"/>
  <c r="L100" i="8" s="1"/>
  <c r="D21" i="5"/>
  <c r="D107" i="8" s="1"/>
  <c r="L107" i="8" s="1"/>
  <c r="D8" i="5"/>
  <c r="D94" i="8" s="1"/>
  <c r="L94" i="8" s="1"/>
  <c r="D16" i="5"/>
  <c r="D102" i="8" s="1"/>
  <c r="L102" i="8" s="1"/>
  <c r="D17" i="5"/>
  <c r="D103" i="8" s="1"/>
  <c r="L103" i="8" s="1"/>
  <c r="D19" i="5"/>
  <c r="D105" i="8" s="1"/>
  <c r="L105" i="8" s="1"/>
  <c r="D12" i="5"/>
  <c r="D98" i="8" s="1"/>
  <c r="L98" i="8" s="1"/>
  <c r="D2" i="5"/>
  <c r="D88" i="8" s="1"/>
  <c r="L88" i="8" s="1"/>
  <c r="Q34" i="2"/>
  <c r="AV74" i="2"/>
  <c r="AV77" i="2"/>
  <c r="P12" i="2"/>
  <c r="D85" i="2"/>
  <c r="E85" i="2" s="1"/>
  <c r="J58" i="2"/>
  <c r="K58" i="2" s="1"/>
  <c r="Q12" i="2"/>
  <c r="L66" i="2" s="1"/>
  <c r="D65" i="2"/>
  <c r="E65" i="2" s="1"/>
  <c r="J86" i="2"/>
  <c r="K86" i="2" s="1"/>
  <c r="AV84" i="2"/>
  <c r="AV78" i="2"/>
  <c r="AV73" i="2"/>
  <c r="J65" i="2"/>
  <c r="K65" i="2" s="1"/>
  <c r="AV79" i="2"/>
  <c r="D80" i="2"/>
  <c r="E80" i="2" s="1"/>
  <c r="AV87" i="2"/>
  <c r="AV62" i="2"/>
  <c r="AV64" i="2"/>
  <c r="J75" i="2"/>
  <c r="K75" i="2" s="1"/>
  <c r="AS9" i="2"/>
  <c r="AS11" i="2"/>
  <c r="J62" i="2"/>
  <c r="K62" i="2" s="1"/>
  <c r="AV66" i="2"/>
  <c r="AS10" i="2"/>
  <c r="P34" i="2"/>
  <c r="M92" i="8" l="1"/>
  <c r="M88" i="8"/>
  <c r="M89" i="8"/>
  <c r="M93" i="8"/>
  <c r="BJ17" i="2"/>
  <c r="Z35" i="9"/>
  <c r="S53" i="9"/>
  <c r="BG364" i="8"/>
  <c r="D319" i="8"/>
  <c r="L386" i="8" s="1"/>
  <c r="R470" i="8" s="1"/>
  <c r="D258" i="8"/>
  <c r="L258" i="8" s="1"/>
  <c r="D51" i="8"/>
  <c r="N14" i="8"/>
  <c r="S14" i="8"/>
  <c r="E342" i="8"/>
  <c r="E491" i="8" s="1"/>
  <c r="E281" i="8"/>
  <c r="E82" i="8"/>
  <c r="E170" i="8" s="1"/>
  <c r="D164" i="8"/>
  <c r="L164" i="8" s="1"/>
  <c r="M76" i="8"/>
  <c r="BG368" i="8"/>
  <c r="D332" i="8"/>
  <c r="L390" i="8" s="1"/>
  <c r="R474" i="8" s="1"/>
  <c r="D271" i="8"/>
  <c r="M271" i="8" s="1"/>
  <c r="D55" i="8"/>
  <c r="N27" i="8"/>
  <c r="S27" i="8"/>
  <c r="D308" i="8"/>
  <c r="L383" i="8" s="1"/>
  <c r="R467" i="8" s="1"/>
  <c r="BG361" i="8"/>
  <c r="D247" i="8"/>
  <c r="M247" i="8" s="1"/>
  <c r="M283" i="8" s="1"/>
  <c r="D48" i="8"/>
  <c r="N3" i="8"/>
  <c r="S3" i="8"/>
  <c r="BG382" i="8"/>
  <c r="D312" i="8"/>
  <c r="I383" i="8" s="1"/>
  <c r="X467" i="8" s="1"/>
  <c r="D251" i="8"/>
  <c r="M251" i="8" s="1"/>
  <c r="D67" i="8"/>
  <c r="N7" i="8"/>
  <c r="S7" i="8"/>
  <c r="D467" i="8"/>
  <c r="N318" i="8"/>
  <c r="B395" i="8"/>
  <c r="BG360" i="8"/>
  <c r="D307" i="8"/>
  <c r="L382" i="8" s="1"/>
  <c r="R466" i="8" s="1"/>
  <c r="D246" i="8"/>
  <c r="L246" i="8" s="1"/>
  <c r="D47" i="8"/>
  <c r="N2" i="8"/>
  <c r="S2" i="8"/>
  <c r="BG396" i="8"/>
  <c r="D338" i="8"/>
  <c r="L402" i="8" s="1"/>
  <c r="AD472" i="8" s="1"/>
  <c r="D277" i="8"/>
  <c r="N277" i="8" s="1"/>
  <c r="D80" i="8"/>
  <c r="N33" i="8"/>
  <c r="S33" i="8"/>
  <c r="BG371" i="8"/>
  <c r="D310" i="8"/>
  <c r="O382" i="8" s="1"/>
  <c r="U466" i="8" s="1"/>
  <c r="D249" i="8"/>
  <c r="L249" i="8" s="1"/>
  <c r="D57" i="8"/>
  <c r="N5" i="8"/>
  <c r="S5" i="8"/>
  <c r="BG385" i="8"/>
  <c r="D325" i="8"/>
  <c r="I386" i="8" s="1"/>
  <c r="X470" i="8" s="1"/>
  <c r="D264" i="8"/>
  <c r="N264" i="8" s="1"/>
  <c r="D70" i="8"/>
  <c r="N20" i="8"/>
  <c r="S20" i="8"/>
  <c r="BG367" i="8"/>
  <c r="D331" i="8"/>
  <c r="L389" i="8" s="1"/>
  <c r="R473" i="8" s="1"/>
  <c r="D270" i="8"/>
  <c r="L270" i="8" s="1"/>
  <c r="D54" i="8"/>
  <c r="N26" i="8"/>
  <c r="S26" i="8"/>
  <c r="D170" i="8"/>
  <c r="L170" i="8" s="1"/>
  <c r="M82" i="8"/>
  <c r="D324" i="8"/>
  <c r="I385" i="8" s="1"/>
  <c r="X469" i="8" s="1"/>
  <c r="BG374" i="8"/>
  <c r="D263" i="8"/>
  <c r="M263" i="8" s="1"/>
  <c r="D60" i="8"/>
  <c r="N19" i="8"/>
  <c r="S19" i="8"/>
  <c r="BG397" i="8"/>
  <c r="D339" i="8"/>
  <c r="L403" i="8" s="1"/>
  <c r="AD473" i="8" s="1"/>
  <c r="D278" i="8"/>
  <c r="L278" i="8" s="1"/>
  <c r="D81" i="8"/>
  <c r="N34" i="8"/>
  <c r="S34" i="8"/>
  <c r="BG365" i="8"/>
  <c r="D320" i="8"/>
  <c r="L387" i="8" s="1"/>
  <c r="R471" i="8" s="1"/>
  <c r="D259" i="8"/>
  <c r="M259" i="8" s="1"/>
  <c r="M284" i="8" s="1"/>
  <c r="D52" i="8"/>
  <c r="N15" i="8"/>
  <c r="S15" i="8"/>
  <c r="BG362" i="8"/>
  <c r="D248" i="8"/>
  <c r="N248" i="8" s="1"/>
  <c r="D309" i="8"/>
  <c r="L384" i="8" s="1"/>
  <c r="R468" i="8" s="1"/>
  <c r="D49" i="8"/>
  <c r="N4" i="8"/>
  <c r="S4" i="8"/>
  <c r="BG375" i="8"/>
  <c r="D334" i="8"/>
  <c r="O384" i="8" s="1"/>
  <c r="U468" i="8" s="1"/>
  <c r="D273" i="8"/>
  <c r="L273" i="8" s="1"/>
  <c r="D61" i="8"/>
  <c r="N29" i="8"/>
  <c r="S29" i="8"/>
  <c r="BG376" i="8"/>
  <c r="D335" i="8"/>
  <c r="I387" i="8" s="1"/>
  <c r="X471" i="8" s="1"/>
  <c r="D274" i="8"/>
  <c r="L274" i="8" s="1"/>
  <c r="D62" i="8"/>
  <c r="N30" i="8"/>
  <c r="S30" i="8"/>
  <c r="BG377" i="8"/>
  <c r="D336" i="8"/>
  <c r="I388" i="8" s="1"/>
  <c r="X472" i="8" s="1"/>
  <c r="D63" i="8"/>
  <c r="D275" i="8"/>
  <c r="M275" i="8" s="1"/>
  <c r="N31" i="8"/>
  <c r="S31" i="8"/>
  <c r="D315" i="8"/>
  <c r="L397" i="8" s="1"/>
  <c r="AD467" i="8" s="1"/>
  <c r="D254" i="8"/>
  <c r="L254" i="8" s="1"/>
  <c r="BG391" i="8"/>
  <c r="D75" i="8"/>
  <c r="N10" i="8"/>
  <c r="S10" i="8"/>
  <c r="D491" i="8"/>
  <c r="N342" i="8"/>
  <c r="B419" i="8"/>
  <c r="BG394" i="8"/>
  <c r="D327" i="8"/>
  <c r="L400" i="8" s="1"/>
  <c r="AD470" i="8" s="1"/>
  <c r="D266" i="8"/>
  <c r="L266" i="8" s="1"/>
  <c r="D78" i="8"/>
  <c r="N22" i="8"/>
  <c r="S22" i="8"/>
  <c r="BG373" i="8"/>
  <c r="D323" i="8"/>
  <c r="I384" i="8" s="1"/>
  <c r="X468" i="8" s="1"/>
  <c r="D262" i="8"/>
  <c r="L262" i="8" s="1"/>
  <c r="D59" i="8"/>
  <c r="S18" i="8"/>
  <c r="N18" i="8"/>
  <c r="D322" i="8"/>
  <c r="O383" i="8" s="1"/>
  <c r="U467" i="8" s="1"/>
  <c r="BG372" i="8"/>
  <c r="D261" i="8"/>
  <c r="L261" i="8" s="1"/>
  <c r="D58" i="8"/>
  <c r="N17" i="8"/>
  <c r="S17" i="8"/>
  <c r="D250" i="8"/>
  <c r="L250" i="8" s="1"/>
  <c r="D311" i="8"/>
  <c r="I382" i="8" s="1"/>
  <c r="X466" i="8" s="1"/>
  <c r="BG381" i="8"/>
  <c r="D66" i="8"/>
  <c r="N6" i="8"/>
  <c r="S6" i="8"/>
  <c r="BG378" i="8"/>
  <c r="D276" i="8"/>
  <c r="N276" i="8" s="1"/>
  <c r="D337" i="8"/>
  <c r="I389" i="8" s="1"/>
  <c r="X473" i="8" s="1"/>
  <c r="D64" i="8"/>
  <c r="N32" i="8"/>
  <c r="S32" i="8"/>
  <c r="AS111" i="10"/>
  <c r="AR114" i="10"/>
  <c r="AA244" i="10"/>
  <c r="R168" i="10"/>
  <c r="W203" i="10"/>
  <c r="E34" i="8"/>
  <c r="E34" i="9"/>
  <c r="Q6" i="9" s="1"/>
  <c r="T168" i="10"/>
  <c r="Y203" i="10"/>
  <c r="E22" i="8"/>
  <c r="E22" i="9"/>
  <c r="N6" i="9" s="1"/>
  <c r="S168" i="10"/>
  <c r="X203" i="10"/>
  <c r="E33" i="9"/>
  <c r="AA6" i="9" s="1"/>
  <c r="E33" i="8"/>
  <c r="LT149" i="10"/>
  <c r="LU149" i="10" s="1"/>
  <c r="FS54" i="10"/>
  <c r="T235" i="10"/>
  <c r="Y235" i="10" s="1"/>
  <c r="AB196" i="10"/>
  <c r="E21" i="9"/>
  <c r="X6" i="9" s="1"/>
  <c r="E21" i="8"/>
  <c r="Q196" i="10"/>
  <c r="D21" i="9"/>
  <c r="FR53" i="10"/>
  <c r="D21" i="8"/>
  <c r="E9" i="8"/>
  <c r="E9" i="9"/>
  <c r="U6" i="9" s="1"/>
  <c r="P196" i="10"/>
  <c r="D9" i="8"/>
  <c r="FR52" i="10"/>
  <c r="D9" i="9"/>
  <c r="D10" i="6"/>
  <c r="BF6" i="2"/>
  <c r="E22" i="5"/>
  <c r="E108" i="8" s="1"/>
  <c r="CQ10" i="10"/>
  <c r="E32" i="8"/>
  <c r="E32" i="9"/>
  <c r="T233" i="10"/>
  <c r="Y233" i="10" s="1"/>
  <c r="AB194" i="10"/>
  <c r="E20" i="9"/>
  <c r="AF4" i="9" s="1"/>
  <c r="X3" i="9" s="1"/>
  <c r="P46" i="9" s="1"/>
  <c r="CQ9" i="10"/>
  <c r="E20" i="8"/>
  <c r="S233" i="10"/>
  <c r="X233" i="10" s="1"/>
  <c r="AA194" i="10"/>
  <c r="E8" i="8"/>
  <c r="CQ8" i="10"/>
  <c r="E8" i="9"/>
  <c r="AD4" i="9" s="1"/>
  <c r="U3" i="9" s="1"/>
  <c r="P194" i="10"/>
  <c r="D8" i="8"/>
  <c r="D8" i="9"/>
  <c r="D9" i="6"/>
  <c r="CR9" i="10"/>
  <c r="E19" i="9"/>
  <c r="X17" i="9" s="1"/>
  <c r="X11" i="9" s="1"/>
  <c r="E19" i="8"/>
  <c r="S243" i="10"/>
  <c r="X243" i="10" s="1"/>
  <c r="AH185" i="10"/>
  <c r="E31" i="8"/>
  <c r="CR10" i="10"/>
  <c r="E31" i="9"/>
  <c r="AA17" i="9" s="1"/>
  <c r="AA11" i="9" s="1"/>
  <c r="T243" i="10"/>
  <c r="Y243" i="10" s="1"/>
  <c r="AI185" i="10"/>
  <c r="E7" i="9"/>
  <c r="U17" i="9" s="1"/>
  <c r="U11" i="9" s="1"/>
  <c r="E7" i="8"/>
  <c r="CR8" i="10"/>
  <c r="R243" i="10"/>
  <c r="W243" i="10" s="1"/>
  <c r="AG185" i="10"/>
  <c r="D8" i="6"/>
  <c r="BB6" i="2"/>
  <c r="DJ124" i="10"/>
  <c r="DK124" i="10" s="1"/>
  <c r="BM29" i="10"/>
  <c r="E30" i="9"/>
  <c r="Q5" i="9" s="1"/>
  <c r="CP10" i="10"/>
  <c r="CO10" i="10" s="1"/>
  <c r="E30" i="8"/>
  <c r="T166" i="10"/>
  <c r="Y201" i="10"/>
  <c r="DJ123" i="10"/>
  <c r="DK123" i="10" s="1"/>
  <c r="BM28" i="10"/>
  <c r="E18" i="8"/>
  <c r="E18" i="9"/>
  <c r="N5" i="9" s="1"/>
  <c r="CP9" i="10"/>
  <c r="CO9" i="10" s="1"/>
  <c r="S166" i="10"/>
  <c r="X201" i="10"/>
  <c r="DJ122" i="10"/>
  <c r="DK122" i="10" s="1"/>
  <c r="BM27" i="10"/>
  <c r="E6" i="9"/>
  <c r="K5" i="9" s="1"/>
  <c r="E6" i="8"/>
  <c r="CP8" i="10"/>
  <c r="CO8" i="10" s="1"/>
  <c r="R166" i="10"/>
  <c r="W201" i="10"/>
  <c r="E29" i="9"/>
  <c r="Q4" i="9" s="1"/>
  <c r="E29" i="8"/>
  <c r="CP5" i="10"/>
  <c r="CO5" i="10" s="1"/>
  <c r="BV111" i="10"/>
  <c r="BW111" i="10" s="1"/>
  <c r="AS16" i="10"/>
  <c r="T165" i="10"/>
  <c r="Y200" i="10"/>
  <c r="BV110" i="10"/>
  <c r="BW110" i="10" s="1"/>
  <c r="AS15" i="10"/>
  <c r="E17" i="8"/>
  <c r="E17" i="9"/>
  <c r="N4" i="9" s="1"/>
  <c r="CP4" i="10"/>
  <c r="CO4" i="10" s="1"/>
  <c r="S165" i="10"/>
  <c r="X200" i="10"/>
  <c r="BV109" i="10"/>
  <c r="BW109" i="10" s="1"/>
  <c r="AS14" i="10"/>
  <c r="E5" i="9"/>
  <c r="K3" i="9" s="1"/>
  <c r="E5" i="8"/>
  <c r="CP3" i="10"/>
  <c r="CO3" i="10" s="1"/>
  <c r="R165" i="10"/>
  <c r="W200" i="10"/>
  <c r="BB5" i="2"/>
  <c r="D5" i="6"/>
  <c r="X186" i="10"/>
  <c r="D28" i="9"/>
  <c r="D28" i="8"/>
  <c r="W186" i="10"/>
  <c r="D16" i="9"/>
  <c r="D16" i="8"/>
  <c r="CQ14" i="10"/>
  <c r="E16" i="9"/>
  <c r="X5" i="9" s="1"/>
  <c r="E16" i="8"/>
  <c r="CQ13" i="10"/>
  <c r="E4" i="8"/>
  <c r="E4" i="9"/>
  <c r="U5" i="9" s="1"/>
  <c r="R244" i="10"/>
  <c r="W244" i="10" s="1"/>
  <c r="AG186" i="10"/>
  <c r="CR15" i="10"/>
  <c r="E27" i="8"/>
  <c r="E27" i="9"/>
  <c r="AA13" i="9" s="1"/>
  <c r="T234" i="10"/>
  <c r="Y234" i="10" s="1"/>
  <c r="AB195" i="10"/>
  <c r="CR14" i="10"/>
  <c r="E15" i="9"/>
  <c r="X13" i="9" s="1"/>
  <c r="E15" i="8"/>
  <c r="S234" i="10"/>
  <c r="X234" i="10" s="1"/>
  <c r="AA195" i="10"/>
  <c r="E3" i="9"/>
  <c r="U18" i="9" s="1"/>
  <c r="U12" i="9" s="1"/>
  <c r="CR13" i="10"/>
  <c r="E3" i="8"/>
  <c r="R234" i="10"/>
  <c r="W234" i="10" s="1"/>
  <c r="Z195" i="10"/>
  <c r="HF137" i="10"/>
  <c r="HG137" i="10" s="1"/>
  <c r="DK42" i="10"/>
  <c r="E26" i="8"/>
  <c r="CP15" i="10"/>
  <c r="CO15" i="10" s="1"/>
  <c r="E26" i="9"/>
  <c r="Q3" i="9" s="1"/>
  <c r="T167" i="10"/>
  <c r="Y202" i="10"/>
  <c r="HF136" i="10"/>
  <c r="HG136" i="10" s="1"/>
  <c r="DK41" i="10"/>
  <c r="E14" i="8"/>
  <c r="CP14" i="10"/>
  <c r="CO14" i="10" s="1"/>
  <c r="E14" i="9"/>
  <c r="N3" i="9" s="1"/>
  <c r="S167" i="10"/>
  <c r="X202" i="10"/>
  <c r="CP13" i="10"/>
  <c r="CO13" i="10" s="1"/>
  <c r="E2" i="9"/>
  <c r="K6" i="9" s="1"/>
  <c r="E2" i="8"/>
  <c r="HF135" i="10"/>
  <c r="HG135" i="10" s="1"/>
  <c r="DK40" i="10"/>
  <c r="R167" i="10"/>
  <c r="W202" i="10"/>
  <c r="DK137" i="10"/>
  <c r="DK136" i="10"/>
  <c r="CQ53" i="10"/>
  <c r="AS110" i="10"/>
  <c r="AD16" i="10"/>
  <c r="I221" i="10"/>
  <c r="I216" i="10"/>
  <c r="I206" i="10"/>
  <c r="I211" i="10"/>
  <c r="DK135" i="10"/>
  <c r="BM124" i="10"/>
  <c r="FR148" i="10"/>
  <c r="BM122" i="10"/>
  <c r="FR149" i="10"/>
  <c r="J103" i="10"/>
  <c r="I212" i="10"/>
  <c r="I222" i="10"/>
  <c r="I217" i="10"/>
  <c r="I207" i="10"/>
  <c r="N154" i="10"/>
  <c r="N149" i="10"/>
  <c r="N142" i="10"/>
  <c r="N140" i="10"/>
  <c r="N110" i="10"/>
  <c r="N136" i="10"/>
  <c r="N153" i="10"/>
  <c r="N109" i="10"/>
  <c r="N148" i="10"/>
  <c r="N111" i="10"/>
  <c r="N141" i="10"/>
  <c r="N137" i="10"/>
  <c r="N114" i="10"/>
  <c r="N135" i="10"/>
  <c r="N123" i="10"/>
  <c r="N124" i="10"/>
  <c r="N147" i="10"/>
  <c r="N129" i="10"/>
  <c r="N122" i="10"/>
  <c r="N115" i="10"/>
  <c r="N116" i="10"/>
  <c r="N127" i="10"/>
  <c r="N128" i="10"/>
  <c r="N152" i="10"/>
  <c r="BM123" i="10"/>
  <c r="AS109" i="10"/>
  <c r="FR147" i="10"/>
  <c r="AN27" i="10"/>
  <c r="BM41" i="10"/>
  <c r="BM42" i="10"/>
  <c r="AD15" i="10"/>
  <c r="AD14" i="10"/>
  <c r="J8" i="10"/>
  <c r="N15" i="10"/>
  <c r="N21" i="10"/>
  <c r="N20" i="10"/>
  <c r="AE15" i="10" s="1"/>
  <c r="N27" i="10"/>
  <c r="N58" i="10"/>
  <c r="N59" i="10"/>
  <c r="N46" i="10"/>
  <c r="N29" i="10"/>
  <c r="N45" i="10"/>
  <c r="N57" i="10"/>
  <c r="N52" i="10"/>
  <c r="N28" i="10"/>
  <c r="N16" i="10"/>
  <c r="N14" i="10"/>
  <c r="N47" i="10"/>
  <c r="N34" i="10"/>
  <c r="AO29" i="10" s="1"/>
  <c r="N19" i="10"/>
  <c r="N42" i="10"/>
  <c r="N53" i="10"/>
  <c r="N54" i="10"/>
  <c r="N41" i="10"/>
  <c r="N33" i="10"/>
  <c r="N32" i="10"/>
  <c r="N40" i="10"/>
  <c r="AN29" i="10"/>
  <c r="AN28" i="10"/>
  <c r="CQ54" i="10"/>
  <c r="BM40" i="10"/>
  <c r="CQ52" i="10"/>
  <c r="L88" i="2"/>
  <c r="AV85" i="2" s="1"/>
  <c r="AR5" i="2"/>
  <c r="C4" i="6" s="1"/>
  <c r="H88" i="2"/>
  <c r="J88" i="2" s="1"/>
  <c r="K88" i="2" s="1"/>
  <c r="H66" i="2"/>
  <c r="J66" i="2" s="1"/>
  <c r="K66" i="2" s="1"/>
  <c r="AV69" i="2"/>
  <c r="D9" i="5"/>
  <c r="D95" i="8" s="1"/>
  <c r="L95" i="8" s="1"/>
  <c r="M90" i="8" s="1"/>
  <c r="E2" i="5"/>
  <c r="E88" i="8" s="1"/>
  <c r="D59" i="2"/>
  <c r="E59" i="2" s="1"/>
  <c r="E21" i="5"/>
  <c r="E107" i="8" s="1"/>
  <c r="D10" i="5"/>
  <c r="D96" i="8" s="1"/>
  <c r="L96" i="8" s="1"/>
  <c r="E6" i="5"/>
  <c r="E92" i="8" s="1"/>
  <c r="D24" i="5"/>
  <c r="D110" i="8" s="1"/>
  <c r="L110" i="8" s="1"/>
  <c r="M95" i="8" s="1"/>
  <c r="E4" i="5"/>
  <c r="E90" i="8" s="1"/>
  <c r="D20" i="5"/>
  <c r="D106" i="8" s="1"/>
  <c r="L106" i="8" s="1"/>
  <c r="M94" i="8" s="1"/>
  <c r="E12" i="5"/>
  <c r="E98" i="8" s="1"/>
  <c r="E24" i="5"/>
  <c r="E110" i="8" s="1"/>
  <c r="E8" i="5"/>
  <c r="E94" i="8" s="1"/>
  <c r="E13" i="5"/>
  <c r="E99" i="8" s="1"/>
  <c r="E17" i="5"/>
  <c r="E103" i="8" s="1"/>
  <c r="E23" i="5"/>
  <c r="E109" i="8" s="1"/>
  <c r="E9" i="5"/>
  <c r="E95" i="8" s="1"/>
  <c r="E25" i="5"/>
  <c r="E111" i="8" s="1"/>
  <c r="E15" i="5"/>
  <c r="E101" i="8" s="1"/>
  <c r="E19" i="5"/>
  <c r="E105" i="8" s="1"/>
  <c r="E3" i="5"/>
  <c r="E89" i="8" s="1"/>
  <c r="E28" i="5"/>
  <c r="E114" i="8" s="1"/>
  <c r="E18" i="5"/>
  <c r="E104" i="8" s="1"/>
  <c r="E5" i="5"/>
  <c r="E91" i="8" s="1"/>
  <c r="E11" i="5"/>
  <c r="E97" i="8" s="1"/>
  <c r="E20" i="5"/>
  <c r="E106" i="8" s="1"/>
  <c r="E7" i="5"/>
  <c r="E93" i="8" s="1"/>
  <c r="E14" i="5"/>
  <c r="E100" i="8" s="1"/>
  <c r="E16" i="5"/>
  <c r="E102" i="8" s="1"/>
  <c r="E27" i="5"/>
  <c r="E113" i="8" s="1"/>
  <c r="D26" i="5"/>
  <c r="D112" i="8" s="1"/>
  <c r="L112" i="8" s="1"/>
  <c r="M96" i="8" s="1"/>
  <c r="P44" i="9" l="1"/>
  <c r="S25" i="9"/>
  <c r="N8" i="9"/>
  <c r="N66" i="9"/>
  <c r="G72" i="9" s="1"/>
  <c r="M47" i="9"/>
  <c r="L30" i="9"/>
  <c r="P49" i="9"/>
  <c r="S30" i="9"/>
  <c r="Q10" i="9"/>
  <c r="BB16" i="2" s="1"/>
  <c r="L23" i="9"/>
  <c r="M50" i="9"/>
  <c r="K8" i="9"/>
  <c r="M42" i="9"/>
  <c r="AM24" i="9"/>
  <c r="AM30" i="9" s="1"/>
  <c r="AN24" i="9"/>
  <c r="AN30" i="9" s="1"/>
  <c r="L29" i="9"/>
  <c r="N65" i="9"/>
  <c r="I65" i="9" s="1"/>
  <c r="Q8" i="9"/>
  <c r="BB14" i="2" s="1"/>
  <c r="M51" i="9"/>
  <c r="L31" i="9"/>
  <c r="N67" i="9"/>
  <c r="G79" i="9" s="1"/>
  <c r="BL14" i="2"/>
  <c r="BJ15" i="2" s="1"/>
  <c r="S50" i="9"/>
  <c r="Z27" i="9"/>
  <c r="N10" i="9"/>
  <c r="O78" i="9"/>
  <c r="H75" i="9" s="1"/>
  <c r="M46" i="9"/>
  <c r="N78" i="9"/>
  <c r="G75" i="9" s="1"/>
  <c r="AI23" i="9"/>
  <c r="AG23" i="9"/>
  <c r="AH23" i="9" s="1"/>
  <c r="L22" i="9"/>
  <c r="S43" i="9"/>
  <c r="Z29" i="9"/>
  <c r="S52" i="9"/>
  <c r="BJ16" i="2"/>
  <c r="Z31" i="9"/>
  <c r="P45" i="9"/>
  <c r="S29" i="9"/>
  <c r="P48" i="9"/>
  <c r="S26" i="9"/>
  <c r="N9" i="9"/>
  <c r="M48" i="9"/>
  <c r="L26" i="9"/>
  <c r="N70" i="9"/>
  <c r="G73" i="9" s="1"/>
  <c r="O70" i="9"/>
  <c r="H73" i="9" s="1"/>
  <c r="Q9" i="9"/>
  <c r="BB15" i="2" s="1"/>
  <c r="M52" i="9"/>
  <c r="L27" i="9"/>
  <c r="P42" i="9"/>
  <c r="S33" i="9"/>
  <c r="O73" i="9"/>
  <c r="J67" i="9" s="1"/>
  <c r="N73" i="9"/>
  <c r="I67" i="9" s="1"/>
  <c r="AN25" i="9"/>
  <c r="AN32" i="9" s="1"/>
  <c r="AM25" i="9"/>
  <c r="AM32" i="9" s="1"/>
  <c r="Q11" i="9"/>
  <c r="BB17" i="2" s="1"/>
  <c r="BM47" i="2" s="1"/>
  <c r="N83" i="9"/>
  <c r="G82" i="9" s="1"/>
  <c r="M53" i="9"/>
  <c r="L35" i="9"/>
  <c r="O83" i="9"/>
  <c r="H82" i="9" s="1"/>
  <c r="N11" i="9"/>
  <c r="M49" i="9"/>
  <c r="N82" i="9"/>
  <c r="G76" i="9" s="1"/>
  <c r="O82" i="9"/>
  <c r="H76" i="9" s="1"/>
  <c r="L34" i="9"/>
  <c r="AQ24" i="9"/>
  <c r="S42" i="9"/>
  <c r="AR24" i="9"/>
  <c r="Z25" i="9"/>
  <c r="BF17" i="2"/>
  <c r="P53" i="9"/>
  <c r="S31" i="9"/>
  <c r="K10" i="9"/>
  <c r="M45" i="9"/>
  <c r="N77" i="9"/>
  <c r="I68" i="9" s="1"/>
  <c r="L21" i="9"/>
  <c r="O77" i="9"/>
  <c r="J68" i="9" s="1"/>
  <c r="S48" i="9"/>
  <c r="Z30" i="9"/>
  <c r="K9" i="9"/>
  <c r="M44" i="9"/>
  <c r="N69" i="9"/>
  <c r="I66" i="9" s="1"/>
  <c r="L25" i="9"/>
  <c r="O69" i="9"/>
  <c r="J66" i="9" s="1"/>
  <c r="S46" i="9"/>
  <c r="Z26" i="9"/>
  <c r="AA4" i="9"/>
  <c r="N71" i="9" s="1"/>
  <c r="G80" i="9" s="1"/>
  <c r="L285" i="8"/>
  <c r="L283" i="8"/>
  <c r="AS114" i="10"/>
  <c r="E331" i="8"/>
  <c r="E480" i="8" s="1"/>
  <c r="E270" i="8"/>
  <c r="E54" i="8"/>
  <c r="E142" i="8" s="1"/>
  <c r="E332" i="8"/>
  <c r="E481" i="8" s="1"/>
  <c r="E271" i="8"/>
  <c r="E55" i="8"/>
  <c r="E143" i="8" s="1"/>
  <c r="L284" i="8"/>
  <c r="D149" i="8"/>
  <c r="L149" i="8" s="1"/>
  <c r="M61" i="8"/>
  <c r="D148" i="8"/>
  <c r="L148" i="8" s="1"/>
  <c r="M60" i="8"/>
  <c r="D142" i="8"/>
  <c r="L142" i="8" s="1"/>
  <c r="M54" i="8"/>
  <c r="D474" i="8"/>
  <c r="N325" i="8"/>
  <c r="B402" i="8"/>
  <c r="D135" i="8"/>
  <c r="L135" i="8" s="1"/>
  <c r="M47" i="8"/>
  <c r="D136" i="8"/>
  <c r="L136" i="8" s="1"/>
  <c r="M48" i="8"/>
  <c r="D481" i="8"/>
  <c r="N332" i="8"/>
  <c r="B409" i="8"/>
  <c r="E307" i="8"/>
  <c r="E456" i="8" s="1"/>
  <c r="E246" i="8"/>
  <c r="E47" i="8"/>
  <c r="E135" i="8" s="1"/>
  <c r="E259" i="8"/>
  <c r="E320" i="8"/>
  <c r="E469" i="8" s="1"/>
  <c r="E52" i="8"/>
  <c r="E140" i="8" s="1"/>
  <c r="BG366" i="8"/>
  <c r="D321" i="8"/>
  <c r="L388" i="8" s="1"/>
  <c r="R472" i="8" s="1"/>
  <c r="D260" i="8"/>
  <c r="N260" i="8" s="1"/>
  <c r="D53" i="8"/>
  <c r="N16" i="8"/>
  <c r="S16" i="8"/>
  <c r="E250" i="8"/>
  <c r="E311" i="8"/>
  <c r="E460" i="8" s="1"/>
  <c r="E66" i="8"/>
  <c r="E154" i="8" s="1"/>
  <c r="E323" i="8"/>
  <c r="E472" i="8" s="1"/>
  <c r="E262" i="8"/>
  <c r="E59" i="8"/>
  <c r="E147" i="8" s="1"/>
  <c r="E324" i="8"/>
  <c r="E473" i="8" s="1"/>
  <c r="E263" i="8"/>
  <c r="E60" i="8"/>
  <c r="E148" i="8" s="1"/>
  <c r="E339" i="8"/>
  <c r="E488" i="8" s="1"/>
  <c r="E278" i="8"/>
  <c r="E81" i="8"/>
  <c r="E169" i="8" s="1"/>
  <c r="D150" i="8"/>
  <c r="L150" i="8" s="1"/>
  <c r="M62" i="8"/>
  <c r="D483" i="8"/>
  <c r="N334" i="8"/>
  <c r="B411" i="8"/>
  <c r="D169" i="8"/>
  <c r="L169" i="8" s="1"/>
  <c r="M81" i="8"/>
  <c r="D480" i="8"/>
  <c r="N331" i="8"/>
  <c r="B408" i="8"/>
  <c r="D168" i="8"/>
  <c r="L168" i="8" s="1"/>
  <c r="M80" i="8"/>
  <c r="D456" i="8"/>
  <c r="N307" i="8"/>
  <c r="B384" i="8"/>
  <c r="D155" i="8"/>
  <c r="L155" i="8" s="1"/>
  <c r="M67" i="8"/>
  <c r="D139" i="8"/>
  <c r="L139" i="8" s="1"/>
  <c r="M51" i="8"/>
  <c r="D473" i="8"/>
  <c r="N324" i="8"/>
  <c r="B401" i="8"/>
  <c r="D457" i="8"/>
  <c r="N308" i="8"/>
  <c r="B385" i="8"/>
  <c r="BG390" i="8"/>
  <c r="D253" i="8"/>
  <c r="N253" i="8" s="1"/>
  <c r="D314" i="8"/>
  <c r="L396" i="8" s="1"/>
  <c r="AD466" i="8" s="1"/>
  <c r="D74" i="8"/>
  <c r="N9" i="8"/>
  <c r="S9" i="8"/>
  <c r="D154" i="8"/>
  <c r="L154" i="8" s="1"/>
  <c r="M66" i="8"/>
  <c r="E337" i="8"/>
  <c r="E486" i="8" s="1"/>
  <c r="E276" i="8"/>
  <c r="E64" i="8"/>
  <c r="E152" i="8" s="1"/>
  <c r="D471" i="8"/>
  <c r="N322" i="8"/>
  <c r="B399" i="8"/>
  <c r="D484" i="8"/>
  <c r="N335" i="8"/>
  <c r="B412" i="8"/>
  <c r="D140" i="8"/>
  <c r="L140" i="8" s="1"/>
  <c r="M52" i="8"/>
  <c r="D488" i="8"/>
  <c r="N339" i="8"/>
  <c r="B416" i="8"/>
  <c r="D145" i="8"/>
  <c r="L145" i="8" s="1"/>
  <c r="M57" i="8"/>
  <c r="D487" i="8"/>
  <c r="N338" i="8"/>
  <c r="B415" i="8"/>
  <c r="D461" i="8"/>
  <c r="N312" i="8"/>
  <c r="B389" i="8"/>
  <c r="D468" i="8"/>
  <c r="N319" i="8"/>
  <c r="B396" i="8"/>
  <c r="E319" i="8"/>
  <c r="E468" i="8" s="1"/>
  <c r="E258" i="8"/>
  <c r="E51" i="8"/>
  <c r="E139" i="8" s="1"/>
  <c r="E308" i="8"/>
  <c r="E457" i="8" s="1"/>
  <c r="E48" i="8"/>
  <c r="E136" i="8" s="1"/>
  <c r="E247" i="8"/>
  <c r="E248" i="8"/>
  <c r="E309" i="8"/>
  <c r="E458" i="8" s="1"/>
  <c r="E49" i="8"/>
  <c r="E137" i="8" s="1"/>
  <c r="BG369" i="8"/>
  <c r="D333" i="8"/>
  <c r="L391" i="8" s="1"/>
  <c r="R475" i="8" s="1"/>
  <c r="D272" i="8"/>
  <c r="N272" i="8" s="1"/>
  <c r="N285" i="8" s="1"/>
  <c r="D56" i="8"/>
  <c r="N28" i="8"/>
  <c r="S28" i="8"/>
  <c r="E310" i="8"/>
  <c r="E459" i="8" s="1"/>
  <c r="E249" i="8"/>
  <c r="E57" i="8"/>
  <c r="E145" i="8" s="1"/>
  <c r="E322" i="8"/>
  <c r="E471" i="8" s="1"/>
  <c r="E261" i="8"/>
  <c r="E58" i="8"/>
  <c r="E146" i="8" s="1"/>
  <c r="E334" i="8"/>
  <c r="E483" i="8" s="1"/>
  <c r="E273" i="8"/>
  <c r="E61" i="8"/>
  <c r="E149" i="8" s="1"/>
  <c r="D152" i="8"/>
  <c r="L152" i="8" s="1"/>
  <c r="M64" i="8"/>
  <c r="D460" i="8"/>
  <c r="N311" i="8"/>
  <c r="B388" i="8"/>
  <c r="D166" i="8"/>
  <c r="L166" i="8" s="1"/>
  <c r="M78" i="8"/>
  <c r="D151" i="8"/>
  <c r="L151" i="8" s="1"/>
  <c r="M63" i="8"/>
  <c r="E338" i="8"/>
  <c r="E487" i="8" s="1"/>
  <c r="E277" i="8"/>
  <c r="E80" i="8"/>
  <c r="E168" i="8" s="1"/>
  <c r="D146" i="8"/>
  <c r="L146" i="8" s="1"/>
  <c r="M58" i="8"/>
  <c r="D464" i="8"/>
  <c r="N315" i="8"/>
  <c r="B392" i="8"/>
  <c r="E313" i="8"/>
  <c r="E462" i="8" s="1"/>
  <c r="E252" i="8"/>
  <c r="E68" i="8"/>
  <c r="E156" i="8" s="1"/>
  <c r="E325" i="8"/>
  <c r="E474" i="8" s="1"/>
  <c r="E264" i="8"/>
  <c r="E70" i="8"/>
  <c r="E158" i="8" s="1"/>
  <c r="E253" i="8"/>
  <c r="E314" i="8"/>
  <c r="E463" i="8" s="1"/>
  <c r="E74" i="8"/>
  <c r="E162" i="8" s="1"/>
  <c r="E327" i="8"/>
  <c r="E476" i="8" s="1"/>
  <c r="E266" i="8"/>
  <c r="E78" i="8"/>
  <c r="E166" i="8" s="1"/>
  <c r="D486" i="8"/>
  <c r="N337" i="8"/>
  <c r="B414" i="8"/>
  <c r="D163" i="8"/>
  <c r="L163" i="8" s="1"/>
  <c r="M75" i="8"/>
  <c r="D485" i="8"/>
  <c r="N336" i="8"/>
  <c r="B413" i="8"/>
  <c r="D137" i="8"/>
  <c r="L137" i="8" s="1"/>
  <c r="M49" i="8"/>
  <c r="D469" i="8"/>
  <c r="N320" i="8"/>
  <c r="B397" i="8"/>
  <c r="T4" i="8"/>
  <c r="D158" i="8"/>
  <c r="L158" i="8" s="1"/>
  <c r="M141" i="8" s="1"/>
  <c r="M70" i="8"/>
  <c r="D459" i="8"/>
  <c r="N310" i="8"/>
  <c r="B387" i="8"/>
  <c r="D143" i="8"/>
  <c r="L143" i="8" s="1"/>
  <c r="M55" i="8"/>
  <c r="E312" i="8"/>
  <c r="E461" i="8" s="1"/>
  <c r="E251" i="8"/>
  <c r="E67" i="8"/>
  <c r="E155" i="8" s="1"/>
  <c r="D472" i="8"/>
  <c r="N323" i="8"/>
  <c r="B400" i="8"/>
  <c r="E326" i="8"/>
  <c r="E475" i="8" s="1"/>
  <c r="E265" i="8"/>
  <c r="E77" i="8"/>
  <c r="E165" i="8" s="1"/>
  <c r="E321" i="8"/>
  <c r="E470" i="8" s="1"/>
  <c r="E260" i="8"/>
  <c r="E53" i="8"/>
  <c r="E141" i="8" s="1"/>
  <c r="E335" i="8"/>
  <c r="E484" i="8" s="1"/>
  <c r="E274" i="8"/>
  <c r="E62" i="8"/>
  <c r="E150" i="8" s="1"/>
  <c r="E336" i="8"/>
  <c r="E485" i="8" s="1"/>
  <c r="E275" i="8"/>
  <c r="E63" i="8"/>
  <c r="E151" i="8" s="1"/>
  <c r="BG383" i="8"/>
  <c r="D313" i="8"/>
  <c r="I396" i="8" s="1"/>
  <c r="AA466" i="8" s="1"/>
  <c r="D252" i="8"/>
  <c r="N252" i="8" s="1"/>
  <c r="N283" i="8" s="1"/>
  <c r="D68" i="8"/>
  <c r="N8" i="8"/>
  <c r="S8" i="8"/>
  <c r="T2" i="8" s="1"/>
  <c r="BG393" i="8"/>
  <c r="D326" i="8"/>
  <c r="L399" i="8" s="1"/>
  <c r="AD469" i="8" s="1"/>
  <c r="D265" i="8"/>
  <c r="N265" i="8" s="1"/>
  <c r="D77" i="8"/>
  <c r="N21" i="8"/>
  <c r="S21" i="8"/>
  <c r="D147" i="8"/>
  <c r="L147" i="8" s="1"/>
  <c r="M59" i="8"/>
  <c r="D476" i="8"/>
  <c r="N327" i="8"/>
  <c r="B404" i="8"/>
  <c r="D458" i="8"/>
  <c r="N309" i="8"/>
  <c r="B386" i="8"/>
  <c r="M285" i="8"/>
  <c r="AT111" i="10"/>
  <c r="BN123" i="10"/>
  <c r="BL44" i="2"/>
  <c r="E10" i="9"/>
  <c r="K4" i="9" s="1"/>
  <c r="E10" i="8"/>
  <c r="R178" i="10"/>
  <c r="W178" i="10" s="1"/>
  <c r="W168" i="10"/>
  <c r="T178" i="10"/>
  <c r="Y178" i="10" s="1"/>
  <c r="Y168" i="10"/>
  <c r="S178" i="10"/>
  <c r="X178" i="10" s="1"/>
  <c r="X168" i="10"/>
  <c r="LT148" i="10"/>
  <c r="LU148" i="10" s="1"/>
  <c r="FS53" i="10"/>
  <c r="S235" i="10"/>
  <c r="X235" i="10" s="1"/>
  <c r="AA196" i="10"/>
  <c r="LT147" i="10"/>
  <c r="LU147" i="10" s="1"/>
  <c r="FS52" i="10"/>
  <c r="R235" i="10"/>
  <c r="W235" i="10" s="1"/>
  <c r="Z196" i="10"/>
  <c r="R233" i="10"/>
  <c r="W233" i="10" s="1"/>
  <c r="AA232" i="10" s="1"/>
  <c r="Z194" i="10"/>
  <c r="AA242" i="10"/>
  <c r="T176" i="10"/>
  <c r="Y176" i="10" s="1"/>
  <c r="Y166" i="10"/>
  <c r="S176" i="10"/>
  <c r="X176" i="10" s="1"/>
  <c r="X166" i="10"/>
  <c r="R176" i="10"/>
  <c r="W176" i="10" s="1"/>
  <c r="W166" i="10"/>
  <c r="T175" i="10"/>
  <c r="Y175" i="10" s="1"/>
  <c r="Y165" i="10"/>
  <c r="S175" i="10"/>
  <c r="X175" i="10" s="1"/>
  <c r="X165" i="10"/>
  <c r="R175" i="10"/>
  <c r="W175" i="10" s="1"/>
  <c r="W165" i="10"/>
  <c r="CQ15" i="10"/>
  <c r="E28" i="8"/>
  <c r="E28" i="9"/>
  <c r="AA5" i="9" s="1"/>
  <c r="N79" i="9" s="1"/>
  <c r="G81" i="9" s="1"/>
  <c r="T244" i="10"/>
  <c r="Y244" i="10" s="1"/>
  <c r="AI186" i="10"/>
  <c r="S244" i="10"/>
  <c r="X244" i="10" s="1"/>
  <c r="AH186" i="10"/>
  <c r="AA233" i="10"/>
  <c r="T177" i="10"/>
  <c r="Y177" i="10" s="1"/>
  <c r="Y167" i="10"/>
  <c r="S177" i="10"/>
  <c r="X177" i="10" s="1"/>
  <c r="X167" i="10"/>
  <c r="R177" i="10"/>
  <c r="W177" i="10" s="1"/>
  <c r="W167" i="10"/>
  <c r="AO28" i="10"/>
  <c r="BN122" i="10"/>
  <c r="AT110" i="10"/>
  <c r="FS149" i="10"/>
  <c r="AO27" i="10"/>
  <c r="FS148" i="10"/>
  <c r="J206" i="10"/>
  <c r="J221" i="10"/>
  <c r="J216" i="10"/>
  <c r="J211" i="10"/>
  <c r="AT109" i="10"/>
  <c r="DL135" i="10"/>
  <c r="K103" i="10"/>
  <c r="J207" i="10"/>
  <c r="J212" i="10"/>
  <c r="J222" i="10"/>
  <c r="J217" i="10"/>
  <c r="O111" i="10"/>
  <c r="O154" i="10"/>
  <c r="O149" i="10"/>
  <c r="O152" i="10"/>
  <c r="O153" i="10"/>
  <c r="O110" i="10"/>
  <c r="O148" i="10"/>
  <c r="O141" i="10"/>
  <c r="O136" i="10"/>
  <c r="O147" i="10"/>
  <c r="O123" i="10"/>
  <c r="O114" i="10"/>
  <c r="O116" i="10"/>
  <c r="O140" i="10"/>
  <c r="O122" i="10"/>
  <c r="O115" i="10"/>
  <c r="O137" i="10"/>
  <c r="O124" i="10"/>
  <c r="O129" i="10"/>
  <c r="O135" i="10"/>
  <c r="O142" i="10"/>
  <c r="O128" i="10"/>
  <c r="O109" i="10"/>
  <c r="O127" i="10"/>
  <c r="FS147" i="10"/>
  <c r="DL136" i="10"/>
  <c r="DL137" i="10"/>
  <c r="BN124" i="10"/>
  <c r="CR54" i="10"/>
  <c r="CR53" i="10"/>
  <c r="K8" i="10"/>
  <c r="O20" i="10"/>
  <c r="O16" i="10"/>
  <c r="O14" i="10"/>
  <c r="O21" i="10"/>
  <c r="O41" i="10"/>
  <c r="O54" i="10"/>
  <c r="O53" i="10"/>
  <c r="O57" i="10"/>
  <c r="O32" i="10"/>
  <c r="O47" i="10"/>
  <c r="O40" i="10"/>
  <c r="O52" i="10"/>
  <c r="O42" i="10"/>
  <c r="O45" i="10"/>
  <c r="O58" i="10"/>
  <c r="O46" i="10"/>
  <c r="O28" i="10"/>
  <c r="O33" i="10"/>
  <c r="AP28" i="10" s="1"/>
  <c r="O19" i="10"/>
  <c r="O34" i="10"/>
  <c r="O29" i="10"/>
  <c r="O59" i="10"/>
  <c r="CS54" i="10" s="1"/>
  <c r="O15" i="10"/>
  <c r="O27" i="10"/>
  <c r="BN42" i="10"/>
  <c r="BN41" i="10"/>
  <c r="CR52" i="10"/>
  <c r="AE16" i="10"/>
  <c r="AE14" i="10"/>
  <c r="BN40" i="10"/>
  <c r="E26" i="5"/>
  <c r="E112" i="8" s="1"/>
  <c r="E10" i="5"/>
  <c r="E96" i="8" s="1"/>
  <c r="K11" i="9" l="1"/>
  <c r="AM26" i="9"/>
  <c r="AM34" i="9" s="1"/>
  <c r="N81" i="9"/>
  <c r="I69" i="9" s="1"/>
  <c r="M43" i="9"/>
  <c r="AN26" i="9"/>
  <c r="AN34" i="9" s="1"/>
  <c r="O81" i="9"/>
  <c r="J69" i="9" s="1"/>
  <c r="L33" i="9"/>
  <c r="AN23" i="9"/>
  <c r="AN31" i="9" s="1"/>
  <c r="AR23" i="9"/>
  <c r="AI22" i="9"/>
  <c r="P51" i="9"/>
  <c r="S35" i="9"/>
  <c r="AM22" i="9"/>
  <c r="AM33" i="9" s="1"/>
  <c r="AG24" i="9"/>
  <c r="AH24" i="9" s="1"/>
  <c r="AA234" i="10"/>
  <c r="AA177" i="10"/>
  <c r="BF15" i="2"/>
  <c r="BQ46" i="2"/>
  <c r="BR46" i="2"/>
  <c r="O79" i="9"/>
  <c r="H81" i="9" s="1"/>
  <c r="BQ44" i="2"/>
  <c r="BR44" i="2"/>
  <c r="AA174" i="10"/>
  <c r="AR22" i="9"/>
  <c r="AI24" i="9"/>
  <c r="BL47" i="2"/>
  <c r="AM23" i="9"/>
  <c r="AM31" i="9" s="1"/>
  <c r="AN22" i="9"/>
  <c r="AN33" i="9" s="1"/>
  <c r="O71" i="9"/>
  <c r="H80" i="9" s="1"/>
  <c r="AQ22" i="9"/>
  <c r="BF16" i="2"/>
  <c r="BL46" i="2" s="1"/>
  <c r="P52" i="9"/>
  <c r="S27" i="9"/>
  <c r="AQ23" i="9"/>
  <c r="AG22" i="9"/>
  <c r="AH22" i="9" s="1"/>
  <c r="N40" i="8"/>
  <c r="N344" i="8" s="1"/>
  <c r="T3" i="8"/>
  <c r="D475" i="8"/>
  <c r="N326" i="8"/>
  <c r="B403" i="8"/>
  <c r="M138" i="8"/>
  <c r="D144" i="8"/>
  <c r="L144" i="8" s="1"/>
  <c r="M137" i="8" s="1"/>
  <c r="M56" i="8"/>
  <c r="M139" i="8"/>
  <c r="D482" i="8"/>
  <c r="N333" i="8"/>
  <c r="B410" i="8"/>
  <c r="D162" i="8"/>
  <c r="L162" i="8" s="1"/>
  <c r="M142" i="8" s="1"/>
  <c r="M74" i="8"/>
  <c r="D463" i="8"/>
  <c r="N314" i="8"/>
  <c r="B391" i="8"/>
  <c r="D156" i="8"/>
  <c r="L156" i="8" s="1"/>
  <c r="M68" i="8"/>
  <c r="N49" i="8" s="1"/>
  <c r="M144" i="8"/>
  <c r="E315" i="8"/>
  <c r="E464" i="8" s="1"/>
  <c r="E254" i="8"/>
  <c r="E75" i="8"/>
  <c r="E163" i="8" s="1"/>
  <c r="D141" i="8"/>
  <c r="L141" i="8" s="1"/>
  <c r="M136" i="8" s="1"/>
  <c r="M53" i="8"/>
  <c r="D165" i="8"/>
  <c r="L165" i="8" s="1"/>
  <c r="M143" i="8" s="1"/>
  <c r="M77" i="8"/>
  <c r="N48" i="8"/>
  <c r="N284" i="8"/>
  <c r="M135" i="8"/>
  <c r="E333" i="8"/>
  <c r="E482" i="8" s="1"/>
  <c r="E272" i="8"/>
  <c r="E56" i="8"/>
  <c r="E144" i="8" s="1"/>
  <c r="D462" i="8"/>
  <c r="N313" i="8"/>
  <c r="B390" i="8"/>
  <c r="A421" i="8" s="1"/>
  <c r="M140" i="8"/>
  <c r="D470" i="8"/>
  <c r="N321" i="8"/>
  <c r="B398" i="8"/>
  <c r="B421" i="8" s="1"/>
  <c r="BO124" i="10"/>
  <c r="AT114" i="10"/>
  <c r="FT147" i="10"/>
  <c r="AA175" i="10"/>
  <c r="AA243" i="10"/>
  <c r="AE194" i="10"/>
  <c r="AA176" i="10"/>
  <c r="AB164" i="10"/>
  <c r="BO122" i="10"/>
  <c r="AU110" i="10"/>
  <c r="AU109" i="10"/>
  <c r="FT149" i="10"/>
  <c r="DM136" i="10"/>
  <c r="K206" i="10"/>
  <c r="K221" i="10"/>
  <c r="K211" i="10"/>
  <c r="K216" i="10"/>
  <c r="BO123" i="10"/>
  <c r="DM135" i="10"/>
  <c r="L103" i="10"/>
  <c r="K207" i="10"/>
  <c r="K212" i="10"/>
  <c r="K217" i="10"/>
  <c r="K222" i="10"/>
  <c r="P142" i="10"/>
  <c r="P152" i="10"/>
  <c r="P109" i="10"/>
  <c r="P111" i="10"/>
  <c r="P153" i="10"/>
  <c r="P147" i="10"/>
  <c r="P148" i="10"/>
  <c r="P110" i="10"/>
  <c r="P123" i="10"/>
  <c r="P135" i="10"/>
  <c r="P141" i="10"/>
  <c r="P124" i="10"/>
  <c r="P127" i="10"/>
  <c r="P115" i="10"/>
  <c r="P128" i="10"/>
  <c r="P137" i="10"/>
  <c r="P116" i="10"/>
  <c r="P136" i="10"/>
  <c r="P129" i="10"/>
  <c r="P122" i="10"/>
  <c r="P114" i="10"/>
  <c r="P140" i="10"/>
  <c r="P149" i="10"/>
  <c r="P154" i="10"/>
  <c r="DM137" i="10"/>
  <c r="AU111" i="10"/>
  <c r="AU114" i="10" s="1"/>
  <c r="FT148" i="10"/>
  <c r="AF14" i="10"/>
  <c r="AF16" i="10"/>
  <c r="CS53" i="10"/>
  <c r="BO40" i="10"/>
  <c r="AP29" i="10"/>
  <c r="BO42" i="10"/>
  <c r="AP27" i="10"/>
  <c r="AF15" i="10"/>
  <c r="BO41" i="10"/>
  <c r="CS52" i="10"/>
  <c r="L8" i="10"/>
  <c r="P21" i="10"/>
  <c r="AG16" i="10" s="1"/>
  <c r="P19" i="10"/>
  <c r="P16" i="10"/>
  <c r="P53" i="10"/>
  <c r="P54" i="10"/>
  <c r="P42" i="10"/>
  <c r="P15" i="10"/>
  <c r="P32" i="10"/>
  <c r="P47" i="10"/>
  <c r="BP42" i="10" s="1"/>
  <c r="P52" i="10"/>
  <c r="P41" i="10"/>
  <c r="P45" i="10"/>
  <c r="P14" i="10"/>
  <c r="P20" i="10"/>
  <c r="P58" i="10"/>
  <c r="P57" i="10"/>
  <c r="P27" i="10"/>
  <c r="P40" i="10"/>
  <c r="P59" i="10"/>
  <c r="P34" i="10"/>
  <c r="P29" i="10"/>
  <c r="P28" i="10"/>
  <c r="P33" i="10"/>
  <c r="P46" i="10"/>
  <c r="BR45" i="2" l="1"/>
  <c r="BM46" i="2"/>
  <c r="N47" i="8"/>
  <c r="B422" i="8"/>
  <c r="BM45" i="2"/>
  <c r="BQ45" i="2"/>
  <c r="BL45" i="2"/>
  <c r="N343" i="8"/>
  <c r="N50" i="8"/>
  <c r="DN136" i="10"/>
  <c r="BP123" i="10"/>
  <c r="AV111" i="10"/>
  <c r="BP124" i="10"/>
  <c r="FU147" i="10"/>
  <c r="DN137" i="10"/>
  <c r="FU149" i="10"/>
  <c r="L211" i="10"/>
  <c r="L206" i="10"/>
  <c r="L221" i="10"/>
  <c r="L216" i="10"/>
  <c r="DN135" i="10"/>
  <c r="AV110" i="10"/>
  <c r="AV109" i="10"/>
  <c r="BP122" i="10"/>
  <c r="FU148" i="10"/>
  <c r="BP41" i="10"/>
  <c r="M103" i="10"/>
  <c r="L222" i="10"/>
  <c r="L207" i="10"/>
  <c r="L217" i="10"/>
  <c r="L212" i="10"/>
  <c r="Q153" i="10"/>
  <c r="Q148" i="10"/>
  <c r="Q136" i="10"/>
  <c r="Q140" i="10"/>
  <c r="Q110" i="10"/>
  <c r="Q109" i="10"/>
  <c r="Q154" i="10"/>
  <c r="Q142" i="10"/>
  <c r="Q111" i="10"/>
  <c r="Q152" i="10"/>
  <c r="Q124" i="10"/>
  <c r="Q116" i="10"/>
  <c r="Q129" i="10"/>
  <c r="Q141" i="10"/>
  <c r="Q149" i="10"/>
  <c r="Q147" i="10"/>
  <c r="Q123" i="10"/>
  <c r="Q114" i="10"/>
  <c r="Q122" i="10"/>
  <c r="Q128" i="10"/>
  <c r="Q135" i="10"/>
  <c r="Q137" i="10"/>
  <c r="Q115" i="10"/>
  <c r="Q127" i="10"/>
  <c r="AG15" i="10"/>
  <c r="AQ29" i="10"/>
  <c r="CT54" i="10"/>
  <c r="AG14" i="10"/>
  <c r="CT52" i="10"/>
  <c r="AQ27" i="10"/>
  <c r="M8" i="10"/>
  <c r="Q20" i="10"/>
  <c r="Q14" i="10"/>
  <c r="Q59" i="10"/>
  <c r="Q47" i="10"/>
  <c r="Q19" i="10"/>
  <c r="Q16" i="10"/>
  <c r="Q27" i="10"/>
  <c r="Q53" i="10"/>
  <c r="Q21" i="10"/>
  <c r="Q45" i="10"/>
  <c r="Q28" i="10"/>
  <c r="Q33" i="10"/>
  <c r="Q40" i="10"/>
  <c r="Q15" i="10"/>
  <c r="Q32" i="10"/>
  <c r="Q54" i="10"/>
  <c r="Q41" i="10"/>
  <c r="Q52" i="10"/>
  <c r="Q34" i="10"/>
  <c r="Q42" i="10"/>
  <c r="Q58" i="10"/>
  <c r="Q29" i="10"/>
  <c r="Q46" i="10"/>
  <c r="Q57" i="10"/>
  <c r="AQ28" i="10"/>
  <c r="CT53" i="10"/>
  <c r="BP40" i="10"/>
  <c r="FV147" i="10" l="1"/>
  <c r="AV114" i="10"/>
  <c r="BQ123" i="10"/>
  <c r="AW111" i="10"/>
  <c r="DO135" i="10"/>
  <c r="BQ124" i="10"/>
  <c r="AW110" i="10"/>
  <c r="DO136" i="10"/>
  <c r="FV149" i="10"/>
  <c r="M211" i="10"/>
  <c r="M221" i="10"/>
  <c r="M216" i="10"/>
  <c r="M206" i="10"/>
  <c r="CU54" i="10"/>
  <c r="AW109" i="10"/>
  <c r="BQ40" i="10"/>
  <c r="FV148" i="10"/>
  <c r="N103" i="10"/>
  <c r="M222" i="10"/>
  <c r="M217" i="10"/>
  <c r="M212" i="10"/>
  <c r="M207" i="10"/>
  <c r="R152" i="10"/>
  <c r="R111" i="10"/>
  <c r="R149" i="10"/>
  <c r="R141" i="10"/>
  <c r="R109" i="10"/>
  <c r="R154" i="10"/>
  <c r="R110" i="10"/>
  <c r="R129" i="10"/>
  <c r="R124" i="10"/>
  <c r="R123" i="10"/>
  <c r="R148" i="10"/>
  <c r="R114" i="10"/>
  <c r="R127" i="10"/>
  <c r="R115" i="10"/>
  <c r="R153" i="10"/>
  <c r="R147" i="10"/>
  <c r="R136" i="10"/>
  <c r="R142" i="10"/>
  <c r="R128" i="10"/>
  <c r="R122" i="10"/>
  <c r="R137" i="10"/>
  <c r="R135" i="10"/>
  <c r="R116" i="10"/>
  <c r="R140" i="10"/>
  <c r="AH16" i="10"/>
  <c r="BQ122" i="10"/>
  <c r="DO137" i="10"/>
  <c r="AR28" i="10"/>
  <c r="AR29" i="10"/>
  <c r="CU52" i="10"/>
  <c r="AH15" i="10"/>
  <c r="N8" i="10"/>
  <c r="R21" i="10"/>
  <c r="R15" i="10"/>
  <c r="R41" i="10"/>
  <c r="R47" i="10"/>
  <c r="R54" i="10"/>
  <c r="R34" i="10"/>
  <c r="R16" i="10"/>
  <c r="R40" i="10"/>
  <c r="R19" i="10"/>
  <c r="R45" i="10"/>
  <c r="R59" i="10"/>
  <c r="R58" i="10"/>
  <c r="R28" i="10"/>
  <c r="R52" i="10"/>
  <c r="R32" i="10"/>
  <c r="R53" i="10"/>
  <c r="R29" i="10"/>
  <c r="R57" i="10"/>
  <c r="R33" i="10"/>
  <c r="AS28" i="10" s="1"/>
  <c r="R20" i="10"/>
  <c r="R46" i="10"/>
  <c r="R14" i="10"/>
  <c r="R42" i="10"/>
  <c r="R27" i="10"/>
  <c r="BQ41" i="10"/>
  <c r="AR27" i="10"/>
  <c r="BQ42" i="10"/>
  <c r="CU53" i="10"/>
  <c r="AH14" i="10"/>
  <c r="AX109" i="10" l="1"/>
  <c r="AW114" i="10"/>
  <c r="FW149" i="10"/>
  <c r="DP137" i="10"/>
  <c r="AX110" i="10"/>
  <c r="FW147" i="10"/>
  <c r="N216" i="10"/>
  <c r="N211" i="10"/>
  <c r="N206" i="10"/>
  <c r="N221" i="10"/>
  <c r="DP135" i="10"/>
  <c r="BR124" i="10"/>
  <c r="AX111" i="10"/>
  <c r="FW148" i="10"/>
  <c r="BR122" i="10"/>
  <c r="DP136" i="10"/>
  <c r="O103" i="10"/>
  <c r="N222" i="10"/>
  <c r="N217" i="10"/>
  <c r="N207" i="10"/>
  <c r="N212" i="10"/>
  <c r="S110" i="10"/>
  <c r="S153" i="10"/>
  <c r="S148" i="10"/>
  <c r="S154" i="10"/>
  <c r="S111" i="10"/>
  <c r="S149" i="10"/>
  <c r="S141" i="10"/>
  <c r="S152" i="10"/>
  <c r="S124" i="10"/>
  <c r="S135" i="10"/>
  <c r="S127" i="10"/>
  <c r="S128" i="10"/>
  <c r="S147" i="10"/>
  <c r="S142" i="10"/>
  <c r="S129" i="10"/>
  <c r="S114" i="10"/>
  <c r="S122" i="10"/>
  <c r="S140" i="10"/>
  <c r="DQ135" i="10" s="1"/>
  <c r="S123" i="10"/>
  <c r="S137" i="10"/>
  <c r="S115" i="10"/>
  <c r="S116" i="10"/>
  <c r="S109" i="10"/>
  <c r="S136" i="10"/>
  <c r="CV54" i="10"/>
  <c r="BR123" i="10"/>
  <c r="AI14" i="10"/>
  <c r="AI16" i="10"/>
  <c r="CV52" i="10"/>
  <c r="BR40" i="10"/>
  <c r="O8" i="10"/>
  <c r="S16" i="10"/>
  <c r="S15" i="10"/>
  <c r="S33" i="10"/>
  <c r="S28" i="10"/>
  <c r="S20" i="10"/>
  <c r="S41" i="10"/>
  <c r="S47" i="10"/>
  <c r="S58" i="10"/>
  <c r="S59" i="10"/>
  <c r="S34" i="10"/>
  <c r="S29" i="10"/>
  <c r="S27" i="10"/>
  <c r="S42" i="10"/>
  <c r="S57" i="10"/>
  <c r="S40" i="10"/>
  <c r="S32" i="10"/>
  <c r="S46" i="10"/>
  <c r="S21" i="10"/>
  <c r="S45" i="10"/>
  <c r="S54" i="10"/>
  <c r="S14" i="10"/>
  <c r="S19" i="10"/>
  <c r="S52" i="10"/>
  <c r="S53" i="10"/>
  <c r="AS27" i="10"/>
  <c r="AS29" i="10"/>
  <c r="BR41" i="10"/>
  <c r="AI15" i="10"/>
  <c r="CV53" i="10"/>
  <c r="BR42" i="10"/>
  <c r="AX114" i="10" l="1"/>
  <c r="AY109" i="10"/>
  <c r="AY111" i="10"/>
  <c r="DQ137" i="10"/>
  <c r="BS123" i="10"/>
  <c r="FX147" i="10"/>
  <c r="O216" i="10"/>
  <c r="O211" i="10"/>
  <c r="O221" i="10"/>
  <c r="O206" i="10"/>
  <c r="BS124" i="10"/>
  <c r="DQ136" i="10"/>
  <c r="AY110" i="10"/>
  <c r="FX149" i="10"/>
  <c r="P103" i="10"/>
  <c r="O222" i="10"/>
  <c r="O217" i="10"/>
  <c r="O212" i="10"/>
  <c r="O207" i="10"/>
  <c r="T152" i="10"/>
  <c r="T148" i="10"/>
  <c r="T111" i="10"/>
  <c r="T153" i="10"/>
  <c r="T147" i="10"/>
  <c r="T110" i="10"/>
  <c r="T140" i="10"/>
  <c r="T149" i="10"/>
  <c r="T141" i="10"/>
  <c r="T154" i="10"/>
  <c r="T142" i="10"/>
  <c r="T116" i="10"/>
  <c r="T137" i="10"/>
  <c r="T136" i="10"/>
  <c r="T109" i="10"/>
  <c r="T129" i="10"/>
  <c r="T122" i="10"/>
  <c r="T115" i="10"/>
  <c r="T135" i="10"/>
  <c r="T124" i="10"/>
  <c r="T128" i="10"/>
  <c r="T127" i="10"/>
  <c r="T114" i="10"/>
  <c r="AZ109" i="10" s="1"/>
  <c r="T123" i="10"/>
  <c r="BS122" i="10"/>
  <c r="FX148" i="10"/>
  <c r="AT28" i="10"/>
  <c r="CW54" i="10"/>
  <c r="AT27" i="10"/>
  <c r="BS42" i="10"/>
  <c r="AJ14" i="10"/>
  <c r="CW52" i="10"/>
  <c r="BS40" i="10"/>
  <c r="BS41" i="10"/>
  <c r="AJ16" i="10"/>
  <c r="AT29" i="10"/>
  <c r="CW53" i="10"/>
  <c r="P8" i="10"/>
  <c r="T16" i="10"/>
  <c r="T15" i="10"/>
  <c r="T19" i="10"/>
  <c r="T20" i="10"/>
  <c r="T46" i="10"/>
  <c r="T54" i="10"/>
  <c r="T53" i="10"/>
  <c r="T34" i="10"/>
  <c r="T59" i="10"/>
  <c r="T41" i="10"/>
  <c r="T52" i="10"/>
  <c r="T27" i="10"/>
  <c r="T40" i="10"/>
  <c r="T32" i="10"/>
  <c r="T58" i="10"/>
  <c r="T42" i="10"/>
  <c r="T45" i="10"/>
  <c r="T29" i="10"/>
  <c r="T21" i="10"/>
  <c r="T28" i="10"/>
  <c r="T47" i="10"/>
  <c r="T14" i="10"/>
  <c r="T57" i="10"/>
  <c r="T33" i="10"/>
  <c r="AJ15" i="10"/>
  <c r="AZ110" i="10" l="1"/>
  <c r="BT124" i="10"/>
  <c r="AY114" i="10"/>
  <c r="DR136" i="10"/>
  <c r="FY147" i="10"/>
  <c r="CX53" i="10"/>
  <c r="DR137" i="10"/>
  <c r="FY149" i="10"/>
  <c r="DR135" i="10"/>
  <c r="P221" i="10"/>
  <c r="P216" i="10"/>
  <c r="P211" i="10"/>
  <c r="P206" i="10"/>
  <c r="BT122" i="10"/>
  <c r="BT123" i="10"/>
  <c r="AZ111" i="10"/>
  <c r="FY148" i="10"/>
  <c r="Q103" i="10"/>
  <c r="P222" i="10"/>
  <c r="P207" i="10"/>
  <c r="P212" i="10"/>
  <c r="P217" i="10"/>
  <c r="U147" i="10"/>
  <c r="U136" i="10"/>
  <c r="U137" i="10"/>
  <c r="U109" i="10"/>
  <c r="U152" i="10"/>
  <c r="U141" i="10"/>
  <c r="U154" i="10"/>
  <c r="U111" i="10"/>
  <c r="U149" i="10"/>
  <c r="U110" i="10"/>
  <c r="U140" i="10"/>
  <c r="U124" i="10"/>
  <c r="U135" i="10"/>
  <c r="U148" i="10"/>
  <c r="U128" i="10"/>
  <c r="U123" i="10"/>
  <c r="U114" i="10"/>
  <c r="U129" i="10"/>
  <c r="U153" i="10"/>
  <c r="U115" i="10"/>
  <c r="U116" i="10"/>
  <c r="U122" i="10"/>
  <c r="U142" i="10"/>
  <c r="U127" i="10"/>
  <c r="CX54" i="10"/>
  <c r="BT40" i="10"/>
  <c r="CX52" i="10"/>
  <c r="AU29" i="10"/>
  <c r="AU28" i="10"/>
  <c r="BT41" i="10"/>
  <c r="AK15" i="10"/>
  <c r="Q8" i="10"/>
  <c r="U16" i="10"/>
  <c r="U40" i="10"/>
  <c r="U34" i="10"/>
  <c r="U47" i="10"/>
  <c r="U29" i="10"/>
  <c r="U27" i="10"/>
  <c r="U54" i="10"/>
  <c r="U20" i="10"/>
  <c r="U57" i="10"/>
  <c r="U59" i="10"/>
  <c r="U52" i="10"/>
  <c r="U46" i="10"/>
  <c r="U19" i="10"/>
  <c r="U28" i="10"/>
  <c r="U53" i="10"/>
  <c r="U15" i="10"/>
  <c r="U14" i="10"/>
  <c r="U21" i="10"/>
  <c r="AL16" i="10" s="1"/>
  <c r="U32" i="10"/>
  <c r="U41" i="10"/>
  <c r="U58" i="10"/>
  <c r="U42" i="10"/>
  <c r="U45" i="10"/>
  <c r="U33" i="10"/>
  <c r="AU27" i="10"/>
  <c r="BT42" i="10"/>
  <c r="AK16" i="10"/>
  <c r="AK14" i="10"/>
  <c r="AZ114" i="10" l="1"/>
  <c r="BA111" i="10"/>
  <c r="DS137" i="10"/>
  <c r="BU123" i="10"/>
  <c r="BU124" i="10"/>
  <c r="BA109" i="10"/>
  <c r="BU122" i="10"/>
  <c r="Q221" i="10"/>
  <c r="Q206" i="10"/>
  <c r="Q211" i="10"/>
  <c r="Q216" i="10"/>
  <c r="FZ149" i="10"/>
  <c r="DS136" i="10"/>
  <c r="FZ147" i="10"/>
  <c r="BU40" i="10"/>
  <c r="BA110" i="10"/>
  <c r="R103" i="10"/>
  <c r="Q212" i="10"/>
  <c r="Q222" i="10"/>
  <c r="Q217" i="10"/>
  <c r="Q207" i="10"/>
  <c r="V149" i="10"/>
  <c r="V140" i="10"/>
  <c r="V109" i="10"/>
  <c r="V110" i="10"/>
  <c r="V148" i="10"/>
  <c r="V152" i="10"/>
  <c r="V136" i="10"/>
  <c r="V116" i="10"/>
  <c r="V127" i="10"/>
  <c r="V111" i="10"/>
  <c r="V124" i="10"/>
  <c r="V135" i="10"/>
  <c r="V122" i="10"/>
  <c r="V154" i="10"/>
  <c r="V153" i="10"/>
  <c r="V142" i="10"/>
  <c r="V147" i="10"/>
  <c r="V141" i="10"/>
  <c r="V129" i="10"/>
  <c r="BV124" i="10" s="1"/>
  <c r="V114" i="10"/>
  <c r="V115" i="10"/>
  <c r="V137" i="10"/>
  <c r="V123" i="10"/>
  <c r="V128" i="10"/>
  <c r="FZ148" i="10"/>
  <c r="DS135" i="10"/>
  <c r="AL14" i="10"/>
  <c r="CY53" i="10"/>
  <c r="BU41" i="10"/>
  <c r="BU42" i="10"/>
  <c r="AV27" i="10"/>
  <c r="AV29" i="10"/>
  <c r="CY54" i="10"/>
  <c r="CY52" i="10"/>
  <c r="AV28" i="10"/>
  <c r="AL15" i="10"/>
  <c r="R8" i="10"/>
  <c r="V15" i="10"/>
  <c r="V20" i="10"/>
  <c r="V14" i="10"/>
  <c r="V41" i="10"/>
  <c r="V28" i="10"/>
  <c r="V57" i="10"/>
  <c r="V40" i="10"/>
  <c r="V42" i="10"/>
  <c r="V58" i="10"/>
  <c r="V33" i="10"/>
  <c r="V45" i="10"/>
  <c r="V34" i="10"/>
  <c r="V54" i="10"/>
  <c r="V46" i="10"/>
  <c r="V29" i="10"/>
  <c r="V53" i="10"/>
  <c r="V21" i="10"/>
  <c r="V19" i="10"/>
  <c r="V47" i="10"/>
  <c r="V32" i="10"/>
  <c r="V52" i="10"/>
  <c r="V16" i="10"/>
  <c r="V27" i="10"/>
  <c r="V59" i="10"/>
  <c r="BB110" i="10" l="1"/>
  <c r="BB109" i="10"/>
  <c r="DT136" i="10"/>
  <c r="GA148" i="10"/>
  <c r="DT135" i="10"/>
  <c r="BV122" i="10"/>
  <c r="BV123" i="10"/>
  <c r="DT137" i="10"/>
  <c r="BB111" i="10"/>
  <c r="CZ53" i="10"/>
  <c r="GA149" i="10"/>
  <c r="GA147" i="10"/>
  <c r="R221" i="10"/>
  <c r="R216" i="10"/>
  <c r="R211" i="10"/>
  <c r="S103" i="10"/>
  <c r="R207" i="10"/>
  <c r="R212" i="10"/>
  <c r="R222" i="10"/>
  <c r="R217" i="10"/>
  <c r="W109" i="10"/>
  <c r="W111" i="10"/>
  <c r="W149" i="10"/>
  <c r="W142" i="10"/>
  <c r="W147" i="10"/>
  <c r="W148" i="10"/>
  <c r="W154" i="10"/>
  <c r="W141" i="10"/>
  <c r="W115" i="10"/>
  <c r="W128" i="10"/>
  <c r="W127" i="10"/>
  <c r="W114" i="10"/>
  <c r="W153" i="10"/>
  <c r="W123" i="10"/>
  <c r="W140" i="10"/>
  <c r="W116" i="10"/>
  <c r="W135" i="10"/>
  <c r="W129" i="10"/>
  <c r="W124" i="10"/>
  <c r="W110" i="10"/>
  <c r="W136" i="10"/>
  <c r="W122" i="10"/>
  <c r="W137" i="10"/>
  <c r="W152" i="10"/>
  <c r="BV41" i="10"/>
  <c r="CZ52" i="10"/>
  <c r="AW28" i="10"/>
  <c r="CZ54" i="10"/>
  <c r="CK2" i="10"/>
  <c r="AM14" i="10"/>
  <c r="CK3" i="10"/>
  <c r="AM15" i="10"/>
  <c r="S8" i="10"/>
  <c r="W28" i="10"/>
  <c r="W46" i="10"/>
  <c r="W53" i="10"/>
  <c r="W41" i="10"/>
  <c r="W54" i="10"/>
  <c r="W32" i="10"/>
  <c r="W57" i="10"/>
  <c r="W42" i="10"/>
  <c r="W29" i="10"/>
  <c r="W52" i="10"/>
  <c r="W40" i="10"/>
  <c r="W58" i="10"/>
  <c r="W33" i="10"/>
  <c r="W47" i="10"/>
  <c r="W27" i="10"/>
  <c r="W34" i="10"/>
  <c r="W59" i="10"/>
  <c r="W45" i="10"/>
  <c r="CK4" i="10"/>
  <c r="AM16" i="10"/>
  <c r="AW27" i="10"/>
  <c r="AW29" i="10"/>
  <c r="BV42" i="10"/>
  <c r="BV40" i="10"/>
  <c r="GB147" i="10" l="1"/>
  <c r="GB149" i="10"/>
  <c r="GB148" i="10"/>
  <c r="DA54" i="10"/>
  <c r="BW124" i="10"/>
  <c r="BW123" i="10"/>
  <c r="BC110" i="10"/>
  <c r="BC111" i="10"/>
  <c r="DU136" i="10"/>
  <c r="S221" i="10"/>
  <c r="S211" i="10"/>
  <c r="S216" i="10"/>
  <c r="DU135" i="10"/>
  <c r="BC109" i="10"/>
  <c r="DU137" i="10"/>
  <c r="T103" i="10"/>
  <c r="S207" i="10"/>
  <c r="S212" i="10"/>
  <c r="S222" i="10"/>
  <c r="S217" i="10"/>
  <c r="X109" i="10"/>
  <c r="X153" i="10"/>
  <c r="X147" i="10"/>
  <c r="X154" i="10"/>
  <c r="X152" i="10"/>
  <c r="X140" i="10"/>
  <c r="X122" i="10"/>
  <c r="X148" i="10"/>
  <c r="X114" i="10"/>
  <c r="X110" i="10"/>
  <c r="X149" i="10"/>
  <c r="X116" i="10"/>
  <c r="X123" i="10"/>
  <c r="X111" i="10"/>
  <c r="X141" i="10"/>
  <c r="X137" i="10"/>
  <c r="X124" i="10"/>
  <c r="X142" i="10"/>
  <c r="X136" i="10"/>
  <c r="X127" i="10"/>
  <c r="X115" i="10"/>
  <c r="X128" i="10"/>
  <c r="X129" i="10"/>
  <c r="X135" i="10"/>
  <c r="BW41" i="10"/>
  <c r="BW122" i="10"/>
  <c r="BW40" i="10"/>
  <c r="DA53" i="10"/>
  <c r="DA52" i="10"/>
  <c r="BW42" i="10"/>
  <c r="AX27" i="10"/>
  <c r="T8" i="10"/>
  <c r="X28" i="10"/>
  <c r="X27" i="10"/>
  <c r="X53" i="10"/>
  <c r="X57" i="10"/>
  <c r="X54" i="10"/>
  <c r="X59" i="10"/>
  <c r="DB54" i="10" s="1"/>
  <c r="X42" i="10"/>
  <c r="X33" i="10"/>
  <c r="X47" i="10"/>
  <c r="X52" i="10"/>
  <c r="X29" i="10"/>
  <c r="X58" i="10"/>
  <c r="X45" i="10"/>
  <c r="X41" i="10"/>
  <c r="X32" i="10"/>
  <c r="X40" i="10"/>
  <c r="X34" i="10"/>
  <c r="X46" i="10"/>
  <c r="AX28" i="10"/>
  <c r="AX29" i="10"/>
  <c r="BD109" i="10" l="1"/>
  <c r="BX123" i="10"/>
  <c r="BX124" i="10"/>
  <c r="DV137" i="10"/>
  <c r="GC148" i="10"/>
  <c r="T211" i="10"/>
  <c r="T221" i="10"/>
  <c r="T216" i="10"/>
  <c r="DV136" i="10"/>
  <c r="DV135" i="10"/>
  <c r="AY27" i="10"/>
  <c r="BD110" i="10"/>
  <c r="GC147" i="10"/>
  <c r="BX122" i="10"/>
  <c r="BD111" i="10"/>
  <c r="GC149" i="10"/>
  <c r="U103" i="10"/>
  <c r="T222" i="10"/>
  <c r="T207" i="10"/>
  <c r="T212" i="10"/>
  <c r="T217" i="10"/>
  <c r="Y111" i="10"/>
  <c r="Y141" i="10"/>
  <c r="Y148" i="10"/>
  <c r="Y109" i="10"/>
  <c r="Y153" i="10"/>
  <c r="Y142" i="10"/>
  <c r="Y110" i="10"/>
  <c r="Y149" i="10"/>
  <c r="Y154" i="10"/>
  <c r="Y124" i="10"/>
  <c r="Y116" i="10"/>
  <c r="Y129" i="10"/>
  <c r="Y152" i="10"/>
  <c r="Y127" i="10"/>
  <c r="Y115" i="10"/>
  <c r="Y123" i="10"/>
  <c r="Y147" i="10"/>
  <c r="Y114" i="10"/>
  <c r="Y137" i="10"/>
  <c r="Y136" i="10"/>
  <c r="Y135" i="10"/>
  <c r="Y128" i="10"/>
  <c r="Y122" i="10"/>
  <c r="Y140" i="10"/>
  <c r="BX42" i="10"/>
  <c r="BX41" i="10"/>
  <c r="AY28" i="10"/>
  <c r="U8" i="10"/>
  <c r="Y40" i="10"/>
  <c r="Y46" i="10"/>
  <c r="Y32" i="10"/>
  <c r="Y54" i="10"/>
  <c r="Y52" i="10"/>
  <c r="Y53" i="10"/>
  <c r="Y28" i="10"/>
  <c r="Y41" i="10"/>
  <c r="Y45" i="10"/>
  <c r="Y29" i="10"/>
  <c r="Y47" i="10"/>
  <c r="Y58" i="10"/>
  <c r="Y33" i="10"/>
  <c r="Y27" i="10"/>
  <c r="Y34" i="10"/>
  <c r="Y57" i="10"/>
  <c r="DC52" i="10" s="1"/>
  <c r="Y59" i="10"/>
  <c r="Y42" i="10"/>
  <c r="BX40" i="10"/>
  <c r="AY29" i="10"/>
  <c r="DB53" i="10"/>
  <c r="DB52" i="10"/>
  <c r="BE111" i="10" l="1"/>
  <c r="BE110" i="10"/>
  <c r="GD147" i="10"/>
  <c r="GD148" i="10"/>
  <c r="DW135" i="10"/>
  <c r="BY42" i="10"/>
  <c r="BY124" i="10"/>
  <c r="BY123" i="10"/>
  <c r="BY122" i="10"/>
  <c r="DW137" i="10"/>
  <c r="V103" i="10"/>
  <c r="U222" i="10"/>
  <c r="U217" i="10"/>
  <c r="U212" i="10"/>
  <c r="U207" i="10"/>
  <c r="Z153" i="10"/>
  <c r="Z129" i="10"/>
  <c r="Z152" i="10"/>
  <c r="Z111" i="10"/>
  <c r="Z149" i="10"/>
  <c r="Z141" i="10"/>
  <c r="Z154" i="10"/>
  <c r="Z147" i="10"/>
  <c r="Z109" i="10"/>
  <c r="Z142" i="10"/>
  <c r="Z137" i="10"/>
  <c r="Z135" i="10"/>
  <c r="Z114" i="10"/>
  <c r="Z122" i="10"/>
  <c r="Z124" i="10"/>
  <c r="Z115" i="10"/>
  <c r="Z110" i="10"/>
  <c r="Z140" i="10"/>
  <c r="Z148" i="10"/>
  <c r="Z128" i="10"/>
  <c r="Z127" i="10"/>
  <c r="Z136" i="10"/>
  <c r="Z123" i="10"/>
  <c r="Z116" i="10"/>
  <c r="U211" i="10"/>
  <c r="U221" i="10"/>
  <c r="U216" i="10"/>
  <c r="BE109" i="10"/>
  <c r="DW136" i="10"/>
  <c r="GD149" i="10"/>
  <c r="AZ27" i="10"/>
  <c r="DC54" i="10"/>
  <c r="AZ28" i="10"/>
  <c r="BY41" i="10"/>
  <c r="V8" i="10"/>
  <c r="Z58" i="10"/>
  <c r="Z42" i="10"/>
  <c r="Z40" i="10"/>
  <c r="Z47" i="10"/>
  <c r="Z53" i="10"/>
  <c r="Z54" i="10"/>
  <c r="Z33" i="10"/>
  <c r="Z34" i="10"/>
  <c r="Z45" i="10"/>
  <c r="Z59" i="10"/>
  <c r="Z41" i="10"/>
  <c r="Z29" i="10"/>
  <c r="Z52" i="10"/>
  <c r="Z32" i="10"/>
  <c r="Z27" i="10"/>
  <c r="Z28" i="10"/>
  <c r="Z46" i="10"/>
  <c r="Z57" i="10"/>
  <c r="AZ29" i="10"/>
  <c r="BY40" i="10"/>
  <c r="DC53" i="10"/>
  <c r="BF111" i="10" l="1"/>
  <c r="GE149" i="10"/>
  <c r="GE148" i="10"/>
  <c r="BF110" i="10"/>
  <c r="BZ122" i="10"/>
  <c r="BF109" i="10"/>
  <c r="BZ123" i="10"/>
  <c r="W103" i="10"/>
  <c r="V222" i="10"/>
  <c r="V217" i="10"/>
  <c r="V207" i="10"/>
  <c r="V212" i="10"/>
  <c r="AA152" i="10"/>
  <c r="AA110" i="10"/>
  <c r="AA153" i="10"/>
  <c r="AA148" i="10"/>
  <c r="AA154" i="10"/>
  <c r="AA137" i="10"/>
  <c r="AA149" i="10"/>
  <c r="AA124" i="10"/>
  <c r="AA141" i="10"/>
  <c r="AA109" i="10"/>
  <c r="AA115" i="10"/>
  <c r="AA142" i="10"/>
  <c r="AA147" i="10"/>
  <c r="AA114" i="10"/>
  <c r="AA129" i="10"/>
  <c r="AA122" i="10"/>
  <c r="AA123" i="10"/>
  <c r="AA136" i="10"/>
  <c r="AA140" i="10"/>
  <c r="AA116" i="10"/>
  <c r="AA135" i="10"/>
  <c r="AA111" i="10"/>
  <c r="AA127" i="10"/>
  <c r="AA128" i="10"/>
  <c r="V216" i="10"/>
  <c r="V211" i="10"/>
  <c r="V221" i="10"/>
  <c r="GE147" i="10"/>
  <c r="DX136" i="10"/>
  <c r="DX135" i="10"/>
  <c r="DX137" i="10"/>
  <c r="BZ124" i="10"/>
  <c r="BZ41" i="10"/>
  <c r="BZ40" i="10"/>
  <c r="BA27" i="10"/>
  <c r="BZ42" i="10"/>
  <c r="DD52" i="10"/>
  <c r="DD54" i="10"/>
  <c r="DD53" i="10"/>
  <c r="BA29" i="10"/>
  <c r="W8" i="10"/>
  <c r="AA59" i="10"/>
  <c r="AA57" i="10"/>
  <c r="AA41" i="10"/>
  <c r="AA47" i="10"/>
  <c r="AA27" i="10"/>
  <c r="AA45" i="10"/>
  <c r="AA32" i="10"/>
  <c r="AA58" i="10"/>
  <c r="AA34" i="10"/>
  <c r="AA54" i="10"/>
  <c r="AA28" i="10"/>
  <c r="AA53" i="10"/>
  <c r="AA40" i="10"/>
  <c r="AA52" i="10"/>
  <c r="AA33" i="10"/>
  <c r="AA42" i="10"/>
  <c r="AA46" i="10"/>
  <c r="AA29" i="10"/>
  <c r="BA28" i="10"/>
  <c r="CA122" i="10" l="1"/>
  <c r="BG109" i="10"/>
  <c r="BG110" i="10"/>
  <c r="CA124" i="10"/>
  <c r="GF149" i="10"/>
  <c r="BG111" i="10"/>
  <c r="DY137" i="10"/>
  <c r="X103" i="10"/>
  <c r="W222" i="10"/>
  <c r="W217" i="10"/>
  <c r="W207" i="10"/>
  <c r="W212" i="10"/>
  <c r="AB142" i="10"/>
  <c r="AB109" i="10"/>
  <c r="AB152" i="10"/>
  <c r="AB148" i="10"/>
  <c r="AB111" i="10"/>
  <c r="AB153" i="10"/>
  <c r="AB147" i="10"/>
  <c r="AB110" i="10"/>
  <c r="AB140" i="10"/>
  <c r="AB149" i="10"/>
  <c r="AB141" i="10"/>
  <c r="AB136" i="10"/>
  <c r="AB124" i="10"/>
  <c r="AB123" i="10"/>
  <c r="AB135" i="10"/>
  <c r="AB127" i="10"/>
  <c r="AB128" i="10"/>
  <c r="AB137" i="10"/>
  <c r="AB114" i="10"/>
  <c r="AB116" i="10"/>
  <c r="AB115" i="10"/>
  <c r="AB154" i="10"/>
  <c r="AB122" i="10"/>
  <c r="AB129" i="10"/>
  <c r="DY135" i="10"/>
  <c r="GF148" i="10"/>
  <c r="W216" i="10"/>
  <c r="W221" i="10"/>
  <c r="W211" i="10"/>
  <c r="DY136" i="10"/>
  <c r="GF147" i="10"/>
  <c r="CA41" i="10"/>
  <c r="DE53" i="10"/>
  <c r="BB28" i="10"/>
  <c r="CA123" i="10"/>
  <c r="BB27" i="10"/>
  <c r="BB29" i="10"/>
  <c r="DE54" i="10"/>
  <c r="CA40" i="10"/>
  <c r="X8" i="10"/>
  <c r="AB53" i="10"/>
  <c r="AB57" i="10"/>
  <c r="AB27" i="10"/>
  <c r="AB46" i="10"/>
  <c r="AB40" i="10"/>
  <c r="AB54" i="10"/>
  <c r="AB59" i="10"/>
  <c r="AB32" i="10"/>
  <c r="AB58" i="10"/>
  <c r="AB52" i="10"/>
  <c r="AB45" i="10"/>
  <c r="AB42" i="10"/>
  <c r="AB34" i="10"/>
  <c r="AB29" i="10"/>
  <c r="AB47" i="10"/>
  <c r="AB28" i="10"/>
  <c r="AB41" i="10"/>
  <c r="AB33" i="10"/>
  <c r="CA42" i="10"/>
  <c r="DE52" i="10"/>
  <c r="CB122" i="10" l="1"/>
  <c r="BH109" i="10"/>
  <c r="DZ136" i="10"/>
  <c r="GG149" i="10"/>
  <c r="GG148" i="10"/>
  <c r="CB124" i="10"/>
  <c r="DF53" i="10"/>
  <c r="CB42" i="10"/>
  <c r="X221" i="10"/>
  <c r="X216" i="10"/>
  <c r="X211" i="10"/>
  <c r="BH110" i="10"/>
  <c r="BH111" i="10"/>
  <c r="Y103" i="10"/>
  <c r="X217" i="10"/>
  <c r="X222" i="10"/>
  <c r="X207" i="10"/>
  <c r="X212" i="10"/>
  <c r="AC153" i="10"/>
  <c r="AC149" i="10"/>
  <c r="AC147" i="10"/>
  <c r="AC136" i="10"/>
  <c r="AC152" i="10"/>
  <c r="AC110" i="10"/>
  <c r="AC154" i="10"/>
  <c r="AC111" i="10"/>
  <c r="AC109" i="10"/>
  <c r="AC142" i="10"/>
  <c r="AC124" i="10"/>
  <c r="AC114" i="10"/>
  <c r="AC141" i="10"/>
  <c r="AC135" i="10"/>
  <c r="AC148" i="10"/>
  <c r="AC140" i="10"/>
  <c r="AC122" i="10"/>
  <c r="AC129" i="10"/>
  <c r="AC127" i="10"/>
  <c r="AC128" i="10"/>
  <c r="AC123" i="10"/>
  <c r="AC115" i="10"/>
  <c r="BI110" i="10" s="1"/>
  <c r="AC137" i="10"/>
  <c r="AC116" i="10"/>
  <c r="BI111" i="10" s="1"/>
  <c r="CB40" i="10"/>
  <c r="GG147" i="10"/>
  <c r="CB123" i="10"/>
  <c r="DZ135" i="10"/>
  <c r="DZ137" i="10"/>
  <c r="DF54" i="10"/>
  <c r="BC28" i="10"/>
  <c r="CB41" i="10"/>
  <c r="BC29" i="10"/>
  <c r="DF52" i="10"/>
  <c r="BC27" i="10"/>
  <c r="Y8" i="10"/>
  <c r="AC58" i="10"/>
  <c r="AC46" i="10"/>
  <c r="AC40" i="10"/>
  <c r="AC34" i="10"/>
  <c r="AC54" i="10"/>
  <c r="AC27" i="10"/>
  <c r="AC45" i="10"/>
  <c r="AC57" i="10"/>
  <c r="AC59" i="10"/>
  <c r="AC52" i="10"/>
  <c r="AC28" i="10"/>
  <c r="AC32" i="10"/>
  <c r="AC53" i="10"/>
  <c r="AC29" i="10"/>
  <c r="AC47" i="10"/>
  <c r="AC41" i="10"/>
  <c r="AC33" i="10"/>
  <c r="AC42" i="10"/>
  <c r="EA136" i="10" l="1"/>
  <c r="GH147" i="10"/>
  <c r="EA137" i="10"/>
  <c r="GH148" i="10"/>
  <c r="CC122" i="10"/>
  <c r="BI109" i="10"/>
  <c r="CC123" i="10"/>
  <c r="Z103" i="10"/>
  <c r="Y212" i="10"/>
  <c r="Y222" i="10"/>
  <c r="Y207" i="10"/>
  <c r="Y217" i="10"/>
  <c r="AD111" i="10"/>
  <c r="AD152" i="10"/>
  <c r="AD141" i="10"/>
  <c r="AD147" i="10"/>
  <c r="AD154" i="10"/>
  <c r="AD153" i="10"/>
  <c r="AD128" i="10"/>
  <c r="AD142" i="10"/>
  <c r="AD114" i="10"/>
  <c r="AD136" i="10"/>
  <c r="AD127" i="10"/>
  <c r="AD122" i="10"/>
  <c r="AD110" i="10"/>
  <c r="AD123" i="10"/>
  <c r="AD109" i="10"/>
  <c r="AD140" i="10"/>
  <c r="AD137" i="10"/>
  <c r="AD148" i="10"/>
  <c r="AD149" i="10"/>
  <c r="AD129" i="10"/>
  <c r="AD124" i="10"/>
  <c r="AD116" i="10"/>
  <c r="AD115" i="10"/>
  <c r="AD135" i="10"/>
  <c r="Y221" i="10"/>
  <c r="Y216" i="10"/>
  <c r="Y211" i="10"/>
  <c r="CC124" i="10"/>
  <c r="EA135" i="10"/>
  <c r="GH149" i="10"/>
  <c r="CC41" i="10"/>
  <c r="DG54" i="10"/>
  <c r="DG53" i="10"/>
  <c r="BD28" i="10"/>
  <c r="CC40" i="10"/>
  <c r="Z8" i="10"/>
  <c r="AD32" i="10"/>
  <c r="AD57" i="10"/>
  <c r="AD58" i="10"/>
  <c r="AD28" i="10"/>
  <c r="AD59" i="10"/>
  <c r="AD53" i="10"/>
  <c r="AD40" i="10"/>
  <c r="AD54" i="10"/>
  <c r="AD45" i="10"/>
  <c r="AD47" i="10"/>
  <c r="AD34" i="10"/>
  <c r="AD42" i="10"/>
  <c r="AD29" i="10"/>
  <c r="AD41" i="10"/>
  <c r="AD33" i="10"/>
  <c r="AD27" i="10"/>
  <c r="AD52" i="10"/>
  <c r="AD46" i="10"/>
  <c r="DG52" i="10"/>
  <c r="CC42" i="10"/>
  <c r="BD27" i="10"/>
  <c r="BD29" i="10"/>
  <c r="GI147" i="10" l="1"/>
  <c r="BJ110" i="10"/>
  <c r="CD122" i="10"/>
  <c r="BJ109" i="10"/>
  <c r="EB135" i="10"/>
  <c r="EB137" i="10"/>
  <c r="CD123" i="10"/>
  <c r="GI148" i="10"/>
  <c r="GI149" i="10"/>
  <c r="Z221" i="10"/>
  <c r="Z216" i="10"/>
  <c r="Z211" i="10"/>
  <c r="CD124" i="10"/>
  <c r="AA103" i="10"/>
  <c r="Z207" i="10"/>
  <c r="Z212" i="10"/>
  <c r="Z217" i="10"/>
  <c r="Z222" i="10"/>
  <c r="AE153" i="10"/>
  <c r="AE109" i="10"/>
  <c r="AE111" i="10"/>
  <c r="AE110" i="10"/>
  <c r="AE141" i="10"/>
  <c r="AE154" i="10"/>
  <c r="AE152" i="10"/>
  <c r="AE128" i="10"/>
  <c r="AE140" i="10"/>
  <c r="AE127" i="10"/>
  <c r="AE129" i="10"/>
  <c r="AE135" i="10"/>
  <c r="AE114" i="10"/>
  <c r="AE123" i="10"/>
  <c r="AE142" i="10"/>
  <c r="AE122" i="10"/>
  <c r="AE147" i="10"/>
  <c r="AE115" i="10"/>
  <c r="AE136" i="10"/>
  <c r="AE116" i="10"/>
  <c r="AE149" i="10"/>
  <c r="AE124" i="10"/>
  <c r="AE137" i="10"/>
  <c r="AE148" i="10"/>
  <c r="BJ111" i="10"/>
  <c r="EB136" i="10"/>
  <c r="BE29" i="10"/>
  <c r="DH53" i="10"/>
  <c r="CD41" i="10"/>
  <c r="CD42" i="10"/>
  <c r="DH52" i="10"/>
  <c r="CD40" i="10"/>
  <c r="BE27" i="10"/>
  <c r="BE28" i="10"/>
  <c r="AA8" i="10"/>
  <c r="AE40" i="10"/>
  <c r="AE57" i="10"/>
  <c r="AE54" i="10"/>
  <c r="AE34" i="10"/>
  <c r="AE27" i="10"/>
  <c r="AE42" i="10"/>
  <c r="AE47" i="10"/>
  <c r="AE53" i="10"/>
  <c r="AE58" i="10"/>
  <c r="AE52" i="10"/>
  <c r="AE46" i="10"/>
  <c r="AE28" i="10"/>
  <c r="AE33" i="10"/>
  <c r="AE59" i="10"/>
  <c r="AE32" i="10"/>
  <c r="AE41" i="10"/>
  <c r="AE45" i="10"/>
  <c r="AE29" i="10"/>
  <c r="DH54" i="10"/>
  <c r="BK111" i="10" l="1"/>
  <c r="EC136" i="10"/>
  <c r="EC135" i="10"/>
  <c r="BK110" i="10"/>
  <c r="CE122" i="10"/>
  <c r="GJ148" i="10"/>
  <c r="CE123" i="10"/>
  <c r="GJ149" i="10"/>
  <c r="GJ147" i="10"/>
  <c r="BK109" i="10"/>
  <c r="AB103" i="10"/>
  <c r="AA207" i="10"/>
  <c r="AA212" i="10"/>
  <c r="AA222" i="10"/>
  <c r="AA217" i="10"/>
  <c r="AF154" i="10"/>
  <c r="AF152" i="10"/>
  <c r="AF142" i="10"/>
  <c r="AF111" i="10"/>
  <c r="AF153" i="10"/>
  <c r="AF110" i="10"/>
  <c r="AF148" i="10"/>
  <c r="AF149" i="10"/>
  <c r="AF137" i="10"/>
  <c r="AF140" i="10"/>
  <c r="AF122" i="10"/>
  <c r="AF109" i="10"/>
  <c r="AF129" i="10"/>
  <c r="AF141" i="10"/>
  <c r="AF124" i="10"/>
  <c r="AF135" i="10"/>
  <c r="AF147" i="10"/>
  <c r="AF115" i="10"/>
  <c r="AF123" i="10"/>
  <c r="AF128" i="10"/>
  <c r="AF136" i="10"/>
  <c r="AF116" i="10"/>
  <c r="AF114" i="10"/>
  <c r="AF127" i="10"/>
  <c r="EC137" i="10"/>
  <c r="AA221" i="10"/>
  <c r="AA211" i="10"/>
  <c r="AA216" i="10"/>
  <c r="CE124" i="10"/>
  <c r="BF29" i="10"/>
  <c r="DI53" i="10"/>
  <c r="CE42" i="10"/>
  <c r="BF28" i="10"/>
  <c r="CE41" i="10"/>
  <c r="DI52" i="10"/>
  <c r="AB8" i="10"/>
  <c r="AF33" i="10"/>
  <c r="AF32" i="10"/>
  <c r="AF59" i="10"/>
  <c r="AF53" i="10"/>
  <c r="AF28" i="10"/>
  <c r="AF41" i="10"/>
  <c r="AF57" i="10"/>
  <c r="AF27" i="10"/>
  <c r="AF54" i="10"/>
  <c r="AF42" i="10"/>
  <c r="AF29" i="10"/>
  <c r="AF46" i="10"/>
  <c r="AF47" i="10"/>
  <c r="AF52" i="10"/>
  <c r="AF58" i="10"/>
  <c r="AF40" i="10"/>
  <c r="AF34" i="10"/>
  <c r="AF45" i="10"/>
  <c r="CE40" i="10"/>
  <c r="BF27" i="10"/>
  <c r="DI54" i="10"/>
  <c r="BL111" i="10" l="1"/>
  <c r="GK149" i="10"/>
  <c r="ED135" i="10"/>
  <c r="ED137" i="10"/>
  <c r="DJ54" i="10"/>
  <c r="BL109" i="10"/>
  <c r="ED136" i="10"/>
  <c r="CF124" i="10"/>
  <c r="GK148" i="10"/>
  <c r="AB221" i="10"/>
  <c r="AB216" i="10"/>
  <c r="CF123" i="10"/>
  <c r="AC103" i="10"/>
  <c r="AB222" i="10"/>
  <c r="AB207" i="10"/>
  <c r="AB217" i="10"/>
  <c r="AB212" i="10"/>
  <c r="AG110" i="10"/>
  <c r="AG109" i="10"/>
  <c r="AG153" i="10"/>
  <c r="AG152" i="10"/>
  <c r="AG148" i="10"/>
  <c r="AG111" i="10"/>
  <c r="AG122" i="10"/>
  <c r="AG128" i="10"/>
  <c r="AG135" i="10"/>
  <c r="AG123" i="10"/>
  <c r="AG147" i="10"/>
  <c r="AG136" i="10"/>
  <c r="AG140" i="10"/>
  <c r="AG127" i="10"/>
  <c r="AG115" i="10"/>
  <c r="AG154" i="10"/>
  <c r="AG149" i="10"/>
  <c r="AG141" i="10"/>
  <c r="AG137" i="10"/>
  <c r="AG142" i="10"/>
  <c r="AG124" i="10"/>
  <c r="AG129" i="10"/>
  <c r="AG114" i="10"/>
  <c r="AG116" i="10"/>
  <c r="BL110" i="10"/>
  <c r="GK147" i="10"/>
  <c r="CF122" i="10"/>
  <c r="CF40" i="10"/>
  <c r="DJ53" i="10"/>
  <c r="CK5" i="10"/>
  <c r="BG27" i="10"/>
  <c r="CK7" i="10"/>
  <c r="BG29" i="10"/>
  <c r="CK6" i="10"/>
  <c r="BG28" i="10"/>
  <c r="AC8" i="10"/>
  <c r="AG58" i="10"/>
  <c r="AG59" i="10"/>
  <c r="AG53" i="10"/>
  <c r="AG54" i="10"/>
  <c r="AG45" i="10"/>
  <c r="AG57" i="10"/>
  <c r="AG40" i="10"/>
  <c r="AG42" i="10"/>
  <c r="AG41" i="10"/>
  <c r="AG52" i="10"/>
  <c r="AG46" i="10"/>
  <c r="AG47" i="10"/>
  <c r="DJ52" i="10"/>
  <c r="CF42" i="10"/>
  <c r="CF41" i="10"/>
  <c r="CG124" i="10" l="1"/>
  <c r="EE136" i="10"/>
  <c r="CG122" i="10"/>
  <c r="EE135" i="10"/>
  <c r="AC221" i="10"/>
  <c r="AC216" i="10"/>
  <c r="EE137" i="10"/>
  <c r="GL147" i="10"/>
  <c r="AD103" i="10"/>
  <c r="AC222" i="10"/>
  <c r="AC212" i="10"/>
  <c r="AC217" i="10"/>
  <c r="AC207" i="10"/>
  <c r="AH148" i="10"/>
  <c r="AH147" i="10"/>
  <c r="AH153" i="10"/>
  <c r="AH152" i="10"/>
  <c r="AH110" i="10"/>
  <c r="AH111" i="10"/>
  <c r="AH109" i="10"/>
  <c r="AH149" i="10"/>
  <c r="AH141" i="10"/>
  <c r="AH154" i="10"/>
  <c r="AH136" i="10"/>
  <c r="AH135" i="10"/>
  <c r="AH129" i="10"/>
  <c r="AH122" i="10"/>
  <c r="AH123" i="10"/>
  <c r="AH124" i="10"/>
  <c r="AH140" i="10"/>
  <c r="AH114" i="10"/>
  <c r="AH115" i="10"/>
  <c r="AH127" i="10"/>
  <c r="AH128" i="10"/>
  <c r="AH142" i="10"/>
  <c r="AH116" i="10"/>
  <c r="AH137" i="10"/>
  <c r="GL148" i="10"/>
  <c r="BM111" i="10"/>
  <c r="GL149" i="10"/>
  <c r="CG123" i="10"/>
  <c r="BM109" i="10"/>
  <c r="BM110" i="10"/>
  <c r="CG40" i="10"/>
  <c r="DK54" i="10"/>
  <c r="DK52" i="10"/>
  <c r="CG42" i="10"/>
  <c r="CG41" i="10"/>
  <c r="DK53" i="10"/>
  <c r="AD8" i="10"/>
  <c r="AH53" i="10"/>
  <c r="AH42" i="10"/>
  <c r="AH57" i="10"/>
  <c r="AH40" i="10"/>
  <c r="AH58" i="10"/>
  <c r="AH54" i="10"/>
  <c r="AH59" i="10"/>
  <c r="AH41" i="10"/>
  <c r="AH45" i="10"/>
  <c r="AH47" i="10"/>
  <c r="AH52" i="10"/>
  <c r="AH46" i="10"/>
  <c r="CH124" i="10" l="1"/>
  <c r="GM149" i="10"/>
  <c r="BN111" i="10"/>
  <c r="BN110" i="10"/>
  <c r="EF137" i="10"/>
  <c r="GM148" i="10"/>
  <c r="AD216" i="10"/>
  <c r="AD221" i="10"/>
  <c r="CH123" i="10"/>
  <c r="CH122" i="10"/>
  <c r="GM147" i="10"/>
  <c r="AE103" i="10"/>
  <c r="AD217" i="10"/>
  <c r="AD222" i="10"/>
  <c r="AD207" i="10"/>
  <c r="AD212" i="10"/>
  <c r="AI147" i="10"/>
  <c r="AI152" i="10"/>
  <c r="AI153" i="10"/>
  <c r="AI148" i="10"/>
  <c r="AI111" i="10"/>
  <c r="AI123" i="10"/>
  <c r="AI154" i="10"/>
  <c r="AI116" i="10"/>
  <c r="AI142" i="10"/>
  <c r="AI110" i="10"/>
  <c r="AI149" i="10"/>
  <c r="AI135" i="10"/>
  <c r="AI127" i="10"/>
  <c r="AI128" i="10"/>
  <c r="AI136" i="10"/>
  <c r="AI141" i="10"/>
  <c r="AI109" i="10"/>
  <c r="AI114" i="10"/>
  <c r="AI140" i="10"/>
  <c r="AI137" i="10"/>
  <c r="AI122" i="10"/>
  <c r="AI115" i="10"/>
  <c r="AI124" i="10"/>
  <c r="AI129" i="10"/>
  <c r="BN109" i="10"/>
  <c r="EF135" i="10"/>
  <c r="EF136" i="10"/>
  <c r="CH40" i="10"/>
  <c r="DL52" i="10"/>
  <c r="AE8" i="10"/>
  <c r="AI57" i="10"/>
  <c r="AI45" i="10"/>
  <c r="AI59" i="10"/>
  <c r="AI47" i="10"/>
  <c r="AI42" i="10"/>
  <c r="AI58" i="10"/>
  <c r="AI53" i="10"/>
  <c r="AI41" i="10"/>
  <c r="AI52" i="10"/>
  <c r="AI40" i="10"/>
  <c r="AI46" i="10"/>
  <c r="AI54" i="10"/>
  <c r="DL54" i="10"/>
  <c r="DL53" i="10"/>
  <c r="CH42" i="10"/>
  <c r="CH41" i="10"/>
  <c r="CI123" i="10" l="1"/>
  <c r="BO109" i="10"/>
  <c r="GN147" i="10"/>
  <c r="CI122" i="10"/>
  <c r="EG135" i="10"/>
  <c r="GN148" i="10"/>
  <c r="CI124" i="10"/>
  <c r="EG136" i="10"/>
  <c r="BO110" i="10"/>
  <c r="AF103" i="10"/>
  <c r="AE217" i="10"/>
  <c r="AE222" i="10"/>
  <c r="AE212" i="10"/>
  <c r="AE207" i="10"/>
  <c r="AJ110" i="10"/>
  <c r="AJ152" i="10"/>
  <c r="AJ148" i="10"/>
  <c r="AJ111" i="10"/>
  <c r="AJ153" i="10"/>
  <c r="AJ147" i="10"/>
  <c r="AJ140" i="10"/>
  <c r="AJ154" i="10"/>
  <c r="AJ129" i="10"/>
  <c r="AJ122" i="10"/>
  <c r="AJ115" i="10"/>
  <c r="AJ109" i="10"/>
  <c r="AJ124" i="10"/>
  <c r="AJ149" i="10"/>
  <c r="AJ141" i="10"/>
  <c r="AJ123" i="10"/>
  <c r="AJ135" i="10"/>
  <c r="AJ127" i="10"/>
  <c r="CJ122" i="10" s="1"/>
  <c r="AJ128" i="10"/>
  <c r="AJ142" i="10"/>
  <c r="AJ114" i="10"/>
  <c r="AJ116" i="10"/>
  <c r="AJ136" i="10"/>
  <c r="AJ137" i="10"/>
  <c r="CI41" i="10"/>
  <c r="EG137" i="10"/>
  <c r="BO111" i="10"/>
  <c r="AE216" i="10"/>
  <c r="AE221" i="10"/>
  <c r="GN149" i="10"/>
  <c r="CI42" i="10"/>
  <c r="DM53" i="10"/>
  <c r="DM54" i="10"/>
  <c r="CI40" i="10"/>
  <c r="DM52" i="10"/>
  <c r="AF8" i="10"/>
  <c r="AJ53" i="10"/>
  <c r="AJ54" i="10"/>
  <c r="AJ42" i="10"/>
  <c r="AJ57" i="10"/>
  <c r="AJ47" i="10"/>
  <c r="CJ42" i="10" s="1"/>
  <c r="AJ59" i="10"/>
  <c r="AJ45" i="10"/>
  <c r="AJ52" i="10"/>
  <c r="AJ40" i="10"/>
  <c r="AJ58" i="10"/>
  <c r="AJ41" i="10"/>
  <c r="AJ46" i="10"/>
  <c r="GO147" i="10" l="1"/>
  <c r="CJ123" i="10"/>
  <c r="BP109" i="10"/>
  <c r="BP110" i="10"/>
  <c r="CJ124" i="10"/>
  <c r="BP111" i="10"/>
  <c r="GO149" i="10"/>
  <c r="EH136" i="10"/>
  <c r="EH135" i="10"/>
  <c r="GO148" i="10"/>
  <c r="AF221" i="10"/>
  <c r="AF216" i="10"/>
  <c r="EH137" i="10"/>
  <c r="AG103" i="10"/>
  <c r="AF217" i="10"/>
  <c r="AF222" i="10"/>
  <c r="AF207" i="10"/>
  <c r="AF212" i="10"/>
  <c r="AK109" i="10"/>
  <c r="AK149" i="10"/>
  <c r="AK153" i="10"/>
  <c r="AK147" i="10"/>
  <c r="AK152" i="10"/>
  <c r="AK110" i="10"/>
  <c r="AK154" i="10"/>
  <c r="AK148" i="10"/>
  <c r="AK136" i="10"/>
  <c r="AK141" i="10"/>
  <c r="AK116" i="10"/>
  <c r="AK114" i="10"/>
  <c r="AK142" i="10"/>
  <c r="AK124" i="10"/>
  <c r="AK140" i="10"/>
  <c r="AK128" i="10"/>
  <c r="AK123" i="10"/>
  <c r="AK137" i="10"/>
  <c r="AK111" i="10"/>
  <c r="AK129" i="10"/>
  <c r="AK127" i="10"/>
  <c r="AK135" i="10"/>
  <c r="AK122" i="10"/>
  <c r="AK115" i="10"/>
  <c r="DN53" i="10"/>
  <c r="AG8" i="10"/>
  <c r="AK42" i="10"/>
  <c r="AK58" i="10"/>
  <c r="AK40" i="10"/>
  <c r="AK54" i="10"/>
  <c r="AK41" i="10"/>
  <c r="AK45" i="10"/>
  <c r="AK57" i="10"/>
  <c r="AK59" i="10"/>
  <c r="AK52" i="10"/>
  <c r="AK46" i="10"/>
  <c r="AK47" i="10"/>
  <c r="AK53" i="10"/>
  <c r="CJ40" i="10"/>
  <c r="DN54" i="10"/>
  <c r="CJ41" i="10"/>
  <c r="DN52" i="10"/>
  <c r="EI135" i="10" l="1"/>
  <c r="BQ110" i="10"/>
  <c r="GP149" i="10"/>
  <c r="CK124" i="10"/>
  <c r="BQ109" i="10"/>
  <c r="BQ111" i="10"/>
  <c r="GP148" i="10"/>
  <c r="AG221" i="10"/>
  <c r="AG216" i="10"/>
  <c r="EI136" i="10"/>
  <c r="CK123" i="10"/>
  <c r="AH103" i="10"/>
  <c r="AG212" i="10"/>
  <c r="AG222" i="10"/>
  <c r="AG217" i="10"/>
  <c r="AL142" i="10"/>
  <c r="AL152" i="10"/>
  <c r="AL149" i="10"/>
  <c r="AL154" i="10"/>
  <c r="AL136" i="10"/>
  <c r="AL127" i="10"/>
  <c r="AL122" i="10"/>
  <c r="AL128" i="10"/>
  <c r="AL135" i="10"/>
  <c r="AL141" i="10"/>
  <c r="AL123" i="10"/>
  <c r="AL140" i="10"/>
  <c r="AL137" i="10"/>
  <c r="AL124" i="10"/>
  <c r="AL147" i="10"/>
  <c r="AL148" i="10"/>
  <c r="AL153" i="10"/>
  <c r="AL129" i="10"/>
  <c r="CK42" i="10"/>
  <c r="CK122" i="10"/>
  <c r="EI137" i="10"/>
  <c r="GP147" i="10"/>
  <c r="DO54" i="10"/>
  <c r="CK41" i="10"/>
  <c r="DO53" i="10"/>
  <c r="AH8" i="10"/>
  <c r="AL54" i="10"/>
  <c r="AL47" i="10"/>
  <c r="AL53" i="10"/>
  <c r="AL46" i="10"/>
  <c r="AL40" i="10"/>
  <c r="AL42" i="10"/>
  <c r="AL58" i="10"/>
  <c r="AL59" i="10"/>
  <c r="AL45" i="10"/>
  <c r="AL52" i="10"/>
  <c r="AL57" i="10"/>
  <c r="AL41" i="10"/>
  <c r="DO52" i="10"/>
  <c r="CK40" i="10"/>
  <c r="CL123" i="10" l="1"/>
  <c r="GQ149" i="10"/>
  <c r="EJ135" i="10"/>
  <c r="CL122" i="10"/>
  <c r="AI103" i="10"/>
  <c r="AH212" i="10"/>
  <c r="AH217" i="10"/>
  <c r="AH222" i="10"/>
  <c r="AM154" i="10"/>
  <c r="AM141" i="10"/>
  <c r="AM149" i="10"/>
  <c r="AM153" i="10"/>
  <c r="AM147" i="10"/>
  <c r="AM148" i="10"/>
  <c r="AM137" i="10"/>
  <c r="AM135" i="10"/>
  <c r="AM140" i="10"/>
  <c r="AM124" i="10"/>
  <c r="AM128" i="10"/>
  <c r="AM127" i="10"/>
  <c r="AM136" i="10"/>
  <c r="AM122" i="10"/>
  <c r="AM152" i="10"/>
  <c r="AM142" i="10"/>
  <c r="AM129" i="10"/>
  <c r="AM123" i="10"/>
  <c r="CL42" i="10"/>
  <c r="AH221" i="10"/>
  <c r="AH216" i="10"/>
  <c r="CL124" i="10"/>
  <c r="EJ136" i="10"/>
  <c r="GQ147" i="10"/>
  <c r="GQ148" i="10"/>
  <c r="EJ137" i="10"/>
  <c r="DP54" i="10"/>
  <c r="CL41" i="10"/>
  <c r="DP52" i="10"/>
  <c r="CL40" i="10"/>
  <c r="AI8" i="10"/>
  <c r="AM41" i="10"/>
  <c r="AM58" i="10"/>
  <c r="AM53" i="10"/>
  <c r="AM57" i="10"/>
  <c r="AM59" i="10"/>
  <c r="AM54" i="10"/>
  <c r="AM40" i="10"/>
  <c r="AM45" i="10"/>
  <c r="AM42" i="10"/>
  <c r="AM52" i="10"/>
  <c r="AM46" i="10"/>
  <c r="AM47" i="10"/>
  <c r="DP53" i="10"/>
  <c r="GR147" i="10" l="1"/>
  <c r="EK136" i="10"/>
  <c r="EK135" i="10"/>
  <c r="EK137" i="10"/>
  <c r="CM122" i="10"/>
  <c r="GR148" i="10"/>
  <c r="DQ52" i="10"/>
  <c r="CM123" i="10"/>
  <c r="GR149" i="10"/>
  <c r="CM124" i="10"/>
  <c r="AI221" i="10"/>
  <c r="AI216" i="10"/>
  <c r="AJ103" i="10"/>
  <c r="AI212" i="10"/>
  <c r="AI217" i="10"/>
  <c r="AI222" i="10"/>
  <c r="AN127" i="10"/>
  <c r="AN154" i="10"/>
  <c r="AN142" i="10"/>
  <c r="AN148" i="10"/>
  <c r="AN153" i="10"/>
  <c r="AN152" i="10"/>
  <c r="AN147" i="10"/>
  <c r="AN128" i="10"/>
  <c r="AN137" i="10"/>
  <c r="AN149" i="10"/>
  <c r="AN140" i="10"/>
  <c r="AN122" i="10"/>
  <c r="AN141" i="10"/>
  <c r="AN123" i="10"/>
  <c r="AN129" i="10"/>
  <c r="AN135" i="10"/>
  <c r="AN136" i="10"/>
  <c r="AN124" i="10"/>
  <c r="CM40" i="10"/>
  <c r="CM42" i="10"/>
  <c r="CM41" i="10"/>
  <c r="AJ8" i="10"/>
  <c r="AN45" i="10"/>
  <c r="AN40" i="10"/>
  <c r="AN59" i="10"/>
  <c r="AN57" i="10"/>
  <c r="AN53" i="10"/>
  <c r="AN54" i="10"/>
  <c r="AN42" i="10"/>
  <c r="AN46" i="10"/>
  <c r="AN52" i="10"/>
  <c r="AN58" i="10"/>
  <c r="AN41" i="10"/>
  <c r="AN47" i="10"/>
  <c r="DQ53" i="10"/>
  <c r="DQ54" i="10"/>
  <c r="CN123" i="10" l="1"/>
  <c r="GS148" i="10"/>
  <c r="EL136" i="10"/>
  <c r="EL137" i="10"/>
  <c r="CN124" i="10"/>
  <c r="AJ221" i="10"/>
  <c r="AJ216" i="10"/>
  <c r="GS147" i="10"/>
  <c r="AK103" i="10"/>
  <c r="AJ222" i="10"/>
  <c r="AJ212" i="10"/>
  <c r="AJ217" i="10"/>
  <c r="AO141" i="10"/>
  <c r="AO153" i="10"/>
  <c r="AO147" i="10"/>
  <c r="AO142" i="10"/>
  <c r="AO149" i="10"/>
  <c r="AO123" i="10"/>
  <c r="AO152" i="10"/>
  <c r="AO122" i="10"/>
  <c r="AO128" i="10"/>
  <c r="AO135" i="10"/>
  <c r="AO148" i="10"/>
  <c r="AO124" i="10"/>
  <c r="AO129" i="10"/>
  <c r="AO136" i="10"/>
  <c r="AO140" i="10"/>
  <c r="AO127" i="10"/>
  <c r="AO154" i="10"/>
  <c r="AO137" i="10"/>
  <c r="EL135" i="10"/>
  <c r="GS149" i="10"/>
  <c r="CN122" i="10"/>
  <c r="DR52" i="10"/>
  <c r="DR53" i="10"/>
  <c r="CN42" i="10"/>
  <c r="DR54" i="10"/>
  <c r="CN40" i="10"/>
  <c r="CN41" i="10"/>
  <c r="AK8" i="10"/>
  <c r="AO45" i="10"/>
  <c r="AO54" i="10"/>
  <c r="AO59" i="10"/>
  <c r="AO53" i="10"/>
  <c r="AO40" i="10"/>
  <c r="AO52" i="10"/>
  <c r="AO47" i="10"/>
  <c r="AO57" i="10"/>
  <c r="AO46" i="10"/>
  <c r="AO41" i="10"/>
  <c r="AO42" i="10"/>
  <c r="AO58" i="10"/>
  <c r="CO122" i="10" l="1"/>
  <c r="GT149" i="10"/>
  <c r="CO123" i="10"/>
  <c r="EM136" i="10"/>
  <c r="EM135" i="10"/>
  <c r="GT147" i="10"/>
  <c r="EM137" i="10"/>
  <c r="CO124" i="10"/>
  <c r="AL103" i="10"/>
  <c r="AK222" i="10"/>
  <c r="AK217" i="10"/>
  <c r="AK212" i="10"/>
  <c r="AP136" i="10"/>
  <c r="AP148" i="10"/>
  <c r="AP153" i="10"/>
  <c r="AP124" i="10"/>
  <c r="AP152" i="10"/>
  <c r="AP149" i="10"/>
  <c r="AP141" i="10"/>
  <c r="AP147" i="10"/>
  <c r="AP142" i="10"/>
  <c r="AP137" i="10"/>
  <c r="AP135" i="10"/>
  <c r="AP129" i="10"/>
  <c r="AP122" i="10"/>
  <c r="AP154" i="10"/>
  <c r="AP123" i="10"/>
  <c r="AP128" i="10"/>
  <c r="AP127" i="10"/>
  <c r="AP140" i="10"/>
  <c r="AK221" i="10"/>
  <c r="AK216" i="10"/>
  <c r="GT148" i="10"/>
  <c r="DS54" i="10"/>
  <c r="DS52" i="10"/>
  <c r="CO42" i="10"/>
  <c r="DS53" i="10"/>
  <c r="CO41" i="10"/>
  <c r="AL8" i="10"/>
  <c r="AP53" i="10"/>
  <c r="AP57" i="10"/>
  <c r="AP45" i="10"/>
  <c r="AP54" i="10"/>
  <c r="AP59" i="10"/>
  <c r="AP47" i="10"/>
  <c r="AP41" i="10"/>
  <c r="AP46" i="10"/>
  <c r="AP52" i="10"/>
  <c r="AP58" i="10"/>
  <c r="AP40" i="10"/>
  <c r="AP42" i="10"/>
  <c r="CO40" i="10"/>
  <c r="GU149" i="10" l="1"/>
  <c r="CP123" i="10"/>
  <c r="CP122" i="10"/>
  <c r="EN137" i="10"/>
  <c r="GU148" i="10"/>
  <c r="EN135" i="10"/>
  <c r="EN136" i="10"/>
  <c r="AL216" i="10"/>
  <c r="AL221" i="10"/>
  <c r="GU147" i="10"/>
  <c r="AM103" i="10"/>
  <c r="AL222" i="10"/>
  <c r="AL212" i="10"/>
  <c r="AL217" i="10"/>
  <c r="AQ149" i="10"/>
  <c r="AQ141" i="10"/>
  <c r="AQ147" i="10"/>
  <c r="AQ152" i="10"/>
  <c r="AQ153" i="10"/>
  <c r="AQ148" i="10"/>
  <c r="AQ136" i="10"/>
  <c r="AQ129" i="10"/>
  <c r="AQ122" i="10"/>
  <c r="AQ123" i="10"/>
  <c r="AQ154" i="10"/>
  <c r="AQ135" i="10"/>
  <c r="AQ127" i="10"/>
  <c r="AQ128" i="10"/>
  <c r="AQ137" i="10"/>
  <c r="AQ140" i="10"/>
  <c r="AQ142" i="10"/>
  <c r="AQ124" i="10"/>
  <c r="CP124" i="10"/>
  <c r="CP42" i="10"/>
  <c r="DT53" i="10"/>
  <c r="DT52" i="10"/>
  <c r="DT54" i="10"/>
  <c r="CP40" i="10"/>
  <c r="CP41" i="10"/>
  <c r="AM8" i="10"/>
  <c r="AQ42" i="10"/>
  <c r="AQ46" i="10"/>
  <c r="AQ52" i="10"/>
  <c r="AQ47" i="10"/>
  <c r="AQ58" i="10"/>
  <c r="AQ59" i="10"/>
  <c r="AQ57" i="10"/>
  <c r="AQ41" i="10"/>
  <c r="AQ53" i="10"/>
  <c r="AQ40" i="10"/>
  <c r="AQ45" i="10"/>
  <c r="AQ54" i="10"/>
  <c r="GV149" i="10" l="1"/>
  <c r="CQ122" i="10"/>
  <c r="GV147" i="10"/>
  <c r="CQ123" i="10"/>
  <c r="GV148" i="10"/>
  <c r="AN103" i="10"/>
  <c r="AM217" i="10"/>
  <c r="AM222" i="10"/>
  <c r="AM212" i="10"/>
  <c r="AR154" i="10"/>
  <c r="AR152" i="10"/>
  <c r="AR148" i="10"/>
  <c r="AR153" i="10"/>
  <c r="AR147" i="10"/>
  <c r="AR137" i="10"/>
  <c r="AR136" i="10"/>
  <c r="AR129" i="10"/>
  <c r="AR122" i="10"/>
  <c r="AR149" i="10"/>
  <c r="AR140" i="10"/>
  <c r="AR124" i="10"/>
  <c r="AR141" i="10"/>
  <c r="AR123" i="10"/>
  <c r="AR135" i="10"/>
  <c r="AR127" i="10"/>
  <c r="AR128" i="10"/>
  <c r="AR142" i="10"/>
  <c r="EO136" i="10"/>
  <c r="EO137" i="10"/>
  <c r="AM216" i="10"/>
  <c r="AM221" i="10"/>
  <c r="EO135" i="10"/>
  <c r="CQ124" i="10"/>
  <c r="DU52" i="10"/>
  <c r="DU54" i="10"/>
  <c r="DU53" i="10"/>
  <c r="CQ41" i="10"/>
  <c r="AN8" i="10"/>
  <c r="AR40" i="10"/>
  <c r="AR57" i="10"/>
  <c r="AR41" i="10"/>
  <c r="AR45" i="10"/>
  <c r="AR54" i="10"/>
  <c r="AR47" i="10"/>
  <c r="AR46" i="10"/>
  <c r="AR59" i="10"/>
  <c r="AR58" i="10"/>
  <c r="AR53" i="10"/>
  <c r="AR52" i="10"/>
  <c r="AR42" i="10"/>
  <c r="CQ42" i="10"/>
  <c r="CQ40" i="10"/>
  <c r="CR123" i="10" l="1"/>
  <c r="CR122" i="10"/>
  <c r="EP136" i="10"/>
  <c r="EP135" i="10"/>
  <c r="EP137" i="10"/>
  <c r="GW149" i="10"/>
  <c r="CR124" i="10"/>
  <c r="AN221" i="10"/>
  <c r="AN216" i="10"/>
  <c r="GW147" i="10"/>
  <c r="AO103" i="10"/>
  <c r="AN212" i="10"/>
  <c r="AN217" i="10"/>
  <c r="AN222" i="10"/>
  <c r="AS140" i="10"/>
  <c r="AS153" i="10"/>
  <c r="AS147" i="10"/>
  <c r="AS149" i="10"/>
  <c r="AS136" i="10"/>
  <c r="AS152" i="10"/>
  <c r="AS141" i="10"/>
  <c r="AS148" i="10"/>
  <c r="AS124" i="10"/>
  <c r="AS154" i="10"/>
  <c r="AS135" i="10"/>
  <c r="AS128" i="10"/>
  <c r="AS123" i="10"/>
  <c r="AS137" i="10"/>
  <c r="AS122" i="10"/>
  <c r="AS127" i="10"/>
  <c r="AS142" i="10"/>
  <c r="AS129" i="10"/>
  <c r="GW148" i="10"/>
  <c r="DV54" i="10"/>
  <c r="CR40" i="10"/>
  <c r="DV52" i="10"/>
  <c r="DV53" i="10"/>
  <c r="AO8" i="10"/>
  <c r="AS53" i="10"/>
  <c r="AS45" i="10"/>
  <c r="AS42" i="10"/>
  <c r="AS58" i="10"/>
  <c r="AS40" i="10"/>
  <c r="AS47" i="10"/>
  <c r="AS54" i="10"/>
  <c r="AS41" i="10"/>
  <c r="AS46" i="10"/>
  <c r="AS57" i="10"/>
  <c r="AS59" i="10"/>
  <c r="AS52" i="10"/>
  <c r="CR41" i="10"/>
  <c r="CR42" i="10"/>
  <c r="EQ136" i="10" l="1"/>
  <c r="CS124" i="10"/>
  <c r="GX149" i="10"/>
  <c r="CS123" i="10"/>
  <c r="GX148" i="10"/>
  <c r="GX147" i="10"/>
  <c r="AP103" i="10"/>
  <c r="AO212" i="10"/>
  <c r="AO217" i="10"/>
  <c r="AO222" i="10"/>
  <c r="AT148" i="10"/>
  <c r="AT154" i="10"/>
  <c r="AT147" i="10"/>
  <c r="AT122" i="10"/>
  <c r="AT153" i="10"/>
  <c r="AT149" i="10"/>
  <c r="AT136" i="10"/>
  <c r="AT129" i="10"/>
  <c r="AT152" i="10"/>
  <c r="AT128" i="10"/>
  <c r="AT142" i="10"/>
  <c r="AT135" i="10"/>
  <c r="AT141" i="10"/>
  <c r="AT123" i="10"/>
  <c r="AT127" i="10"/>
  <c r="AT140" i="10"/>
  <c r="AT137" i="10"/>
  <c r="AT124" i="10"/>
  <c r="EQ137" i="10"/>
  <c r="EQ135" i="10"/>
  <c r="AO221" i="10"/>
  <c r="AO216" i="10"/>
  <c r="CS122" i="10"/>
  <c r="DW54" i="10"/>
  <c r="CS40" i="10"/>
  <c r="DW53" i="10"/>
  <c r="DW52" i="10"/>
  <c r="CS41" i="10"/>
  <c r="AP8" i="10"/>
  <c r="AT59" i="10"/>
  <c r="AT42" i="10"/>
  <c r="AT40" i="10"/>
  <c r="AT47" i="10"/>
  <c r="AT58" i="10"/>
  <c r="AT54" i="10"/>
  <c r="AT53" i="10"/>
  <c r="AT52" i="10"/>
  <c r="AT45" i="10"/>
  <c r="AT41" i="10"/>
  <c r="AT46" i="10"/>
  <c r="AT57" i="10"/>
  <c r="CS42" i="10"/>
  <c r="CT123" i="10" l="1"/>
  <c r="GY149" i="10"/>
  <c r="CT122" i="10"/>
  <c r="ER137" i="10"/>
  <c r="GY147" i="10"/>
  <c r="ER135" i="10"/>
  <c r="CT124" i="10"/>
  <c r="AP221" i="10"/>
  <c r="AP216" i="10"/>
  <c r="ER136" i="10"/>
  <c r="GY148" i="10"/>
  <c r="AQ103" i="10"/>
  <c r="AP212" i="10"/>
  <c r="AP222" i="10"/>
  <c r="AP217" i="10"/>
  <c r="AU148" i="10"/>
  <c r="AU141" i="10"/>
  <c r="AU154" i="10"/>
  <c r="AU152" i="10"/>
  <c r="AU153" i="10"/>
  <c r="AU149" i="10"/>
  <c r="AU137" i="10"/>
  <c r="AU123" i="10"/>
  <c r="AU122" i="10"/>
  <c r="AU129" i="10"/>
  <c r="AU147" i="10"/>
  <c r="AU142" i="10"/>
  <c r="AU140" i="10"/>
  <c r="AU127" i="10"/>
  <c r="AU136" i="10"/>
  <c r="AU135" i="10"/>
  <c r="AU124" i="10"/>
  <c r="AU128" i="10"/>
  <c r="DX52" i="10"/>
  <c r="CT41" i="10"/>
  <c r="DX54" i="10"/>
  <c r="CT42" i="10"/>
  <c r="CT40" i="10"/>
  <c r="AQ8" i="10"/>
  <c r="AU40" i="10"/>
  <c r="AU47" i="10"/>
  <c r="AU53" i="10"/>
  <c r="AU59" i="10"/>
  <c r="AU54" i="10"/>
  <c r="AU57" i="10"/>
  <c r="AU58" i="10"/>
  <c r="AU42" i="10"/>
  <c r="AU45" i="10"/>
  <c r="AU41" i="10"/>
  <c r="AU52" i="10"/>
  <c r="AU46" i="10"/>
  <c r="DX53" i="10"/>
  <c r="CU123" i="10" l="1"/>
  <c r="GZ149" i="10"/>
  <c r="GZ148" i="10"/>
  <c r="CU40" i="10"/>
  <c r="ES135" i="10"/>
  <c r="ES137" i="10"/>
  <c r="GZ147" i="10"/>
  <c r="CU124" i="10"/>
  <c r="ES136" i="10"/>
  <c r="AR103" i="10"/>
  <c r="AQ217" i="10"/>
  <c r="AQ212" i="10"/>
  <c r="AQ222" i="10"/>
  <c r="AV147" i="10"/>
  <c r="AV152" i="10"/>
  <c r="AV154" i="10"/>
  <c r="AV149" i="10"/>
  <c r="AV127" i="10"/>
  <c r="AV136" i="10"/>
  <c r="AV148" i="10"/>
  <c r="AV128" i="10"/>
  <c r="AV153" i="10"/>
  <c r="HA148" i="10" s="1"/>
  <c r="AV141" i="10"/>
  <c r="AV137" i="10"/>
  <c r="AV135" i="10"/>
  <c r="AV123" i="10"/>
  <c r="AV122" i="10"/>
  <c r="AV124" i="10"/>
  <c r="AV142" i="10"/>
  <c r="AV129" i="10"/>
  <c r="AV140" i="10"/>
  <c r="AQ221" i="10"/>
  <c r="AQ216" i="10"/>
  <c r="CU122" i="10"/>
  <c r="CU42" i="10"/>
  <c r="DY52" i="10"/>
  <c r="CU41" i="10"/>
  <c r="DY54" i="10"/>
  <c r="AR8" i="10"/>
  <c r="AV58" i="10"/>
  <c r="AV59" i="10"/>
  <c r="AV57" i="10"/>
  <c r="AV45" i="10"/>
  <c r="AV40" i="10"/>
  <c r="AV46" i="10"/>
  <c r="AV53" i="10"/>
  <c r="AV41" i="10"/>
  <c r="AV54" i="10"/>
  <c r="AV42" i="10"/>
  <c r="AV52" i="10"/>
  <c r="AV47" i="10"/>
  <c r="DY53" i="10"/>
  <c r="CV124" i="10" l="1"/>
  <c r="ET135" i="10"/>
  <c r="ET137" i="10"/>
  <c r="CV123" i="10"/>
  <c r="CV122" i="10"/>
  <c r="AS103" i="10"/>
  <c r="AR222" i="10"/>
  <c r="AR212" i="10"/>
  <c r="AR217" i="10"/>
  <c r="AW154" i="10"/>
  <c r="AW149" i="10"/>
  <c r="AW153" i="10"/>
  <c r="AW152" i="10"/>
  <c r="AW142" i="10"/>
  <c r="AW137" i="10"/>
  <c r="AW124" i="10"/>
  <c r="AW128" i="10"/>
  <c r="AW135" i="10"/>
  <c r="AW147" i="10"/>
  <c r="AW148" i="10"/>
  <c r="AW129" i="10"/>
  <c r="AW123" i="10"/>
  <c r="AW136" i="10"/>
  <c r="AW140" i="10"/>
  <c r="AW127" i="10"/>
  <c r="AW122" i="10"/>
  <c r="AW141" i="10"/>
  <c r="HA149" i="10"/>
  <c r="AR221" i="10"/>
  <c r="AR216" i="10"/>
  <c r="ET136" i="10"/>
  <c r="HA147" i="10"/>
  <c r="CV42" i="10"/>
  <c r="CV40" i="10"/>
  <c r="DZ52" i="10"/>
  <c r="DZ54" i="10"/>
  <c r="DZ53" i="10"/>
  <c r="AS8" i="10"/>
  <c r="AW52" i="10"/>
  <c r="AW45" i="10"/>
  <c r="AW47" i="10"/>
  <c r="AW53" i="10"/>
  <c r="AW42" i="10"/>
  <c r="AW57" i="10"/>
  <c r="AW59" i="10"/>
  <c r="AW54" i="10"/>
  <c r="AW40" i="10"/>
  <c r="AW41" i="10"/>
  <c r="AW46" i="10"/>
  <c r="AW58" i="10"/>
  <c r="EA53" i="10" s="1"/>
  <c r="CV41" i="10"/>
  <c r="CW123" i="10" l="1"/>
  <c r="EU136" i="10"/>
  <c r="EU137" i="10"/>
  <c r="EU135" i="10"/>
  <c r="HB149" i="10"/>
  <c r="AT103" i="10"/>
  <c r="AS222" i="10"/>
  <c r="AS217" i="10"/>
  <c r="AS212" i="10"/>
  <c r="AX142" i="10"/>
  <c r="AX135" i="10"/>
  <c r="AX148" i="10"/>
  <c r="AX153" i="10"/>
  <c r="AX152" i="10"/>
  <c r="AX127" i="10"/>
  <c r="AX128" i="10"/>
  <c r="AX149" i="10"/>
  <c r="AX136" i="10"/>
  <c r="AX137" i="10"/>
  <c r="AX122" i="10"/>
  <c r="AX123" i="10"/>
  <c r="AX154" i="10"/>
  <c r="AX141" i="10"/>
  <c r="AX140" i="10"/>
  <c r="AX124" i="10"/>
  <c r="AX147" i="10"/>
  <c r="AX129" i="10"/>
  <c r="HB148" i="10"/>
  <c r="CW122" i="10"/>
  <c r="AS221" i="10"/>
  <c r="AS216" i="10"/>
  <c r="CW124" i="10"/>
  <c r="HB147" i="10"/>
  <c r="EA52" i="10"/>
  <c r="CW40" i="10"/>
  <c r="EA54" i="10"/>
  <c r="AT8" i="10"/>
  <c r="AX52" i="10"/>
  <c r="AX40" i="10"/>
  <c r="AX45" i="10"/>
  <c r="AX53" i="10"/>
  <c r="AX57" i="10"/>
  <c r="AX42" i="10"/>
  <c r="AX58" i="10"/>
  <c r="AX59" i="10"/>
  <c r="AX54" i="10"/>
  <c r="AX41" i="10"/>
  <c r="AX47" i="10"/>
  <c r="AX46" i="10"/>
  <c r="CW41" i="10"/>
  <c r="CW42" i="10"/>
  <c r="CX122" i="10" l="1"/>
  <c r="CX123" i="10"/>
  <c r="CX124" i="10"/>
  <c r="HC149" i="10"/>
  <c r="HC148" i="10"/>
  <c r="EV137" i="10"/>
  <c r="EV135" i="10"/>
  <c r="EV136" i="10"/>
  <c r="HC147" i="10"/>
  <c r="AU103" i="10"/>
  <c r="AT212" i="10"/>
  <c r="AT222" i="10"/>
  <c r="AT217" i="10"/>
  <c r="AY154" i="10"/>
  <c r="AY149" i="10"/>
  <c r="AY141" i="10"/>
  <c r="AY147" i="10"/>
  <c r="AY152" i="10"/>
  <c r="AY153" i="10"/>
  <c r="AY148" i="10"/>
  <c r="AY129" i="10"/>
  <c r="AY140" i="10"/>
  <c r="AY123" i="10"/>
  <c r="AY137" i="10"/>
  <c r="AY124" i="10"/>
  <c r="AY142" i="10"/>
  <c r="AY135" i="10"/>
  <c r="AY127" i="10"/>
  <c r="AY128" i="10"/>
  <c r="AY136" i="10"/>
  <c r="AY122" i="10"/>
  <c r="AT216" i="10"/>
  <c r="AT221" i="10"/>
  <c r="CX41" i="10"/>
  <c r="CX42" i="10"/>
  <c r="CX40" i="10"/>
  <c r="EB54" i="10"/>
  <c r="AU8" i="10"/>
  <c r="AY52" i="10"/>
  <c r="AY47" i="10"/>
  <c r="AY40" i="10"/>
  <c r="AY45" i="10"/>
  <c r="CY40" i="10" s="1"/>
  <c r="AY46" i="10"/>
  <c r="AY42" i="10"/>
  <c r="AY53" i="10"/>
  <c r="AY57" i="10"/>
  <c r="AY58" i="10"/>
  <c r="AY59" i="10"/>
  <c r="AY41" i="10"/>
  <c r="AY54" i="10"/>
  <c r="EB53" i="10"/>
  <c r="EB52" i="10"/>
  <c r="EW136" i="10" l="1"/>
  <c r="HD147" i="10"/>
  <c r="EW137" i="10"/>
  <c r="CY123" i="10"/>
  <c r="CY124" i="10"/>
  <c r="CY122" i="10"/>
  <c r="HD148" i="10"/>
  <c r="AV103" i="10"/>
  <c r="AU217" i="10"/>
  <c r="AU212" i="10"/>
  <c r="AU222" i="10"/>
  <c r="AZ149" i="10"/>
  <c r="AZ141" i="10"/>
  <c r="AZ154" i="10"/>
  <c r="AZ152" i="10"/>
  <c r="AZ148" i="10"/>
  <c r="AZ153" i="10"/>
  <c r="AZ147" i="10"/>
  <c r="AZ142" i="10"/>
  <c r="AZ122" i="10"/>
  <c r="AZ129" i="10"/>
  <c r="AZ140" i="10"/>
  <c r="AZ124" i="10"/>
  <c r="AZ136" i="10"/>
  <c r="AZ127" i="10"/>
  <c r="AZ135" i="10"/>
  <c r="AZ123" i="10"/>
  <c r="AZ137" i="10"/>
  <c r="AZ128" i="10"/>
  <c r="AU216" i="10"/>
  <c r="AU221" i="10"/>
  <c r="EW135" i="10"/>
  <c r="HD149" i="10"/>
  <c r="EC52" i="10"/>
  <c r="EC53" i="10"/>
  <c r="CY41" i="10"/>
  <c r="EC54" i="10"/>
  <c r="CY42" i="10"/>
  <c r="AV8" i="10"/>
  <c r="AZ57" i="10"/>
  <c r="AZ46" i="10"/>
  <c r="CZ41" i="10" s="1"/>
  <c r="AZ54" i="10"/>
  <c r="AZ59" i="10"/>
  <c r="AZ53" i="10"/>
  <c r="AZ40" i="10"/>
  <c r="AZ42" i="10"/>
  <c r="AZ41" i="10"/>
  <c r="AZ47" i="10"/>
  <c r="AZ45" i="10"/>
  <c r="AZ52" i="10"/>
  <c r="AZ58" i="10"/>
  <c r="CZ123" i="10" l="1"/>
  <c r="CZ124" i="10"/>
  <c r="EX136" i="10"/>
  <c r="EX135" i="10"/>
  <c r="HE149" i="10"/>
  <c r="EX137" i="10"/>
  <c r="CZ122" i="10"/>
  <c r="HE148" i="10"/>
  <c r="AW103" i="10"/>
  <c r="AV217" i="10"/>
  <c r="AV212" i="10"/>
  <c r="AV222" i="10"/>
  <c r="BA142" i="10"/>
  <c r="BA140" i="10"/>
  <c r="BA153" i="10"/>
  <c r="BA152" i="10"/>
  <c r="BA147" i="10"/>
  <c r="BA136" i="10"/>
  <c r="BA129" i="10"/>
  <c r="BA127" i="10"/>
  <c r="BA141" i="10"/>
  <c r="BA149" i="10"/>
  <c r="BA122" i="10"/>
  <c r="BA154" i="10"/>
  <c r="BA135" i="10"/>
  <c r="BA148" i="10"/>
  <c r="BA128" i="10"/>
  <c r="BA123" i="10"/>
  <c r="BA137" i="10"/>
  <c r="BA124" i="10"/>
  <c r="CZ40" i="10"/>
  <c r="AV221" i="10"/>
  <c r="AV216" i="10"/>
  <c r="HE147" i="10"/>
  <c r="ED54" i="10"/>
  <c r="CZ42" i="10"/>
  <c r="ED53" i="10"/>
  <c r="ED52" i="10"/>
  <c r="AW8" i="10"/>
  <c r="BA45" i="10"/>
  <c r="BA53" i="10"/>
  <c r="BA58" i="10"/>
  <c r="BA47" i="10"/>
  <c r="BA40" i="10"/>
  <c r="BA46" i="10"/>
  <c r="BA54" i="10"/>
  <c r="BA41" i="10"/>
  <c r="BA59" i="10"/>
  <c r="BA52" i="10"/>
  <c r="BA42" i="10"/>
  <c r="BA57" i="10"/>
  <c r="HF149" i="10" l="1"/>
  <c r="EE53" i="10"/>
  <c r="EY136" i="10"/>
  <c r="EY137" i="10"/>
  <c r="DA122" i="10"/>
  <c r="DA124" i="10"/>
  <c r="DA123" i="10"/>
  <c r="AX103" i="10"/>
  <c r="AW217" i="10"/>
  <c r="AW222" i="10"/>
  <c r="AW212" i="10"/>
  <c r="BB141" i="10"/>
  <c r="BB148" i="10"/>
  <c r="BB154" i="10"/>
  <c r="BB149" i="10"/>
  <c r="BB140" i="10"/>
  <c r="BB137" i="10"/>
  <c r="BB122" i="10"/>
  <c r="BB142" i="10"/>
  <c r="BB153" i="10"/>
  <c r="BB129" i="10"/>
  <c r="BB136" i="10"/>
  <c r="BB124" i="10"/>
  <c r="BB127" i="10"/>
  <c r="BB152" i="10"/>
  <c r="BB135" i="10"/>
  <c r="BB123" i="10"/>
  <c r="BB147" i="10"/>
  <c r="BB128" i="10"/>
  <c r="DB123" i="10" s="1"/>
  <c r="HF147" i="10"/>
  <c r="AW221" i="10"/>
  <c r="AW216" i="10"/>
  <c r="HF148" i="10"/>
  <c r="EY135" i="10"/>
  <c r="DA40" i="10"/>
  <c r="EE54" i="10"/>
  <c r="AX8" i="10"/>
  <c r="BB52" i="10"/>
  <c r="BB59" i="10"/>
  <c r="BB46" i="10"/>
  <c r="BB57" i="10"/>
  <c r="BB42" i="10"/>
  <c r="BB47" i="10"/>
  <c r="BB40" i="10"/>
  <c r="BB41" i="10"/>
  <c r="BB58" i="10"/>
  <c r="BB53" i="10"/>
  <c r="BB45" i="10"/>
  <c r="BB54" i="10"/>
  <c r="DA41" i="10"/>
  <c r="EE52" i="10"/>
  <c r="DA42" i="10"/>
  <c r="DB122" i="10" l="1"/>
  <c r="HG149" i="10"/>
  <c r="DB124" i="10"/>
  <c r="EZ137" i="10"/>
  <c r="HG148" i="10"/>
  <c r="AX221" i="10"/>
  <c r="AX216" i="10"/>
  <c r="HG147" i="10"/>
  <c r="EZ135" i="10"/>
  <c r="AY103" i="10"/>
  <c r="AX212" i="10"/>
  <c r="AX222" i="10"/>
  <c r="AX217" i="10"/>
  <c r="BC152" i="10"/>
  <c r="BC148" i="10"/>
  <c r="BC153" i="10"/>
  <c r="BC149" i="10"/>
  <c r="BC154" i="10"/>
  <c r="BC137" i="10"/>
  <c r="BC124" i="10"/>
  <c r="BC147" i="10"/>
  <c r="BC141" i="10"/>
  <c r="BC128" i="10"/>
  <c r="BC127" i="10"/>
  <c r="BC129" i="10"/>
  <c r="BC123" i="10"/>
  <c r="BC136" i="10"/>
  <c r="BC135" i="10"/>
  <c r="BC140" i="10"/>
  <c r="BC122" i="10"/>
  <c r="BC142" i="10"/>
  <c r="EZ136" i="10"/>
  <c r="DB40" i="10"/>
  <c r="DB42" i="10"/>
  <c r="EF52" i="10"/>
  <c r="EF53" i="10"/>
  <c r="DB41" i="10"/>
  <c r="EF54" i="10"/>
  <c r="AY8" i="10"/>
  <c r="BC53" i="10"/>
  <c r="BC41" i="10"/>
  <c r="BC59" i="10"/>
  <c r="EG54" i="10" s="1"/>
  <c r="BC57" i="10"/>
  <c r="BC58" i="10"/>
  <c r="BC54" i="10"/>
  <c r="BC46" i="10"/>
  <c r="BC47" i="10"/>
  <c r="BC42" i="10"/>
  <c r="BC40" i="10"/>
  <c r="BC45" i="10"/>
  <c r="BC52" i="10"/>
  <c r="DC122" i="10" l="1"/>
  <c r="HH148" i="10"/>
  <c r="HH149" i="10"/>
  <c r="AZ103" i="10"/>
  <c r="AY217" i="10"/>
  <c r="AY222" i="10"/>
  <c r="AY212" i="10"/>
  <c r="BD152" i="10"/>
  <c r="BD140" i="10"/>
  <c r="BD147" i="10"/>
  <c r="BD154" i="10"/>
  <c r="BD142" i="10"/>
  <c r="BD148" i="10"/>
  <c r="BD136" i="10"/>
  <c r="BD124" i="10"/>
  <c r="BD135" i="10"/>
  <c r="BD127" i="10"/>
  <c r="BD128" i="10"/>
  <c r="BD141" i="10"/>
  <c r="BD153" i="10"/>
  <c r="BD123" i="10"/>
  <c r="BD129" i="10"/>
  <c r="BD149" i="10"/>
  <c r="BD137" i="10"/>
  <c r="BD122" i="10"/>
  <c r="FA137" i="10"/>
  <c r="DC123" i="10"/>
  <c r="FA136" i="10"/>
  <c r="HH147" i="10"/>
  <c r="DC124" i="10"/>
  <c r="AY221" i="10"/>
  <c r="AY216" i="10"/>
  <c r="FA135" i="10"/>
  <c r="EG52" i="10"/>
  <c r="DC40" i="10"/>
  <c r="DC42" i="10"/>
  <c r="AZ8" i="10"/>
  <c r="BD47" i="10"/>
  <c r="BD52" i="10"/>
  <c r="BD58" i="10"/>
  <c r="BD53" i="10"/>
  <c r="BD46" i="10"/>
  <c r="BD41" i="10"/>
  <c r="BD59" i="10"/>
  <c r="BD57" i="10"/>
  <c r="BD54" i="10"/>
  <c r="BD45" i="10"/>
  <c r="BD40" i="10"/>
  <c r="BD42" i="10"/>
  <c r="DC41" i="10"/>
  <c r="EG53" i="10"/>
  <c r="FB135" i="10" l="1"/>
  <c r="DD123" i="10"/>
  <c r="DD122" i="10"/>
  <c r="HI147" i="10"/>
  <c r="DD124" i="10"/>
  <c r="FB137" i="10"/>
  <c r="BA103" i="10"/>
  <c r="AZ222" i="10"/>
  <c r="AZ212" i="10"/>
  <c r="AZ217" i="10"/>
  <c r="BE154" i="10"/>
  <c r="BE122" i="10"/>
  <c r="BE147" i="10"/>
  <c r="BE153" i="10"/>
  <c r="BE142" i="10"/>
  <c r="FC137" i="10" s="1"/>
  <c r="BE148" i="10"/>
  <c r="BE149" i="10"/>
  <c r="BE127" i="10"/>
  <c r="BE137" i="10"/>
  <c r="BE124" i="10"/>
  <c r="BE152" i="10"/>
  <c r="BE123" i="10"/>
  <c r="BE129" i="10"/>
  <c r="BE141" i="10"/>
  <c r="BE140" i="10"/>
  <c r="BE136" i="10"/>
  <c r="BE135" i="10"/>
  <c r="BE128" i="10"/>
  <c r="AZ221" i="10"/>
  <c r="AZ216" i="10"/>
  <c r="HI148" i="10"/>
  <c r="FB136" i="10"/>
  <c r="HI149" i="10"/>
  <c r="EH54" i="10"/>
  <c r="DD42" i="10"/>
  <c r="DD41" i="10"/>
  <c r="DD40" i="10"/>
  <c r="EH52" i="10"/>
  <c r="BA8" i="10"/>
  <c r="BA221" i="10" s="1"/>
  <c r="BE41" i="10"/>
  <c r="BE54" i="10"/>
  <c r="BE52" i="10"/>
  <c r="BE40" i="10"/>
  <c r="BE59" i="10"/>
  <c r="BE57" i="10"/>
  <c r="BE45" i="10"/>
  <c r="BE53" i="10"/>
  <c r="BE42" i="10"/>
  <c r="BE46" i="10"/>
  <c r="BE47" i="10"/>
  <c r="BE58" i="10"/>
  <c r="EH53" i="10"/>
  <c r="DE124" i="10" l="1"/>
  <c r="FC135" i="10"/>
  <c r="HJ148" i="10"/>
  <c r="HJ147" i="10"/>
  <c r="FC136" i="10"/>
  <c r="BB103" i="10"/>
  <c r="BA222" i="10"/>
  <c r="BA217" i="10"/>
  <c r="BF154" i="10"/>
  <c r="BF142" i="10"/>
  <c r="BF148" i="10"/>
  <c r="BF153" i="10"/>
  <c r="HK148" i="10" s="1"/>
  <c r="BF152" i="10"/>
  <c r="BF149" i="10"/>
  <c r="BF136" i="10"/>
  <c r="BF137" i="10"/>
  <c r="BF141" i="10"/>
  <c r="BF135" i="10"/>
  <c r="BF140" i="10"/>
  <c r="BF147" i="10"/>
  <c r="EI54" i="10"/>
  <c r="DE123" i="10"/>
  <c r="DE122" i="10"/>
  <c r="HJ149" i="10"/>
  <c r="EI53" i="10"/>
  <c r="CK9" i="10"/>
  <c r="DE41" i="10"/>
  <c r="CK10" i="10"/>
  <c r="DE42" i="10"/>
  <c r="BB8" i="10"/>
  <c r="BB221" i="10" s="1"/>
  <c r="BF59" i="10"/>
  <c r="BF52" i="10"/>
  <c r="BF53" i="10"/>
  <c r="BF57" i="10"/>
  <c r="BF54" i="10"/>
  <c r="BF58" i="10"/>
  <c r="CK8" i="10"/>
  <c r="DE40" i="10"/>
  <c r="EI52" i="10"/>
  <c r="FD136" i="10" l="1"/>
  <c r="HK149" i="10"/>
  <c r="FD135" i="10"/>
  <c r="FD137" i="10"/>
  <c r="BC103" i="10"/>
  <c r="BB222" i="10"/>
  <c r="BB217" i="10"/>
  <c r="BG154" i="10"/>
  <c r="BG149" i="10"/>
  <c r="BG141" i="10"/>
  <c r="BG147" i="10"/>
  <c r="BG152" i="10"/>
  <c r="BG153" i="10"/>
  <c r="BG136" i="10"/>
  <c r="BG140" i="10"/>
  <c r="BG137" i="10"/>
  <c r="BG148" i="10"/>
  <c r="BG135" i="10"/>
  <c r="BG142" i="10"/>
  <c r="HK147" i="10"/>
  <c r="EJ54" i="10"/>
  <c r="EJ53" i="10"/>
  <c r="BC8" i="10"/>
  <c r="BC221" i="10" s="1"/>
  <c r="BG58" i="10"/>
  <c r="BG53" i="10"/>
  <c r="BG59" i="10"/>
  <c r="BG57" i="10"/>
  <c r="BG54" i="10"/>
  <c r="BG52" i="10"/>
  <c r="EJ52" i="10"/>
  <c r="HL147" i="10" l="1"/>
  <c r="FE136" i="10"/>
  <c r="HL149" i="10"/>
  <c r="FE137" i="10"/>
  <c r="FE135" i="10"/>
  <c r="HL148" i="10"/>
  <c r="BD103" i="10"/>
  <c r="BC217" i="10"/>
  <c r="BC222" i="10"/>
  <c r="BH140" i="10"/>
  <c r="BH149" i="10"/>
  <c r="BH141" i="10"/>
  <c r="BH154" i="10"/>
  <c r="BH152" i="10"/>
  <c r="BH148" i="10"/>
  <c r="BH147" i="10"/>
  <c r="BH135" i="10"/>
  <c r="BH142" i="10"/>
  <c r="BH136" i="10"/>
  <c r="BH153" i="10"/>
  <c r="BH137" i="10"/>
  <c r="EK54" i="10"/>
  <c r="EK53" i="10"/>
  <c r="EK52" i="10"/>
  <c r="BD8" i="10"/>
  <c r="BD221" i="10" s="1"/>
  <c r="BH58" i="10"/>
  <c r="BH54" i="10"/>
  <c r="BH53" i="10"/>
  <c r="BH57" i="10"/>
  <c r="BH59" i="10"/>
  <c r="BH52" i="10"/>
  <c r="FF136" i="10" l="1"/>
  <c r="FF137" i="10"/>
  <c r="HM148" i="10"/>
  <c r="FF135" i="10"/>
  <c r="BE103" i="10"/>
  <c r="BD217" i="10"/>
  <c r="BD222" i="10"/>
  <c r="BI154" i="10"/>
  <c r="BI153" i="10"/>
  <c r="BI147" i="10"/>
  <c r="BI136" i="10"/>
  <c r="BI152" i="10"/>
  <c r="BI142" i="10"/>
  <c r="BI140" i="10"/>
  <c r="BI148" i="10"/>
  <c r="BI135" i="10"/>
  <c r="BI149" i="10"/>
  <c r="BI137" i="10"/>
  <c r="BI141" i="10"/>
  <c r="HM147" i="10"/>
  <c r="HM149" i="10"/>
  <c r="EL53" i="10"/>
  <c r="BE8" i="10"/>
  <c r="BE221" i="10" s="1"/>
  <c r="BI57" i="10"/>
  <c r="BI59" i="10"/>
  <c r="BI52" i="10"/>
  <c r="BI53" i="10"/>
  <c r="BI58" i="10"/>
  <c r="BI54" i="10"/>
  <c r="EL54" i="10"/>
  <c r="EL52" i="10"/>
  <c r="FG136" i="10" l="1"/>
  <c r="HN149" i="10"/>
  <c r="HN148" i="10"/>
  <c r="FG135" i="10"/>
  <c r="FG137" i="10"/>
  <c r="BF103" i="10"/>
  <c r="BE217" i="10"/>
  <c r="BE222" i="10"/>
  <c r="BJ152" i="10"/>
  <c r="BJ154" i="10"/>
  <c r="BJ148" i="10"/>
  <c r="BJ140" i="10"/>
  <c r="BJ137" i="10"/>
  <c r="BJ136" i="10"/>
  <c r="BJ153" i="10"/>
  <c r="HO148" i="10" s="1"/>
  <c r="BJ147" i="10"/>
  <c r="BJ135" i="10"/>
  <c r="BJ149" i="10"/>
  <c r="BJ141" i="10"/>
  <c r="BJ142" i="10"/>
  <c r="EM53" i="10"/>
  <c r="HN147" i="10"/>
  <c r="EM54" i="10"/>
  <c r="EM52" i="10"/>
  <c r="BF8" i="10"/>
  <c r="BF221" i="10" s="1"/>
  <c r="BJ52" i="10"/>
  <c r="BJ53" i="10"/>
  <c r="BJ54" i="10"/>
  <c r="BJ58" i="10"/>
  <c r="EN53" i="10" s="1"/>
  <c r="BJ57" i="10"/>
  <c r="BJ59" i="10"/>
  <c r="HO147" i="10" l="1"/>
  <c r="FH137" i="10"/>
  <c r="HO149" i="10"/>
  <c r="BG103" i="10"/>
  <c r="BF222" i="10"/>
  <c r="BF217" i="10"/>
  <c r="BK147" i="10"/>
  <c r="BK153" i="10"/>
  <c r="BK152" i="10"/>
  <c r="BK154" i="10"/>
  <c r="BK149" i="10"/>
  <c r="BK142" i="10"/>
  <c r="BK136" i="10"/>
  <c r="BK140" i="10"/>
  <c r="BK148" i="10"/>
  <c r="BK135" i="10"/>
  <c r="BK141" i="10"/>
  <c r="BK137" i="10"/>
  <c r="FH135" i="10"/>
  <c r="FH136" i="10"/>
  <c r="BG8" i="10"/>
  <c r="BG221" i="10" s="1"/>
  <c r="BK52" i="10"/>
  <c r="BK57" i="10"/>
  <c r="BK59" i="10"/>
  <c r="BK54" i="10"/>
  <c r="BK58" i="10"/>
  <c r="BK53" i="10"/>
  <c r="EN54" i="10"/>
  <c r="EN52" i="10"/>
  <c r="HP148" i="10" l="1"/>
  <c r="FI136" i="10"/>
  <c r="HP147" i="10"/>
  <c r="HP149" i="10"/>
  <c r="FI137" i="10"/>
  <c r="BH103" i="10"/>
  <c r="BG217" i="10"/>
  <c r="BG222" i="10"/>
  <c r="BL153" i="10"/>
  <c r="BL148" i="10"/>
  <c r="BL141" i="10"/>
  <c r="BL154" i="10"/>
  <c r="BL152" i="10"/>
  <c r="BL142" i="10"/>
  <c r="BL147" i="10"/>
  <c r="BL149" i="10"/>
  <c r="BL136" i="10"/>
  <c r="BL140" i="10"/>
  <c r="BL137" i="10"/>
  <c r="BL135" i="10"/>
  <c r="FI135" i="10"/>
  <c r="EO52" i="10"/>
  <c r="EO54" i="10"/>
  <c r="EO53" i="10"/>
  <c r="BH8" i="10"/>
  <c r="BH221" i="10" s="1"/>
  <c r="BL52" i="10"/>
  <c r="BL58" i="10"/>
  <c r="EP53" i="10" s="1"/>
  <c r="BL57" i="10"/>
  <c r="BL59" i="10"/>
  <c r="BL54" i="10"/>
  <c r="BL53" i="10"/>
  <c r="FJ136" i="10" l="1"/>
  <c r="HQ148" i="10"/>
  <c r="EP52" i="10"/>
  <c r="HQ149" i="10"/>
  <c r="FJ135" i="10"/>
  <c r="FJ137" i="10"/>
  <c r="BI103" i="10"/>
  <c r="BH222" i="10"/>
  <c r="BH217" i="10"/>
  <c r="BM152" i="10"/>
  <c r="BM141" i="10"/>
  <c r="BM154" i="10"/>
  <c r="BM149" i="10"/>
  <c r="BM148" i="10"/>
  <c r="BM147" i="10"/>
  <c r="BM142" i="10"/>
  <c r="BM136" i="10"/>
  <c r="BM140" i="10"/>
  <c r="BM153" i="10"/>
  <c r="BM137" i="10"/>
  <c r="BM135" i="10"/>
  <c r="HQ147" i="10"/>
  <c r="EP54" i="10"/>
  <c r="BI8" i="10"/>
  <c r="BI221" i="10" s="1"/>
  <c r="BM52" i="10"/>
  <c r="BM59" i="10"/>
  <c r="BM53" i="10"/>
  <c r="BM58" i="10"/>
  <c r="BM57" i="10"/>
  <c r="BM54" i="10"/>
  <c r="FK135" i="10" l="1"/>
  <c r="HR149" i="10"/>
  <c r="HR148" i="10"/>
  <c r="FK136" i="10"/>
  <c r="HR147" i="10"/>
  <c r="FK137" i="10"/>
  <c r="BJ103" i="10"/>
  <c r="BI222" i="10"/>
  <c r="BI217" i="10"/>
  <c r="BN149" i="10"/>
  <c r="BN141" i="10"/>
  <c r="BN154" i="10"/>
  <c r="BN152" i="10"/>
  <c r="BN148" i="10"/>
  <c r="BN153" i="10"/>
  <c r="BN147" i="10"/>
  <c r="BN142" i="10"/>
  <c r="BN140" i="10"/>
  <c r="BN135" i="10"/>
  <c r="BN136" i="10"/>
  <c r="BN137" i="10"/>
  <c r="EQ52" i="10"/>
  <c r="EQ54" i="10"/>
  <c r="BJ8" i="10"/>
  <c r="BJ221" i="10" s="1"/>
  <c r="BN54" i="10"/>
  <c r="BN52" i="10"/>
  <c r="BN59" i="10"/>
  <c r="BN57" i="10"/>
  <c r="BN53" i="10"/>
  <c r="BN58" i="10"/>
  <c r="EQ53" i="10"/>
  <c r="HS149" i="10" l="1"/>
  <c r="FL137" i="10"/>
  <c r="HS148" i="10"/>
  <c r="ER52" i="10"/>
  <c r="FL135" i="10"/>
  <c r="BK103" i="10"/>
  <c r="BJ222" i="10"/>
  <c r="BJ217" i="10"/>
  <c r="BO154" i="10"/>
  <c r="BO149" i="10"/>
  <c r="BO141" i="10"/>
  <c r="BO147" i="10"/>
  <c r="BO152" i="10"/>
  <c r="BO135" i="10"/>
  <c r="BO136" i="10"/>
  <c r="BO140" i="10"/>
  <c r="BO153" i="10"/>
  <c r="BO142" i="10"/>
  <c r="BO148" i="10"/>
  <c r="BO137" i="10"/>
  <c r="FL136" i="10"/>
  <c r="HS147" i="10"/>
  <c r="ER53" i="10"/>
  <c r="ER54" i="10"/>
  <c r="BK8" i="10"/>
  <c r="BK221" i="10" s="1"/>
  <c r="BO59" i="10"/>
  <c r="BO57" i="10"/>
  <c r="BO54" i="10"/>
  <c r="BO52" i="10"/>
  <c r="BO53" i="10"/>
  <c r="BO58" i="10"/>
  <c r="ES53" i="10" s="1"/>
  <c r="HT147" i="10" l="1"/>
  <c r="FM135" i="10"/>
  <c r="FM136" i="10"/>
  <c r="FM137" i="10"/>
  <c r="HT149" i="10"/>
  <c r="HT148" i="10"/>
  <c r="BL103" i="10"/>
  <c r="BK217" i="10"/>
  <c r="BK222" i="10"/>
  <c r="BP140" i="10"/>
  <c r="BP149" i="10"/>
  <c r="BP154" i="10"/>
  <c r="BP147" i="10"/>
  <c r="BP135" i="10"/>
  <c r="BP142" i="10"/>
  <c r="BP137" i="10"/>
  <c r="BP153" i="10"/>
  <c r="BP136" i="10"/>
  <c r="BP148" i="10"/>
  <c r="BP141" i="10"/>
  <c r="BP152" i="10"/>
  <c r="ES52" i="10"/>
  <c r="ES54" i="10"/>
  <c r="BL8" i="10"/>
  <c r="BL221" i="10" s="1"/>
  <c r="BP52" i="10"/>
  <c r="BP53" i="10"/>
  <c r="BP58" i="10"/>
  <c r="BP57" i="10"/>
  <c r="BP54" i="10"/>
  <c r="BP59" i="10"/>
  <c r="HU147" i="10" l="1"/>
  <c r="FN136" i="10"/>
  <c r="ET53" i="10"/>
  <c r="HU149" i="10"/>
  <c r="HU148" i="10"/>
  <c r="FN135" i="10"/>
  <c r="FN137" i="10"/>
  <c r="BM103" i="10"/>
  <c r="BL217" i="10"/>
  <c r="BL222" i="10"/>
  <c r="BQ154" i="10"/>
  <c r="BQ152" i="10"/>
  <c r="BQ141" i="10"/>
  <c r="BQ140" i="10"/>
  <c r="BQ153" i="10"/>
  <c r="BQ147" i="10"/>
  <c r="BQ137" i="10"/>
  <c r="BQ136" i="10"/>
  <c r="BQ148" i="10"/>
  <c r="BQ149" i="10"/>
  <c r="BQ142" i="10"/>
  <c r="BQ135" i="10"/>
  <c r="ET52" i="10"/>
  <c r="BM8" i="10"/>
  <c r="BM221" i="10" s="1"/>
  <c r="BQ57" i="10"/>
  <c r="BQ59" i="10"/>
  <c r="BQ52" i="10"/>
  <c r="BQ53" i="10"/>
  <c r="BQ58" i="10"/>
  <c r="BQ54" i="10"/>
  <c r="ET54" i="10"/>
  <c r="FO137" i="10" l="1"/>
  <c r="FO136" i="10"/>
  <c r="HV149" i="10"/>
  <c r="BN103" i="10"/>
  <c r="BM217" i="10"/>
  <c r="BM222" i="10"/>
  <c r="BR153" i="10"/>
  <c r="BR136" i="10"/>
  <c r="BR148" i="10"/>
  <c r="BR154" i="10"/>
  <c r="BR149" i="10"/>
  <c r="BR135" i="10"/>
  <c r="BR140" i="10"/>
  <c r="BR137" i="10"/>
  <c r="BR141" i="10"/>
  <c r="BR147" i="10"/>
  <c r="BR152" i="10"/>
  <c r="BR142" i="10"/>
  <c r="HV148" i="10"/>
  <c r="FO135" i="10"/>
  <c r="HV147" i="10"/>
  <c r="EU54" i="10"/>
  <c r="BN8" i="10"/>
  <c r="BN221" i="10" s="1"/>
  <c r="BR59" i="10"/>
  <c r="BR52" i="10"/>
  <c r="BR54" i="10"/>
  <c r="BR58" i="10"/>
  <c r="BR57" i="10"/>
  <c r="BR53" i="10"/>
  <c r="EU52" i="10"/>
  <c r="EU53" i="10"/>
  <c r="FP135" i="10" l="1"/>
  <c r="FP136" i="10"/>
  <c r="FP137" i="10"/>
  <c r="HW147" i="10"/>
  <c r="HW149" i="10"/>
  <c r="HW148" i="10"/>
  <c r="BO103" i="10"/>
  <c r="BN217" i="10"/>
  <c r="BN222" i="10"/>
  <c r="BS152" i="10"/>
  <c r="BS154" i="10"/>
  <c r="BS148" i="10"/>
  <c r="BS153" i="10"/>
  <c r="BS141" i="10"/>
  <c r="BS149" i="10"/>
  <c r="BS135" i="10"/>
  <c r="BS142" i="10"/>
  <c r="BS137" i="10"/>
  <c r="BS147" i="10"/>
  <c r="BS140" i="10"/>
  <c r="BS136" i="10"/>
  <c r="EV52" i="10"/>
  <c r="EV53" i="10"/>
  <c r="EV54" i="10"/>
  <c r="BO8" i="10"/>
  <c r="BO221" i="10" s="1"/>
  <c r="BS52" i="10"/>
  <c r="BS57" i="10"/>
  <c r="BS59" i="10"/>
  <c r="BS53" i="10"/>
  <c r="BS58" i="10"/>
  <c r="BS54" i="10"/>
  <c r="FQ137" i="10" l="1"/>
  <c r="FQ135" i="10"/>
  <c r="EW52" i="10"/>
  <c r="HX149" i="10"/>
  <c r="HX147" i="10"/>
  <c r="BP103" i="10"/>
  <c r="BO217" i="10"/>
  <c r="BO222" i="10"/>
  <c r="BT153" i="10"/>
  <c r="BT152" i="10"/>
  <c r="BT147" i="10"/>
  <c r="BT154" i="10"/>
  <c r="BT142" i="10"/>
  <c r="BT141" i="10"/>
  <c r="BT149" i="10"/>
  <c r="BT136" i="10"/>
  <c r="BT148" i="10"/>
  <c r="BT135" i="10"/>
  <c r="BT140" i="10"/>
  <c r="BT137" i="10"/>
  <c r="FQ136" i="10"/>
  <c r="HX148" i="10"/>
  <c r="EW53" i="10"/>
  <c r="EW54" i="10"/>
  <c r="BP8" i="10"/>
  <c r="BP221" i="10" s="1"/>
  <c r="BT54" i="10"/>
  <c r="BT52" i="10"/>
  <c r="BT58" i="10"/>
  <c r="BT57" i="10"/>
  <c r="BT59" i="10"/>
  <c r="BT53" i="10"/>
  <c r="FR135" i="10" l="1"/>
  <c r="HY148" i="10"/>
  <c r="EX53" i="10"/>
  <c r="HY149" i="10"/>
  <c r="HY147" i="10"/>
  <c r="FR136" i="10"/>
  <c r="BQ103" i="10"/>
  <c r="BP222" i="10"/>
  <c r="BP217" i="10"/>
  <c r="BU149" i="10"/>
  <c r="BU154" i="10"/>
  <c r="BU147" i="10"/>
  <c r="BU142" i="10"/>
  <c r="BU140" i="10"/>
  <c r="BU153" i="10"/>
  <c r="BU152" i="10"/>
  <c r="BU136" i="10"/>
  <c r="BU141" i="10"/>
  <c r="BU135" i="10"/>
  <c r="BU148" i="10"/>
  <c r="BU137" i="10"/>
  <c r="EX52" i="10"/>
  <c r="FR137" i="10"/>
  <c r="EX54" i="10"/>
  <c r="BQ8" i="10"/>
  <c r="BQ221" i="10" s="1"/>
  <c r="BU58" i="10"/>
  <c r="BU52" i="10"/>
  <c r="BU54" i="10"/>
  <c r="BU59" i="10"/>
  <c r="BU57" i="10"/>
  <c r="BU53" i="10"/>
  <c r="HZ147" i="10" l="1"/>
  <c r="FS136" i="10"/>
  <c r="HZ149" i="10"/>
  <c r="HZ148" i="10"/>
  <c r="BR103" i="10"/>
  <c r="BQ222" i="10"/>
  <c r="BQ217" i="10"/>
  <c r="BV149" i="10"/>
  <c r="BV141" i="10"/>
  <c r="BV154" i="10"/>
  <c r="BV148" i="10"/>
  <c r="BV152" i="10"/>
  <c r="BV147" i="10"/>
  <c r="BV142" i="10"/>
  <c r="BV136" i="10"/>
  <c r="BV137" i="10"/>
  <c r="BV135" i="10"/>
  <c r="BV153" i="10"/>
  <c r="BV140" i="10"/>
  <c r="EY52" i="10"/>
  <c r="FS135" i="10"/>
  <c r="FS137" i="10"/>
  <c r="EY54" i="10"/>
  <c r="BR8" i="10"/>
  <c r="BR221" i="10" s="1"/>
  <c r="BV54" i="10"/>
  <c r="BV58" i="10"/>
  <c r="BV52" i="10"/>
  <c r="BV57" i="10"/>
  <c r="BV53" i="10"/>
  <c r="BV59" i="10"/>
  <c r="EY53" i="10"/>
  <c r="IA149" i="10" l="1"/>
  <c r="FT135" i="10"/>
  <c r="FT136" i="10"/>
  <c r="IA148" i="10"/>
  <c r="FT137" i="10"/>
  <c r="BS103" i="10"/>
  <c r="BR222" i="10"/>
  <c r="BR217" i="10"/>
  <c r="BW148" i="10"/>
  <c r="BW154" i="10"/>
  <c r="BW149" i="10"/>
  <c r="BW141" i="10"/>
  <c r="BW147" i="10"/>
  <c r="BW152" i="10"/>
  <c r="BW135" i="10"/>
  <c r="BW142" i="10"/>
  <c r="BW140" i="10"/>
  <c r="BW153" i="10"/>
  <c r="BW137" i="10"/>
  <c r="BW136" i="10"/>
  <c r="EZ52" i="10"/>
  <c r="IA147" i="10"/>
  <c r="EZ53" i="10"/>
  <c r="BS8" i="10"/>
  <c r="BS221" i="10" s="1"/>
  <c r="BW58" i="10"/>
  <c r="BW52" i="10"/>
  <c r="BW54" i="10"/>
  <c r="BW59" i="10"/>
  <c r="BW57" i="10"/>
  <c r="BW53" i="10"/>
  <c r="EZ54" i="10"/>
  <c r="IB147" i="10" l="1"/>
  <c r="IB148" i="10"/>
  <c r="FU135" i="10"/>
  <c r="FU137" i="10"/>
  <c r="BT103" i="10"/>
  <c r="BS217" i="10"/>
  <c r="BS222" i="10"/>
  <c r="BX153" i="10"/>
  <c r="BX147" i="10"/>
  <c r="BX149" i="10"/>
  <c r="BX154" i="10"/>
  <c r="BX152" i="10"/>
  <c r="BX141" i="10"/>
  <c r="BX136" i="10"/>
  <c r="BX137" i="10"/>
  <c r="BX135" i="10"/>
  <c r="BX140" i="10"/>
  <c r="BX142" i="10"/>
  <c r="BX148" i="10"/>
  <c r="IB149" i="10"/>
  <c r="FA54" i="10"/>
  <c r="FU136" i="10"/>
  <c r="FA53" i="10"/>
  <c r="BT8" i="10"/>
  <c r="BT221" i="10" s="1"/>
  <c r="BX59" i="10"/>
  <c r="BX52" i="10"/>
  <c r="BX53" i="10"/>
  <c r="BX58" i="10"/>
  <c r="FB53" i="10" s="1"/>
  <c r="BX54" i="10"/>
  <c r="BX57" i="10"/>
  <c r="FA52" i="10"/>
  <c r="IC148" i="10" l="1"/>
  <c r="FV137" i="10"/>
  <c r="FV135" i="10"/>
  <c r="BU103" i="10"/>
  <c r="BT217" i="10"/>
  <c r="BT222" i="10"/>
  <c r="BY154" i="10"/>
  <c r="BY141" i="10"/>
  <c r="BY140" i="10"/>
  <c r="BY152" i="10"/>
  <c r="BY148" i="10"/>
  <c r="BY149" i="10"/>
  <c r="BY135" i="10"/>
  <c r="BY147" i="10"/>
  <c r="BY137" i="10"/>
  <c r="BY136" i="10"/>
  <c r="BY142" i="10"/>
  <c r="BY153" i="10"/>
  <c r="IC147" i="10"/>
  <c r="FV136" i="10"/>
  <c r="IC149" i="10"/>
  <c r="FB52" i="10"/>
  <c r="FB54" i="10"/>
  <c r="BU8" i="10"/>
  <c r="BU221" i="10" s="1"/>
  <c r="BY54" i="10"/>
  <c r="BY59" i="10"/>
  <c r="BY52" i="10"/>
  <c r="BY57" i="10"/>
  <c r="BY53" i="10"/>
  <c r="BY58" i="10"/>
  <c r="ID149" i="10" l="1"/>
  <c r="FW137" i="10"/>
  <c r="FW135" i="10"/>
  <c r="ID147" i="10"/>
  <c r="ID148" i="10"/>
  <c r="FW136" i="10"/>
  <c r="FC53" i="10"/>
  <c r="BV103" i="10"/>
  <c r="BU217" i="10"/>
  <c r="BU222" i="10"/>
  <c r="BZ149" i="10"/>
  <c r="BZ140" i="10"/>
  <c r="BZ136" i="10"/>
  <c r="BZ148" i="10"/>
  <c r="BZ153" i="10"/>
  <c r="BZ152" i="10"/>
  <c r="BZ135" i="10"/>
  <c r="BZ141" i="10"/>
  <c r="BZ142" i="10"/>
  <c r="BZ154" i="10"/>
  <c r="BZ147" i="10"/>
  <c r="BZ137" i="10"/>
  <c r="FC54" i="10"/>
  <c r="BV8" i="10"/>
  <c r="BV221" i="10" s="1"/>
  <c r="BZ58" i="10"/>
  <c r="BZ54" i="10"/>
  <c r="BZ52" i="10"/>
  <c r="BZ59" i="10"/>
  <c r="BZ53" i="10"/>
  <c r="BZ57" i="10"/>
  <c r="FC52" i="10"/>
  <c r="FX137" i="10" l="1"/>
  <c r="IE148" i="10"/>
  <c r="FX136" i="10"/>
  <c r="IE147" i="10"/>
  <c r="FD54" i="10"/>
  <c r="IE149" i="10"/>
  <c r="FX135" i="10"/>
  <c r="BW103" i="10"/>
  <c r="BV217" i="10"/>
  <c r="BV222" i="10"/>
  <c r="CA149" i="10"/>
  <c r="CA147" i="10"/>
  <c r="CA148" i="10"/>
  <c r="CA141" i="10"/>
  <c r="CA153" i="10"/>
  <c r="CA142" i="10"/>
  <c r="CA152" i="10"/>
  <c r="CA136" i="10"/>
  <c r="CA140" i="10"/>
  <c r="CA137" i="10"/>
  <c r="CA154" i="10"/>
  <c r="CA135" i="10"/>
  <c r="FD52" i="10"/>
  <c r="FD53" i="10"/>
  <c r="BW8" i="10"/>
  <c r="BW221" i="10" s="1"/>
  <c r="CA54" i="10"/>
  <c r="CA52" i="10"/>
  <c r="CA59" i="10"/>
  <c r="CA57" i="10"/>
  <c r="CA53" i="10"/>
  <c r="CA58" i="10"/>
  <c r="IF148" i="10" l="1"/>
  <c r="IF149" i="10"/>
  <c r="FY136" i="10"/>
  <c r="FE54" i="10"/>
  <c r="IF147" i="10"/>
  <c r="FY135" i="10"/>
  <c r="FY137" i="10"/>
  <c r="BX103" i="10"/>
  <c r="BW217" i="10"/>
  <c r="BW222" i="10"/>
  <c r="CB141" i="10"/>
  <c r="CB153" i="10"/>
  <c r="CB142" i="10"/>
  <c r="CB136" i="10"/>
  <c r="CB154" i="10"/>
  <c r="CB148" i="10"/>
  <c r="CB149" i="10"/>
  <c r="CB147" i="10"/>
  <c r="CB140" i="10"/>
  <c r="CB137" i="10"/>
  <c r="CB135" i="10"/>
  <c r="CB152" i="10"/>
  <c r="BX8" i="10"/>
  <c r="BX221" i="10" s="1"/>
  <c r="CB57" i="10"/>
  <c r="CB54" i="10"/>
  <c r="CB59" i="10"/>
  <c r="CB52" i="10"/>
  <c r="CB58" i="10"/>
  <c r="CB53" i="10"/>
  <c r="FE52" i="10"/>
  <c r="FE53" i="10"/>
  <c r="FZ135" i="10" l="1"/>
  <c r="IG148" i="10"/>
  <c r="FZ136" i="10"/>
  <c r="BY103" i="10"/>
  <c r="BX222" i="10"/>
  <c r="BX217" i="10"/>
  <c r="CC153" i="10"/>
  <c r="CC142" i="10"/>
  <c r="CC140" i="10"/>
  <c r="CC154" i="10"/>
  <c r="CC141" i="10"/>
  <c r="CC147" i="10"/>
  <c r="CC137" i="10"/>
  <c r="CC148" i="10"/>
  <c r="CC135" i="10"/>
  <c r="CC136" i="10"/>
  <c r="CC152" i="10"/>
  <c r="CC149" i="10"/>
  <c r="IG149" i="10"/>
  <c r="IG147" i="10"/>
  <c r="FZ137" i="10"/>
  <c r="FF54" i="10"/>
  <c r="FF52" i="10"/>
  <c r="FF53" i="10"/>
  <c r="BY8" i="10"/>
  <c r="BY221" i="10" s="1"/>
  <c r="CC53" i="10"/>
  <c r="CC58" i="10"/>
  <c r="CC54" i="10"/>
  <c r="CC57" i="10"/>
  <c r="CC59" i="10"/>
  <c r="CC52" i="10"/>
  <c r="GA137" i="10" l="1"/>
  <c r="IH147" i="10"/>
  <c r="GA135" i="10"/>
  <c r="IH148" i="10"/>
  <c r="GA136" i="10"/>
  <c r="IH149" i="10"/>
  <c r="BZ103" i="10"/>
  <c r="BY222" i="10"/>
  <c r="BY217" i="10"/>
  <c r="CD149" i="10"/>
  <c r="CD141" i="10"/>
  <c r="CD154" i="10"/>
  <c r="CD152" i="10"/>
  <c r="CD142" i="10"/>
  <c r="CD148" i="10"/>
  <c r="CD136" i="10"/>
  <c r="CD137" i="10"/>
  <c r="CD140" i="10"/>
  <c r="CD135" i="10"/>
  <c r="CD147" i="10"/>
  <c r="CD153" i="10"/>
  <c r="FG53" i="10"/>
  <c r="FG54" i="10"/>
  <c r="FG52" i="10"/>
  <c r="BZ8" i="10"/>
  <c r="BZ221" i="10" s="1"/>
  <c r="CD53" i="10"/>
  <c r="CD54" i="10"/>
  <c r="CD52" i="10"/>
  <c r="CD59" i="10"/>
  <c r="CD57" i="10"/>
  <c r="CD58" i="10"/>
  <c r="GB136" i="10" l="1"/>
  <c r="II149" i="10"/>
  <c r="II148" i="10"/>
  <c r="II147" i="10"/>
  <c r="CA103" i="10"/>
  <c r="BZ222" i="10"/>
  <c r="BZ217" i="10"/>
  <c r="CE153" i="10"/>
  <c r="CE148" i="10"/>
  <c r="CE154" i="10"/>
  <c r="CE149" i="10"/>
  <c r="CE141" i="10"/>
  <c r="CE142" i="10"/>
  <c r="CE140" i="10"/>
  <c r="CE152" i="10"/>
  <c r="CE135" i="10"/>
  <c r="CE137" i="10"/>
  <c r="CE136" i="10"/>
  <c r="CE147" i="10"/>
  <c r="GB135" i="10"/>
  <c r="GB137" i="10"/>
  <c r="FH54" i="10"/>
  <c r="FH53" i="10"/>
  <c r="FH52" i="10"/>
  <c r="CA8" i="10"/>
  <c r="CA221" i="10" s="1"/>
  <c r="CE58" i="10"/>
  <c r="CE57" i="10"/>
  <c r="CE52" i="10"/>
  <c r="CE53" i="10"/>
  <c r="CE59" i="10"/>
  <c r="CE54" i="10"/>
  <c r="IJ148" i="10" l="1"/>
  <c r="IJ149" i="10"/>
  <c r="IJ147" i="10"/>
  <c r="GC135" i="10"/>
  <c r="GC137" i="10"/>
  <c r="CB103" i="10"/>
  <c r="CA217" i="10"/>
  <c r="CA222" i="10"/>
  <c r="CF152" i="10"/>
  <c r="CF148" i="10"/>
  <c r="CF153" i="10"/>
  <c r="CF147" i="10"/>
  <c r="CF140" i="10"/>
  <c r="CF136" i="10"/>
  <c r="CF149" i="10"/>
  <c r="CF154" i="10"/>
  <c r="CF137" i="10"/>
  <c r="CF141" i="10"/>
  <c r="CF142" i="10"/>
  <c r="CF135" i="10"/>
  <c r="GC136" i="10"/>
  <c r="FI54" i="10"/>
  <c r="FI52" i="10"/>
  <c r="FI53" i="10"/>
  <c r="CB8" i="10"/>
  <c r="CB221" i="10" s="1"/>
  <c r="CF54" i="10"/>
  <c r="CF58" i="10"/>
  <c r="CF52" i="10"/>
  <c r="CF59" i="10"/>
  <c r="CF57" i="10"/>
  <c r="CF53" i="10"/>
  <c r="IK149" i="10" l="1"/>
  <c r="IK148" i="10"/>
  <c r="IK147" i="10"/>
  <c r="CC103" i="10"/>
  <c r="CB217" i="10"/>
  <c r="CB222" i="10"/>
  <c r="CG147" i="10"/>
  <c r="CG141" i="10"/>
  <c r="CG148" i="10"/>
  <c r="CG154" i="10"/>
  <c r="CG140" i="10"/>
  <c r="CG153" i="10"/>
  <c r="CG135" i="10"/>
  <c r="CG149" i="10"/>
  <c r="CG136" i="10"/>
  <c r="CG137" i="10"/>
  <c r="CG152" i="10"/>
  <c r="CG142" i="10"/>
  <c r="GD135" i="10"/>
  <c r="GD137" i="10"/>
  <c r="FJ53" i="10"/>
  <c r="GD136" i="10"/>
  <c r="CC8" i="10"/>
  <c r="CC221" i="10" s="1"/>
  <c r="CG54" i="10"/>
  <c r="CG57" i="10"/>
  <c r="CG52" i="10"/>
  <c r="CG53" i="10"/>
  <c r="CG59" i="10"/>
  <c r="CG58" i="10"/>
  <c r="FJ52" i="10"/>
  <c r="FJ54" i="10"/>
  <c r="GE136" i="10" l="1"/>
  <c r="IL147" i="10"/>
  <c r="GE135" i="10"/>
  <c r="GE137" i="10"/>
  <c r="IL149" i="10"/>
  <c r="FK54" i="10"/>
  <c r="IL148" i="10"/>
  <c r="CD103" i="10"/>
  <c r="CC217" i="10"/>
  <c r="CC222" i="10"/>
  <c r="CH147" i="10"/>
  <c r="CH136" i="10"/>
  <c r="CH137" i="10"/>
  <c r="CH149" i="10"/>
  <c r="CH140" i="10"/>
  <c r="CH148" i="10"/>
  <c r="CH142" i="10"/>
  <c r="CH152" i="10"/>
  <c r="CH135" i="10"/>
  <c r="CH153" i="10"/>
  <c r="CH154" i="10"/>
  <c r="CH141" i="10"/>
  <c r="FK53" i="10"/>
  <c r="FK52" i="10"/>
  <c r="CD8" i="10"/>
  <c r="CD221" i="10" s="1"/>
  <c r="CH59" i="10"/>
  <c r="CH52" i="10"/>
  <c r="CH53" i="10"/>
  <c r="CH54" i="10"/>
  <c r="CH58" i="10"/>
  <c r="CH57" i="10"/>
  <c r="IM149" i="10" l="1"/>
  <c r="IM147" i="10"/>
  <c r="IM148" i="10"/>
  <c r="GF137" i="10"/>
  <c r="FL54" i="10"/>
  <c r="CE103" i="10"/>
  <c r="CD217" i="10"/>
  <c r="CD222" i="10"/>
  <c r="CI149" i="10"/>
  <c r="CI153" i="10"/>
  <c r="CI148" i="10"/>
  <c r="CI141" i="10"/>
  <c r="CI136" i="10"/>
  <c r="CI154" i="10"/>
  <c r="CI152" i="10"/>
  <c r="CI140" i="10"/>
  <c r="CI137" i="10"/>
  <c r="CI135" i="10"/>
  <c r="CI147" i="10"/>
  <c r="CI142" i="10"/>
  <c r="GF135" i="10"/>
  <c r="GF136" i="10"/>
  <c r="CI54" i="10"/>
  <c r="CI52" i="10"/>
  <c r="CI58" i="10"/>
  <c r="CI59" i="10"/>
  <c r="CI57" i="10"/>
  <c r="CI53" i="10"/>
  <c r="FL52" i="10"/>
  <c r="FL53" i="10"/>
  <c r="IN148" i="10" l="1"/>
  <c r="IN147" i="10"/>
  <c r="IN149" i="10"/>
  <c r="CF103" i="10"/>
  <c r="CE217" i="10"/>
  <c r="CE222" i="10"/>
  <c r="CJ147" i="10"/>
  <c r="CJ153" i="10"/>
  <c r="CJ152" i="10"/>
  <c r="CJ141" i="10"/>
  <c r="CJ149" i="10"/>
  <c r="CJ142" i="10"/>
  <c r="CJ135" i="10"/>
  <c r="CJ154" i="10"/>
  <c r="CJ148" i="10"/>
  <c r="CJ137" i="10"/>
  <c r="CJ136" i="10"/>
  <c r="CJ140" i="10"/>
  <c r="GG135" i="10"/>
  <c r="GG137" i="10"/>
  <c r="GG136" i="10"/>
  <c r="CK11" i="10"/>
  <c r="FM52" i="10"/>
  <c r="CK13" i="10"/>
  <c r="FM54" i="10"/>
  <c r="CK12" i="10"/>
  <c r="FM53" i="10"/>
  <c r="IO149" i="10" l="1"/>
  <c r="IO148" i="10"/>
  <c r="GH135" i="10"/>
  <c r="IO147" i="10"/>
  <c r="GH137" i="10"/>
  <c r="CG103" i="10"/>
  <c r="CF222" i="10"/>
  <c r="CF217" i="10"/>
  <c r="CK153" i="10"/>
  <c r="CK142" i="10"/>
  <c r="CK152" i="10"/>
  <c r="CK147" i="10"/>
  <c r="CK154" i="10"/>
  <c r="CK141" i="10"/>
  <c r="CK140" i="10"/>
  <c r="CK149" i="10"/>
  <c r="CK136" i="10"/>
  <c r="CK137" i="10"/>
  <c r="CK135" i="10"/>
  <c r="CK148" i="10"/>
  <c r="GH136" i="10"/>
  <c r="IP148" i="10" l="1"/>
  <c r="IP147" i="10"/>
  <c r="GI137" i="10"/>
  <c r="GI135" i="10"/>
  <c r="CH103" i="10"/>
  <c r="CG222" i="10"/>
  <c r="CG217" i="10"/>
  <c r="CL153" i="10"/>
  <c r="CL149" i="10"/>
  <c r="CL141" i="10"/>
  <c r="CL154" i="10"/>
  <c r="CL142" i="10"/>
  <c r="CL152" i="10"/>
  <c r="CL136" i="10"/>
  <c r="CL148" i="10"/>
  <c r="CL140" i="10"/>
  <c r="CL137" i="10"/>
  <c r="CL135" i="10"/>
  <c r="CL147" i="10"/>
  <c r="IP149" i="10"/>
  <c r="GI136" i="10"/>
  <c r="GJ136" i="10" l="1"/>
  <c r="IQ148" i="10"/>
  <c r="IQ149" i="10"/>
  <c r="GJ135" i="10"/>
  <c r="IQ147" i="10"/>
  <c r="CI103" i="10"/>
  <c r="CH222" i="10"/>
  <c r="CH217" i="10"/>
  <c r="CM152" i="10"/>
  <c r="CM153" i="10"/>
  <c r="CM141" i="10"/>
  <c r="CM148" i="10"/>
  <c r="CM154" i="10"/>
  <c r="CM147" i="10"/>
  <c r="CM142" i="10"/>
  <c r="CM149" i="10"/>
  <c r="CM136" i="10"/>
  <c r="CM140" i="10"/>
  <c r="CM137" i="10"/>
  <c r="CM135" i="10"/>
  <c r="GJ137" i="10"/>
  <c r="IR147" i="10" l="1"/>
  <c r="GK136" i="10"/>
  <c r="GK135" i="10"/>
  <c r="IR148" i="10"/>
  <c r="CJ103" i="10"/>
  <c r="CI222" i="10"/>
  <c r="CI217" i="10"/>
  <c r="CN142" i="10"/>
  <c r="CN152" i="10"/>
  <c r="CN148" i="10"/>
  <c r="CN153" i="10"/>
  <c r="CN147" i="10"/>
  <c r="CN140" i="10"/>
  <c r="CN149" i="10"/>
  <c r="CN154" i="10"/>
  <c r="CN141" i="10"/>
  <c r="CN135" i="10"/>
  <c r="CN137" i="10"/>
  <c r="CN136" i="10"/>
  <c r="IR149" i="10"/>
  <c r="GK137" i="10"/>
  <c r="IS149" i="10" l="1"/>
  <c r="IS148" i="10"/>
  <c r="GL137" i="10"/>
  <c r="GL136" i="10"/>
  <c r="IS147" i="10"/>
  <c r="GL135" i="10"/>
  <c r="CK103" i="10"/>
  <c r="CJ222" i="10"/>
  <c r="CJ217" i="10"/>
  <c r="CO153" i="10"/>
  <c r="CO147" i="10"/>
  <c r="CO152" i="10"/>
  <c r="CO154" i="10"/>
  <c r="CO142" i="10"/>
  <c r="CO148" i="10"/>
  <c r="CO149" i="10"/>
  <c r="CO141" i="10"/>
  <c r="CO135" i="10"/>
  <c r="CO136" i="10"/>
  <c r="CO140" i="10"/>
  <c r="CO137" i="10"/>
  <c r="GM136" i="10" l="1"/>
  <c r="GM137" i="10"/>
  <c r="IT147" i="10"/>
  <c r="IT148" i="10"/>
  <c r="CL103" i="10"/>
  <c r="CK222" i="10"/>
  <c r="CK217" i="10"/>
  <c r="CP136" i="10"/>
  <c r="CP154" i="10"/>
  <c r="CP152" i="10"/>
  <c r="CP148" i="10"/>
  <c r="CP149" i="10"/>
  <c r="CP142" i="10"/>
  <c r="CP140" i="10"/>
  <c r="CP153" i="10"/>
  <c r="CP137" i="10"/>
  <c r="CP141" i="10"/>
  <c r="CP135" i="10"/>
  <c r="CP147" i="10"/>
  <c r="IT149" i="10"/>
  <c r="GM135" i="10"/>
  <c r="GN136" i="10" l="1"/>
  <c r="IU149" i="10"/>
  <c r="IU148" i="10"/>
  <c r="IU147" i="10"/>
  <c r="GN135" i="10"/>
  <c r="GN137" i="10"/>
  <c r="CM103" i="10"/>
  <c r="CL222" i="10"/>
  <c r="CL217" i="10"/>
  <c r="CQ152" i="10"/>
  <c r="CQ153" i="10"/>
  <c r="CQ154" i="10"/>
  <c r="CQ141" i="10"/>
  <c r="CQ148" i="10"/>
  <c r="CQ149" i="10"/>
  <c r="CQ147" i="10"/>
  <c r="CQ140" i="10"/>
  <c r="CQ142" i="10"/>
  <c r="CQ136" i="10"/>
  <c r="CQ135" i="10"/>
  <c r="CQ137" i="10"/>
  <c r="GO137" i="10" l="1"/>
  <c r="GO135" i="10"/>
  <c r="IV147" i="10"/>
  <c r="GO136" i="10"/>
  <c r="CN103" i="10"/>
  <c r="CM222" i="10"/>
  <c r="CM217" i="10"/>
  <c r="CR154" i="10"/>
  <c r="CR148" i="10"/>
  <c r="CR142" i="10"/>
  <c r="CR149" i="10"/>
  <c r="CR153" i="10"/>
  <c r="CR140" i="10"/>
  <c r="CR137" i="10"/>
  <c r="CR141" i="10"/>
  <c r="CR152" i="10"/>
  <c r="CR147" i="10"/>
  <c r="CR136" i="10"/>
  <c r="CR135" i="10"/>
  <c r="IV149" i="10"/>
  <c r="IV148" i="10"/>
  <c r="GP137" i="10" l="1"/>
  <c r="IW148" i="10"/>
  <c r="IW147" i="10"/>
  <c r="GP136" i="10"/>
  <c r="IW149" i="10"/>
  <c r="GP135" i="10"/>
  <c r="CO103" i="10"/>
  <c r="CN222" i="10"/>
  <c r="CN217" i="10"/>
  <c r="CS147" i="10"/>
  <c r="CS153" i="10"/>
  <c r="CS141" i="10"/>
  <c r="CS154" i="10"/>
  <c r="CS148" i="10"/>
  <c r="CS149" i="10"/>
  <c r="CS136" i="10"/>
  <c r="CS135" i="10"/>
  <c r="CS142" i="10"/>
  <c r="CS152" i="10"/>
  <c r="CS137" i="10"/>
  <c r="CS140" i="10"/>
  <c r="GQ137" i="10" l="1"/>
  <c r="CP103" i="10"/>
  <c r="CO222" i="10"/>
  <c r="CO217" i="10"/>
  <c r="CT148" i="10"/>
  <c r="CT153" i="10"/>
  <c r="CT149" i="10"/>
  <c r="CT141" i="10"/>
  <c r="CT152" i="10"/>
  <c r="CT154" i="10"/>
  <c r="CT147" i="10"/>
  <c r="CT135" i="10"/>
  <c r="CT142" i="10"/>
  <c r="CT140" i="10"/>
  <c r="CT137" i="10"/>
  <c r="CT136" i="10"/>
  <c r="IX149" i="10"/>
  <c r="GQ136" i="10"/>
  <c r="GQ135" i="10"/>
  <c r="IX147" i="10"/>
  <c r="IX148" i="10"/>
  <c r="GR135" i="10" l="1"/>
  <c r="GR136" i="10"/>
  <c r="IY148" i="10"/>
  <c r="IY147" i="10"/>
  <c r="GR137" i="10"/>
  <c r="IY149" i="10"/>
  <c r="CQ103" i="10"/>
  <c r="CP222" i="10"/>
  <c r="CP217" i="10"/>
  <c r="CU147" i="10"/>
  <c r="CU152" i="10"/>
  <c r="CU153" i="10"/>
  <c r="CU148" i="10"/>
  <c r="CU137" i="10"/>
  <c r="CU140" i="10"/>
  <c r="CU154" i="10"/>
  <c r="CU135" i="10"/>
  <c r="CU149" i="10"/>
  <c r="CU141" i="10"/>
  <c r="CU142" i="10"/>
  <c r="CU136" i="10"/>
  <c r="GS137" i="10" l="1"/>
  <c r="IZ148" i="10"/>
  <c r="GS136" i="10"/>
  <c r="IZ147" i="10"/>
  <c r="IZ149" i="10"/>
  <c r="CR103" i="10"/>
  <c r="CQ222" i="10"/>
  <c r="CQ217" i="10"/>
  <c r="CV152" i="10"/>
  <c r="CV148" i="10"/>
  <c r="CV153" i="10"/>
  <c r="CV147" i="10"/>
  <c r="CV140" i="10"/>
  <c r="CV154" i="10"/>
  <c r="CV149" i="10"/>
  <c r="CV136" i="10"/>
  <c r="CV141" i="10"/>
  <c r="CV142" i="10"/>
  <c r="CV135" i="10"/>
  <c r="CV137" i="10"/>
  <c r="GS135" i="10"/>
  <c r="JA148" i="10" l="1"/>
  <c r="GT136" i="10"/>
  <c r="JA147" i="10"/>
  <c r="JA149" i="10"/>
  <c r="CS103" i="10"/>
  <c r="CR222" i="10"/>
  <c r="CR217" i="10"/>
  <c r="CW148" i="10"/>
  <c r="CW141" i="10"/>
  <c r="CW153" i="10"/>
  <c r="CW147" i="10"/>
  <c r="CW152" i="10"/>
  <c r="CW154" i="10"/>
  <c r="CW142" i="10"/>
  <c r="CW149" i="10"/>
  <c r="CW137" i="10"/>
  <c r="CW136" i="10"/>
  <c r="CW135" i="10"/>
  <c r="CW140" i="10"/>
  <c r="GT137" i="10"/>
  <c r="GT135" i="10"/>
  <c r="GU135" i="10" l="1"/>
  <c r="JB148" i="10"/>
  <c r="GU136" i="10"/>
  <c r="GU137" i="10"/>
  <c r="CT103" i="10"/>
  <c r="CS222" i="10"/>
  <c r="CS217" i="10"/>
  <c r="CX153" i="10"/>
  <c r="CX152" i="10"/>
  <c r="CX147" i="10"/>
  <c r="CX149" i="10"/>
  <c r="CX154" i="10"/>
  <c r="CX142" i="10"/>
  <c r="CX148" i="10"/>
  <c r="CX136" i="10"/>
  <c r="CX140" i="10"/>
  <c r="CX135" i="10"/>
  <c r="CX137" i="10"/>
  <c r="CX141" i="10"/>
  <c r="JB149" i="10"/>
  <c r="JB147" i="10"/>
  <c r="JC149" i="10" l="1"/>
  <c r="GV135" i="10"/>
  <c r="JC148" i="10"/>
  <c r="JC147" i="10"/>
  <c r="GV137" i="10"/>
  <c r="CU103" i="10"/>
  <c r="CT222" i="10"/>
  <c r="CT217" i="10"/>
  <c r="CY149" i="10"/>
  <c r="CY136" i="10"/>
  <c r="CY152" i="10"/>
  <c r="CY147" i="10"/>
  <c r="CY153" i="10"/>
  <c r="CY137" i="10"/>
  <c r="CY142" i="10"/>
  <c r="CY154" i="10"/>
  <c r="CY135" i="10"/>
  <c r="CY148" i="10"/>
  <c r="CY140" i="10"/>
  <c r="CY141" i="10"/>
  <c r="GV136" i="10"/>
  <c r="GW137" i="10" l="1"/>
  <c r="JD149" i="10"/>
  <c r="JD148" i="10"/>
  <c r="CV103" i="10"/>
  <c r="CU222" i="10"/>
  <c r="CU217" i="10"/>
  <c r="CZ154" i="10"/>
  <c r="CZ142" i="10"/>
  <c r="CZ148" i="10"/>
  <c r="CZ153" i="10"/>
  <c r="CZ147" i="10"/>
  <c r="CZ140" i="10"/>
  <c r="CZ137" i="10"/>
  <c r="CZ149" i="10"/>
  <c r="CZ135" i="10"/>
  <c r="CZ141" i="10"/>
  <c r="CZ152" i="10"/>
  <c r="CZ136" i="10"/>
  <c r="GW136" i="10"/>
  <c r="GW135" i="10"/>
  <c r="JD147" i="10"/>
  <c r="GX137" i="10" l="1"/>
  <c r="JE147" i="10"/>
  <c r="JE149" i="10"/>
  <c r="JE148" i="10"/>
  <c r="GX136" i="10"/>
  <c r="CW103" i="10"/>
  <c r="CV217" i="10"/>
  <c r="CV222" i="10"/>
  <c r="DA149" i="10"/>
  <c r="DA147" i="10"/>
  <c r="DA152" i="10"/>
  <c r="DA153" i="10"/>
  <c r="DA142" i="10"/>
  <c r="DA154" i="10"/>
  <c r="DA135" i="10"/>
  <c r="DA141" i="10"/>
  <c r="DA148" i="10"/>
  <c r="DA140" i="10"/>
  <c r="DA136" i="10"/>
  <c r="DA137" i="10"/>
  <c r="GX135" i="10"/>
  <c r="GY135" i="10" l="1"/>
  <c r="JF147" i="10"/>
  <c r="GY136" i="10"/>
  <c r="JF148" i="10"/>
  <c r="JF149" i="10"/>
  <c r="CX103" i="10"/>
  <c r="CW217" i="10"/>
  <c r="CW222" i="10"/>
  <c r="DB152" i="10"/>
  <c r="DB148" i="10"/>
  <c r="DB153" i="10"/>
  <c r="DB149" i="10"/>
  <c r="DB141" i="10"/>
  <c r="DB137" i="10"/>
  <c r="DB135" i="10"/>
  <c r="DB140" i="10"/>
  <c r="DB142" i="10"/>
  <c r="DB136" i="10"/>
  <c r="DB154" i="10"/>
  <c r="DB147" i="10"/>
  <c r="GY137" i="10"/>
  <c r="GZ135" i="10" l="1"/>
  <c r="GZ137" i="10"/>
  <c r="JG149" i="10"/>
  <c r="JG148" i="10"/>
  <c r="GZ136" i="10"/>
  <c r="JG147" i="10"/>
  <c r="CY103" i="10"/>
  <c r="CX222" i="10"/>
  <c r="CX217" i="10"/>
  <c r="DC149" i="10"/>
  <c r="DC135" i="10"/>
  <c r="DC136" i="10"/>
  <c r="DC140" i="10"/>
  <c r="DC147" i="10"/>
  <c r="DC152" i="10"/>
  <c r="DC153" i="10"/>
  <c r="DC148" i="10"/>
  <c r="DC141" i="10"/>
  <c r="DC142" i="10"/>
  <c r="DC154" i="10"/>
  <c r="DC137" i="10"/>
  <c r="JH149" i="10" l="1"/>
  <c r="HA137" i="10"/>
  <c r="JH148" i="10"/>
  <c r="HA136" i="10"/>
  <c r="HA135" i="10"/>
  <c r="JH147" i="10"/>
  <c r="CZ103" i="10"/>
  <c r="CY222" i="10"/>
  <c r="DD154" i="10"/>
  <c r="DD152" i="10"/>
  <c r="DD148" i="10"/>
  <c r="DD153" i="10"/>
  <c r="DD147" i="10"/>
  <c r="DD149" i="10"/>
  <c r="JI149" i="10" l="1"/>
  <c r="JI148" i="10"/>
  <c r="JI147" i="10"/>
  <c r="DA103" i="10"/>
  <c r="CZ222" i="10"/>
  <c r="DE153" i="10"/>
  <c r="DE147" i="10"/>
  <c r="DE152" i="10"/>
  <c r="DE149" i="10"/>
  <c r="DE148" i="10"/>
  <c r="DE154" i="10"/>
  <c r="JJ148" i="10" l="1"/>
  <c r="JJ147" i="10"/>
  <c r="DB103" i="10"/>
  <c r="DA222" i="10"/>
  <c r="DF148" i="10"/>
  <c r="DF154" i="10"/>
  <c r="DF149" i="10"/>
  <c r="DF152" i="10"/>
  <c r="DF147" i="10"/>
  <c r="DF153" i="10"/>
  <c r="JJ149" i="10"/>
  <c r="JK148" i="10" l="1"/>
  <c r="JK149" i="10"/>
  <c r="JK147" i="10"/>
  <c r="DC103" i="10"/>
  <c r="DB222" i="10"/>
  <c r="DG148" i="10"/>
  <c r="DG154" i="10"/>
  <c r="DG149" i="10"/>
  <c r="DG152" i="10"/>
  <c r="DG153" i="10"/>
  <c r="DG147" i="10"/>
  <c r="JL148" i="10" l="1"/>
  <c r="JL147" i="10"/>
  <c r="JL149" i="10"/>
  <c r="DD103" i="10"/>
  <c r="DC222" i="10"/>
  <c r="DH147" i="10"/>
  <c r="DH149" i="10"/>
  <c r="DH152" i="10"/>
  <c r="DH154" i="10"/>
  <c r="DH153" i="10"/>
  <c r="DH148" i="10"/>
  <c r="JM148" i="10" l="1"/>
  <c r="JM147" i="10"/>
  <c r="JM149" i="10"/>
  <c r="DE103" i="10"/>
  <c r="DD222" i="10"/>
  <c r="DI154" i="10"/>
  <c r="DI153" i="10"/>
  <c r="DI149" i="10"/>
  <c r="DI147" i="10"/>
  <c r="DI148" i="10"/>
  <c r="DI152" i="10"/>
  <c r="JN147" i="10" l="1"/>
  <c r="JN148" i="10"/>
  <c r="DF103" i="10"/>
  <c r="DE222" i="10"/>
  <c r="DJ148" i="10"/>
  <c r="DJ153" i="10"/>
  <c r="DJ152" i="10"/>
  <c r="DJ149" i="10"/>
  <c r="DJ154" i="10"/>
  <c r="DJ147" i="10"/>
  <c r="JN149" i="10"/>
  <c r="JO148" i="10" l="1"/>
  <c r="JO149" i="10"/>
  <c r="JO147" i="10"/>
  <c r="DG103" i="10"/>
  <c r="DF222" i="10"/>
  <c r="DK154" i="10"/>
  <c r="DK149" i="10"/>
  <c r="DK147" i="10"/>
  <c r="DK152" i="10"/>
  <c r="DK153" i="10"/>
  <c r="DK148" i="10"/>
  <c r="JP147" i="10" l="1"/>
  <c r="JP148" i="10"/>
  <c r="JP149" i="10"/>
  <c r="DH103" i="10"/>
  <c r="DG222" i="10"/>
  <c r="DL149" i="10"/>
  <c r="DL154" i="10"/>
  <c r="DL152" i="10"/>
  <c r="DL148" i="10"/>
  <c r="DL153" i="10"/>
  <c r="DL147" i="10"/>
  <c r="JQ148" i="10" l="1"/>
  <c r="JQ149" i="10"/>
  <c r="JQ147" i="10"/>
  <c r="DI103" i="10"/>
  <c r="DH222" i="10"/>
  <c r="DM148" i="10"/>
  <c r="DM152" i="10"/>
  <c r="DM153" i="10"/>
  <c r="DM147" i="10"/>
  <c r="DM149" i="10"/>
  <c r="DM154" i="10"/>
  <c r="JR148" i="10" l="1"/>
  <c r="JR147" i="10"/>
  <c r="JR149" i="10"/>
  <c r="DJ103" i="10"/>
  <c r="DI222" i="10"/>
  <c r="DN153" i="10"/>
  <c r="DN152" i="10"/>
  <c r="DN148" i="10"/>
  <c r="DN149" i="10"/>
  <c r="DN147" i="10"/>
  <c r="DN154" i="10"/>
  <c r="JS149" i="10" l="1"/>
  <c r="JS147" i="10"/>
  <c r="JS148" i="10"/>
  <c r="DK103" i="10"/>
  <c r="DJ222" i="10"/>
  <c r="DO148" i="10"/>
  <c r="DO149" i="10"/>
  <c r="DO147" i="10"/>
  <c r="DO154" i="10"/>
  <c r="DO153" i="10"/>
  <c r="DO152" i="10"/>
  <c r="JT148" i="10" l="1"/>
  <c r="JT149" i="10"/>
  <c r="DL103" i="10"/>
  <c r="DK222" i="10"/>
  <c r="DP154" i="10"/>
  <c r="DP148" i="10"/>
  <c r="DP149" i="10"/>
  <c r="DP152" i="10"/>
  <c r="DP147" i="10"/>
  <c r="DP153" i="10"/>
  <c r="JT147" i="10"/>
  <c r="JU147" i="10" l="1"/>
  <c r="JU149" i="10"/>
  <c r="DM103" i="10"/>
  <c r="DL222" i="10"/>
  <c r="DQ154" i="10"/>
  <c r="DQ148" i="10"/>
  <c r="DQ153" i="10"/>
  <c r="DQ152" i="10"/>
  <c r="DQ147" i="10"/>
  <c r="DQ149" i="10"/>
  <c r="JU148" i="10"/>
  <c r="JV147" i="10" l="1"/>
  <c r="JV148" i="10"/>
  <c r="JV149" i="10"/>
  <c r="DN103" i="10"/>
  <c r="DM222" i="10"/>
  <c r="DR154" i="10"/>
  <c r="DR148" i="10"/>
  <c r="DR147" i="10"/>
  <c r="DR153" i="10"/>
  <c r="DR149" i="10"/>
  <c r="DR152" i="10"/>
  <c r="JW148" i="10" l="1"/>
  <c r="JW147" i="10"/>
  <c r="JW149" i="10"/>
  <c r="DO103" i="10"/>
  <c r="DN222" i="10"/>
  <c r="DS154" i="10"/>
  <c r="DS149" i="10"/>
  <c r="DS147" i="10"/>
  <c r="DS152" i="10"/>
  <c r="DS153" i="10"/>
  <c r="DS148" i="10"/>
  <c r="JX148" i="10" l="1"/>
  <c r="JX147" i="10"/>
  <c r="JX149" i="10"/>
  <c r="DP103" i="10"/>
  <c r="DO222" i="10"/>
  <c r="DT149" i="10"/>
  <c r="DT154" i="10"/>
  <c r="DT152" i="10"/>
  <c r="DT148" i="10"/>
  <c r="DT147" i="10"/>
  <c r="DT153" i="10"/>
  <c r="JY147" i="10" l="1"/>
  <c r="JY149" i="10"/>
  <c r="DQ103" i="10"/>
  <c r="DP222" i="10"/>
  <c r="DU154" i="10"/>
  <c r="DU152" i="10"/>
  <c r="DU153" i="10"/>
  <c r="DU147" i="10"/>
  <c r="DU148" i="10"/>
  <c r="DU149" i="10"/>
  <c r="JY148" i="10"/>
  <c r="JZ148" i="10" l="1"/>
  <c r="DR103" i="10"/>
  <c r="DQ222" i="10"/>
  <c r="DV153" i="10"/>
  <c r="DV152" i="10"/>
  <c r="DV147" i="10"/>
  <c r="DV154" i="10"/>
  <c r="DV149" i="10"/>
  <c r="DV148" i="10"/>
  <c r="JZ147" i="10"/>
  <c r="JZ149" i="10"/>
  <c r="KA148" i="10" l="1"/>
  <c r="DS103" i="10"/>
  <c r="DR222" i="10"/>
  <c r="DW154" i="10"/>
  <c r="DW153" i="10"/>
  <c r="DW152" i="10"/>
  <c r="DW147" i="10"/>
  <c r="DW149" i="10"/>
  <c r="DW148" i="10"/>
  <c r="KA149" i="10"/>
  <c r="KA147" i="10"/>
  <c r="DT103" i="10" l="1"/>
  <c r="DS222" i="10"/>
  <c r="DX153" i="10"/>
  <c r="DX149" i="10"/>
  <c r="DX152" i="10"/>
  <c r="DX154" i="10"/>
  <c r="DX147" i="10"/>
  <c r="DX148" i="10"/>
  <c r="KB148" i="10"/>
  <c r="KB147" i="10"/>
  <c r="KB149" i="10"/>
  <c r="KC149" i="10" l="1"/>
  <c r="KC147" i="10"/>
  <c r="KC148" i="10"/>
  <c r="DU103" i="10"/>
  <c r="DT222" i="10"/>
  <c r="DY148" i="10"/>
  <c r="DY154" i="10"/>
  <c r="DY147" i="10"/>
  <c r="DY153" i="10"/>
  <c r="DY149" i="10"/>
  <c r="DY152" i="10"/>
  <c r="KD148" i="10" l="1"/>
  <c r="KD147" i="10"/>
  <c r="KD149" i="10"/>
  <c r="DV103" i="10"/>
  <c r="DU222" i="10"/>
  <c r="DZ149" i="10"/>
  <c r="DZ154" i="10"/>
  <c r="DZ148" i="10"/>
  <c r="DZ153" i="10"/>
  <c r="DZ147" i="10"/>
  <c r="DZ152" i="10"/>
  <c r="KE149" i="10" l="1"/>
  <c r="KE148" i="10"/>
  <c r="DW103" i="10"/>
  <c r="DV222" i="10"/>
  <c r="EA154" i="10"/>
  <c r="EA149" i="10"/>
  <c r="EA147" i="10"/>
  <c r="EA152" i="10"/>
  <c r="EA148" i="10"/>
  <c r="EA153" i="10"/>
  <c r="KE147" i="10"/>
  <c r="KF148" i="10" l="1"/>
  <c r="KF147" i="10"/>
  <c r="KF149" i="10"/>
  <c r="DX103" i="10"/>
  <c r="DW222" i="10"/>
  <c r="EB149" i="10"/>
  <c r="EB154" i="10"/>
  <c r="EB148" i="10"/>
  <c r="EB152" i="10"/>
  <c r="EB147" i="10"/>
  <c r="EB153" i="10"/>
  <c r="KG147" i="10" l="1"/>
  <c r="KG148" i="10"/>
  <c r="KG149" i="10"/>
  <c r="DY103" i="10"/>
  <c r="DX222" i="10"/>
  <c r="EC154" i="10"/>
  <c r="EC149" i="10"/>
  <c r="EC153" i="10"/>
  <c r="KH148" i="10" s="1"/>
  <c r="EC147" i="10"/>
  <c r="EC152" i="10"/>
  <c r="EC148" i="10"/>
  <c r="KH149" i="10" l="1"/>
  <c r="DZ103" i="10"/>
  <c r="DY222" i="10"/>
  <c r="ED153" i="10"/>
  <c r="ED148" i="10"/>
  <c r="ED154" i="10"/>
  <c r="ED152" i="10"/>
  <c r="ED149" i="10"/>
  <c r="ED147" i="10"/>
  <c r="KH147" i="10"/>
  <c r="KI149" i="10" l="1"/>
  <c r="KI147" i="10"/>
  <c r="KI148" i="10"/>
  <c r="EA103" i="10"/>
  <c r="DZ222" i="10"/>
  <c r="EE148" i="10"/>
  <c r="EE154" i="10"/>
  <c r="EE153" i="10"/>
  <c r="EE152" i="10"/>
  <c r="EE147" i="10"/>
  <c r="EE149" i="10"/>
  <c r="KJ149" i="10" l="1"/>
  <c r="KJ147" i="10"/>
  <c r="EB103" i="10"/>
  <c r="EA222" i="10"/>
  <c r="EF153" i="10"/>
  <c r="EF152" i="10"/>
  <c r="EF154" i="10"/>
  <c r="EF147" i="10"/>
  <c r="EF149" i="10"/>
  <c r="EF148" i="10"/>
  <c r="KJ148" i="10"/>
  <c r="KK147" i="10" l="1"/>
  <c r="KK149" i="10"/>
  <c r="KK148" i="10"/>
  <c r="EC103" i="10"/>
  <c r="EB222" i="10"/>
  <c r="EG154" i="10"/>
  <c r="EG152" i="10"/>
  <c r="EG148" i="10"/>
  <c r="EG147" i="10"/>
  <c r="EG149" i="10"/>
  <c r="EG153" i="10"/>
  <c r="KL147" i="10" l="1"/>
  <c r="KL149" i="10"/>
  <c r="KL148" i="10"/>
  <c r="ED103" i="10"/>
  <c r="EC222" i="10"/>
  <c r="EH149" i="10"/>
  <c r="EH154" i="10"/>
  <c r="EH152" i="10"/>
  <c r="EH147" i="10"/>
  <c r="EH148" i="10"/>
  <c r="EH153" i="10"/>
  <c r="KM149" i="10" l="1"/>
  <c r="KM147" i="10"/>
  <c r="EE103" i="10"/>
  <c r="ED222" i="10"/>
  <c r="EI148" i="10"/>
  <c r="EI154" i="10"/>
  <c r="EI149" i="10"/>
  <c r="EI147" i="10"/>
  <c r="EI153" i="10"/>
  <c r="EI152" i="10"/>
  <c r="KM148" i="10"/>
  <c r="KN148" i="10" l="1"/>
  <c r="KN149" i="10"/>
  <c r="EF103" i="10"/>
  <c r="EE222" i="10"/>
  <c r="EJ153" i="10"/>
  <c r="EJ147" i="10"/>
  <c r="EJ149" i="10"/>
  <c r="EJ154" i="10"/>
  <c r="EJ148" i="10"/>
  <c r="EJ152" i="10"/>
  <c r="KN147" i="10"/>
  <c r="KO149" i="10" l="1"/>
  <c r="EG103" i="10"/>
  <c r="EF222" i="10"/>
  <c r="EK148" i="10"/>
  <c r="EK149" i="10"/>
  <c r="EK152" i="10"/>
  <c r="EK154" i="10"/>
  <c r="EK153" i="10"/>
  <c r="KP148" i="10" s="1"/>
  <c r="EK147" i="10"/>
  <c r="KO148" i="10"/>
  <c r="KO147" i="10"/>
  <c r="KP149" i="10" l="1"/>
  <c r="KP147" i="10"/>
  <c r="EH103" i="10"/>
  <c r="EG222" i="10"/>
  <c r="EL152" i="10"/>
  <c r="EL149" i="10"/>
  <c r="EL147" i="10"/>
  <c r="EL148" i="10"/>
  <c r="EL154" i="10"/>
  <c r="EL153" i="10"/>
  <c r="KQ149" i="10" l="1"/>
  <c r="EI103" i="10"/>
  <c r="EH222" i="10"/>
  <c r="EM152" i="10"/>
  <c r="EM149" i="10"/>
  <c r="EM148" i="10"/>
  <c r="EM147" i="10"/>
  <c r="EM154" i="10"/>
  <c r="EM153" i="10"/>
  <c r="KQ147" i="10"/>
  <c r="KQ148" i="10"/>
  <c r="KR149" i="10" l="1"/>
  <c r="KR148" i="10"/>
  <c r="KR147" i="10"/>
  <c r="EJ103" i="10"/>
  <c r="EI222" i="10"/>
  <c r="EN153" i="10"/>
  <c r="EN154" i="10"/>
  <c r="EN148" i="10"/>
  <c r="EN147" i="10"/>
  <c r="EN149" i="10"/>
  <c r="EN152" i="10"/>
  <c r="KS149" i="10" l="1"/>
  <c r="EK103" i="10"/>
  <c r="EJ222" i="10"/>
  <c r="EO153" i="10"/>
  <c r="EO147" i="10"/>
  <c r="EO154" i="10"/>
  <c r="EO152" i="10"/>
  <c r="EO149" i="10"/>
  <c r="EO148" i="10"/>
  <c r="KS148" i="10"/>
  <c r="KS147" i="10"/>
  <c r="KT147" i="10" l="1"/>
  <c r="KT148" i="10"/>
  <c r="KT149" i="10"/>
  <c r="EL103" i="10"/>
  <c r="EK222" i="10"/>
  <c r="EP152" i="10"/>
  <c r="EP149" i="10"/>
  <c r="EP154" i="10"/>
  <c r="EP153" i="10"/>
  <c r="EP147" i="10"/>
  <c r="EP148" i="10"/>
  <c r="KU148" i="10" l="1"/>
  <c r="KU149" i="10"/>
  <c r="KU147" i="10"/>
  <c r="EM103" i="10"/>
  <c r="EL222" i="10"/>
  <c r="EQ153" i="10"/>
  <c r="EQ148" i="10"/>
  <c r="EQ154" i="10"/>
  <c r="EQ152" i="10"/>
  <c r="EQ149" i="10"/>
  <c r="EQ147" i="10"/>
  <c r="KV147" i="10" l="1"/>
  <c r="KV148" i="10"/>
  <c r="KV149" i="10"/>
  <c r="EN103" i="10"/>
  <c r="EM222" i="10"/>
  <c r="ER148" i="10"/>
  <c r="ER153" i="10"/>
  <c r="ER147" i="10"/>
  <c r="ER152" i="10"/>
  <c r="ER149" i="10"/>
  <c r="ER154" i="10"/>
  <c r="KW147" i="10" l="1"/>
  <c r="KW148" i="10"/>
  <c r="EO103" i="10"/>
  <c r="EN222" i="10"/>
  <c r="ES147" i="10"/>
  <c r="ES154" i="10"/>
  <c r="ES152" i="10"/>
  <c r="ES153" i="10"/>
  <c r="ES149" i="10"/>
  <c r="ES148" i="10"/>
  <c r="KW149" i="10"/>
  <c r="KX147" i="10" l="1"/>
  <c r="KX148" i="10"/>
  <c r="KX149" i="10"/>
  <c r="EP103" i="10"/>
  <c r="EO222" i="10"/>
  <c r="ET152" i="10"/>
  <c r="ET149" i="10"/>
  <c r="ET148" i="10"/>
  <c r="ET147" i="10"/>
  <c r="ET153" i="10"/>
  <c r="ET154" i="10"/>
  <c r="KY149" i="10" l="1"/>
  <c r="KY147" i="10"/>
  <c r="EQ103" i="10"/>
  <c r="EP222" i="10"/>
  <c r="EU153" i="10"/>
  <c r="EU154" i="10"/>
  <c r="EU152" i="10"/>
  <c r="EU149" i="10"/>
  <c r="EU147" i="10"/>
  <c r="EU148" i="10"/>
  <c r="KY148" i="10"/>
  <c r="KZ147" i="10" l="1"/>
  <c r="KZ148" i="10"/>
  <c r="KZ149" i="10"/>
  <c r="ER103" i="10"/>
  <c r="EQ222" i="10"/>
  <c r="EV154" i="10"/>
  <c r="EV149" i="10"/>
  <c r="EV152" i="10"/>
  <c r="EV148" i="10"/>
  <c r="EV153" i="10"/>
  <c r="EV147" i="10"/>
  <c r="LA148" i="10" l="1"/>
  <c r="LA147" i="10"/>
  <c r="LA149" i="10"/>
  <c r="ES103" i="10"/>
  <c r="ER222" i="10"/>
  <c r="EW153" i="10"/>
  <c r="EW147" i="10"/>
  <c r="EW152" i="10"/>
  <c r="EW154" i="10"/>
  <c r="EW149" i="10"/>
  <c r="EW148" i="10"/>
  <c r="LB148" i="10" l="1"/>
  <c r="LB147" i="10"/>
  <c r="LB149" i="10"/>
  <c r="ET103" i="10"/>
  <c r="ES222" i="10"/>
  <c r="EX153" i="10"/>
  <c r="EX152" i="10"/>
  <c r="EX149" i="10"/>
  <c r="EX154" i="10"/>
  <c r="EX147" i="10"/>
  <c r="EX148" i="10"/>
  <c r="LC149" i="10" l="1"/>
  <c r="LC148" i="10"/>
  <c r="LC147" i="10"/>
  <c r="EU103" i="10"/>
  <c r="ET222" i="10"/>
  <c r="EY153" i="10"/>
  <c r="EY148" i="10"/>
  <c r="EY154" i="10"/>
  <c r="EY147" i="10"/>
  <c r="EY152" i="10"/>
  <c r="EY149" i="10"/>
  <c r="LD148" i="10" l="1"/>
  <c r="LD149" i="10"/>
  <c r="EV103" i="10"/>
  <c r="EU222" i="10"/>
  <c r="EZ148" i="10"/>
  <c r="EZ153" i="10"/>
  <c r="EZ147" i="10"/>
  <c r="EZ152" i="10"/>
  <c r="EZ149" i="10"/>
  <c r="EZ154" i="10"/>
  <c r="LD147" i="10"/>
  <c r="LE149" i="10" l="1"/>
  <c r="LE147" i="10"/>
  <c r="LE148" i="10"/>
  <c r="EW103" i="10"/>
  <c r="EV222" i="10"/>
  <c r="FA153" i="10"/>
  <c r="FA147" i="10"/>
  <c r="FA154" i="10"/>
  <c r="FA148" i="10"/>
  <c r="FA149" i="10"/>
  <c r="FA152" i="10"/>
  <c r="LF147" i="10" l="1"/>
  <c r="LF148" i="10"/>
  <c r="LF149" i="10"/>
  <c r="EX103" i="10"/>
  <c r="EW222" i="10"/>
  <c r="FB154" i="10"/>
  <c r="FB153" i="10"/>
  <c r="LG148" i="10" s="1"/>
  <c r="FB147" i="10"/>
  <c r="FB152" i="10"/>
  <c r="FB148" i="10"/>
  <c r="FB149" i="10"/>
  <c r="LG149" i="10" l="1"/>
  <c r="LG147" i="10"/>
  <c r="EY103" i="10"/>
  <c r="EX222" i="10"/>
  <c r="FC153" i="10"/>
  <c r="FC154" i="10"/>
  <c r="FC152" i="10"/>
  <c r="FC148" i="10"/>
  <c r="FC149" i="10"/>
  <c r="FC147" i="10"/>
  <c r="LH147" i="10" l="1"/>
  <c r="LH148" i="10"/>
  <c r="LH149" i="10"/>
  <c r="EZ103" i="10"/>
  <c r="EY222" i="10"/>
  <c r="FD148" i="10"/>
  <c r="FD153" i="10"/>
  <c r="FD154" i="10"/>
  <c r="LI149" i="10" s="1"/>
  <c r="FD152" i="10"/>
  <c r="FD147" i="10"/>
  <c r="FD149" i="10"/>
  <c r="LI148" i="10" l="1"/>
  <c r="EZ222" i="10"/>
  <c r="FA103" i="10"/>
  <c r="FE148" i="10"/>
  <c r="FE153" i="10"/>
  <c r="FE152" i="10"/>
  <c r="FE154" i="10"/>
  <c r="FE149" i="10"/>
  <c r="FE147" i="10"/>
  <c r="LI147" i="10"/>
  <c r="LJ148" i="10" l="1"/>
  <c r="LJ149" i="10"/>
  <c r="FB103" i="10"/>
  <c r="FA222" i="10"/>
  <c r="FF148" i="10"/>
  <c r="FF153" i="10"/>
  <c r="FF152" i="10"/>
  <c r="FF149" i="10"/>
  <c r="FF147" i="10"/>
  <c r="FF154" i="10"/>
  <c r="LJ147" i="10"/>
  <c r="LK147" i="10" l="1"/>
  <c r="LK148" i="10"/>
  <c r="LK149" i="10"/>
  <c r="FC103" i="10"/>
  <c r="FB222" i="10"/>
  <c r="FG147" i="10"/>
  <c r="FG153" i="10"/>
  <c r="FG148" i="10"/>
  <c r="FG154" i="10"/>
  <c r="FG152" i="10"/>
  <c r="FG149" i="10"/>
  <c r="LL147" i="10" l="1"/>
  <c r="LL149" i="10"/>
  <c r="LL148" i="10"/>
  <c r="FD103" i="10"/>
  <c r="FC222" i="10"/>
  <c r="FH148" i="10"/>
  <c r="FH153" i="10"/>
  <c r="FH147" i="10"/>
  <c r="FH154" i="10"/>
  <c r="FH152" i="10"/>
  <c r="FH149" i="10"/>
  <c r="LM148" i="10" l="1"/>
  <c r="LM147" i="10"/>
  <c r="LM149" i="10"/>
  <c r="FE103" i="10"/>
  <c r="FD222" i="10"/>
  <c r="FI153" i="10"/>
  <c r="FI147" i="10"/>
  <c r="FI148" i="10"/>
  <c r="FI154" i="10"/>
  <c r="FI152" i="10"/>
  <c r="FI149" i="10"/>
  <c r="LN147" i="10" l="1"/>
  <c r="LN148" i="10"/>
  <c r="LN149" i="10"/>
  <c r="FE222" i="10"/>
  <c r="FJ153" i="10"/>
  <c r="FJ149" i="10"/>
  <c r="FJ154" i="10"/>
  <c r="FJ148" i="10"/>
  <c r="FJ152" i="10"/>
  <c r="LO149" i="10" l="1"/>
  <c r="LO148" i="10"/>
  <c r="AX19" i="2"/>
  <c r="AX30"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<sst xmlns="http://schemas.openxmlformats.org/spreadsheetml/2006/main" count="874" uniqueCount="351">
  <si>
    <t>-</t>
  </si>
  <si>
    <t>frames initial</t>
  </si>
  <si>
    <t>frames cut top</t>
  </si>
  <si>
    <t>frames cut bottom</t>
  </si>
  <si>
    <t>frames final</t>
  </si>
  <si>
    <t>edge frame start</t>
  </si>
  <si>
    <t>edge 1 frame end</t>
  </si>
  <si>
    <t xml:space="preserve">in between </t>
  </si>
  <si>
    <t xml:space="preserve">edge 2 start </t>
  </si>
  <si>
    <t>edge 2 end</t>
  </si>
  <si>
    <t>skin estimate 1</t>
  </si>
  <si>
    <t>skin estimate 2</t>
  </si>
  <si>
    <t xml:space="preserve">core estimate 1 </t>
  </si>
  <si>
    <t>core estimate 2</t>
  </si>
  <si>
    <t>462 (2)</t>
  </si>
  <si>
    <t>510 (2)</t>
  </si>
  <si>
    <t>503 (2)</t>
  </si>
  <si>
    <t>496 (2)</t>
  </si>
  <si>
    <t>442 (3)</t>
  </si>
  <si>
    <t>505 (3)</t>
  </si>
  <si>
    <t>499 (3)</t>
  </si>
  <si>
    <t>472 (3)</t>
  </si>
  <si>
    <t>453 (4)</t>
  </si>
  <si>
    <t>508 (4)</t>
  </si>
  <si>
    <t>501 (4)</t>
  </si>
  <si>
    <t>639 (5)</t>
  </si>
  <si>
    <t>484 (4)</t>
  </si>
  <si>
    <t>650 (5)</t>
  </si>
  <si>
    <t>661 (5)</t>
  </si>
  <si>
    <t>685 (5)</t>
  </si>
  <si>
    <t>514 (8)</t>
  </si>
  <si>
    <t>523 (8)</t>
  </si>
  <si>
    <t>532 (8)</t>
  </si>
  <si>
    <t>542 (8)</t>
  </si>
  <si>
    <t>517 (9)</t>
  </si>
  <si>
    <t>525 (9)</t>
  </si>
  <si>
    <t>534 (9)</t>
  </si>
  <si>
    <t>546 (9)</t>
  </si>
  <si>
    <t>520 (10)</t>
  </si>
  <si>
    <t>530 (10)</t>
  </si>
  <si>
    <t>536(10)</t>
  </si>
  <si>
    <t>553 (10)</t>
  </si>
  <si>
    <t>584 (11)</t>
  </si>
  <si>
    <t>602 (11)</t>
  </si>
  <si>
    <t>614 (11)</t>
  </si>
  <si>
    <t>560(11)</t>
  </si>
  <si>
    <t>588 (12)</t>
  </si>
  <si>
    <t>607(12)</t>
  </si>
  <si>
    <t>617 (12)</t>
  </si>
  <si>
    <t>565 (12)</t>
  </si>
  <si>
    <t>sample and files (from polar integration)</t>
  </si>
  <si>
    <t>sample and files (from azimuthal integration)</t>
  </si>
  <si>
    <t xml:space="preserve">frames cut top </t>
  </si>
  <si>
    <t>Total skin</t>
  </si>
  <si>
    <t>Total core</t>
  </si>
  <si>
    <t>635 (7)</t>
  </si>
  <si>
    <t>642 (6)</t>
  </si>
  <si>
    <t>654 (6)</t>
  </si>
  <si>
    <t>666 (6)</t>
  </si>
  <si>
    <t>689 (6)</t>
  </si>
  <si>
    <t>646 (7)</t>
  </si>
  <si>
    <t>657 (7)</t>
  </si>
  <si>
    <t>672 (7)</t>
  </si>
  <si>
    <t>596 (14)</t>
  </si>
  <si>
    <t>610 (14)</t>
  </si>
  <si>
    <t>631 (14)</t>
  </si>
  <si>
    <t>577 (14)</t>
  </si>
  <si>
    <t>core estimate 3</t>
  </si>
  <si>
    <t>CORE ESTIMATE 3</t>
  </si>
  <si>
    <t>DATA MANIPULATION</t>
  </si>
  <si>
    <t>TOTAL CORE POLAR</t>
  </si>
  <si>
    <t>TOTAL CORE AZIMUTHAL</t>
  </si>
  <si>
    <t>DIFFERENCE</t>
  </si>
  <si>
    <t>FRACTIONAL DIFEFRENCE</t>
  </si>
  <si>
    <t>TOTAL SKIN POLAR</t>
  </si>
  <si>
    <t>TOTAL SKIN AZIMUTHAL</t>
  </si>
  <si>
    <t>AVG</t>
  </si>
  <si>
    <t>SEPS 22 wt % sample number</t>
  </si>
  <si>
    <t>Injection rate mm / s</t>
  </si>
  <si>
    <t>Thickness / mm</t>
  </si>
  <si>
    <t>Processing Temperature / degrees celsius</t>
  </si>
  <si>
    <t>Post extrusion conditions</t>
  </si>
  <si>
    <t>NA</t>
  </si>
  <si>
    <t>annealing for 30 min at 180 degrees</t>
  </si>
  <si>
    <t>cooling at 180 degrees</t>
  </si>
  <si>
    <t>annealing for 60 min at 180 degrees</t>
  </si>
  <si>
    <t>SAMPLE DATA</t>
  </si>
  <si>
    <t>Perpendicular orientation analysis</t>
  </si>
  <si>
    <t xml:space="preserve">sample and files </t>
  </si>
  <si>
    <t>skin fraction total</t>
  </si>
  <si>
    <t>PROCESSING CONDITION</t>
  </si>
  <si>
    <t>Thickness position</t>
  </si>
  <si>
    <t>Distance from injection point</t>
  </si>
  <si>
    <t>FOR THICKNESS</t>
  </si>
  <si>
    <t>12mm</t>
  </si>
  <si>
    <t>27mm</t>
  </si>
  <si>
    <t>42mm</t>
  </si>
  <si>
    <t xml:space="preserve">             distance from injection point</t>
  </si>
  <si>
    <t>thickness</t>
  </si>
  <si>
    <t>annealing</t>
  </si>
  <si>
    <t>Sample</t>
  </si>
  <si>
    <t>perp</t>
  </si>
  <si>
    <t>mm</t>
  </si>
  <si>
    <t>minutes</t>
  </si>
  <si>
    <t>565+566</t>
  </si>
  <si>
    <t>596+597+598</t>
  </si>
  <si>
    <t>core fraction</t>
  </si>
  <si>
    <t>skin fraction</t>
  </si>
  <si>
    <t>sample files from polar</t>
  </si>
  <si>
    <t>sample number</t>
  </si>
  <si>
    <t>annealing time</t>
  </si>
  <si>
    <t>cooling</t>
  </si>
  <si>
    <t>3 &amp; 4 frames core</t>
  </si>
  <si>
    <t>annealing at 180 degrees 60 min</t>
  </si>
  <si>
    <t>annealing at 180 degrees 30 min</t>
  </si>
  <si>
    <t>annealing at 180 degrees 60 min and cooling</t>
  </si>
  <si>
    <t>sample</t>
  </si>
  <si>
    <t>core fraction total</t>
  </si>
  <si>
    <t>plot thickness of skin layer combined top and bottom</t>
  </si>
  <si>
    <t>0 annealing</t>
  </si>
  <si>
    <t xml:space="preserve">12 mm </t>
  </si>
  <si>
    <t xml:space="preserve">27 mm </t>
  </si>
  <si>
    <t>42 mm</t>
  </si>
  <si>
    <t>30 annealing</t>
  </si>
  <si>
    <t>60 annealing</t>
  </si>
  <si>
    <t>compare perpendicular with 42 mm</t>
  </si>
  <si>
    <t>perpendicular</t>
  </si>
  <si>
    <t>parallel</t>
  </si>
  <si>
    <t>Piston diameter</t>
  </si>
  <si>
    <t>injection rate</t>
  </si>
  <si>
    <t>Entrance gap</t>
  </si>
  <si>
    <t>Brubert  thesis 2016</t>
  </si>
  <si>
    <t>CASE 1 (ASSUME NEWTONIAN)</t>
  </si>
  <si>
    <t>Q</t>
  </si>
  <si>
    <t>Thicknesses</t>
  </si>
  <si>
    <t>Distances from injection pt</t>
  </si>
  <si>
    <t>strain rate</t>
  </si>
  <si>
    <t>extension rate</t>
  </si>
  <si>
    <t>0.3 mm</t>
  </si>
  <si>
    <t>z range</t>
  </si>
  <si>
    <t>0.5 mm</t>
  </si>
  <si>
    <t>1 mm</t>
  </si>
  <si>
    <t>1.6 mm</t>
  </si>
  <si>
    <t>ratio</t>
  </si>
  <si>
    <t>Power  law case</t>
  </si>
  <si>
    <t>Q/4PI</t>
  </si>
  <si>
    <t>2n+1</t>
  </si>
  <si>
    <t>n+1</t>
  </si>
  <si>
    <t>2n+1/n+1</t>
  </si>
  <si>
    <t>1+n/n</t>
  </si>
  <si>
    <t>1/n</t>
  </si>
  <si>
    <t xml:space="preserve">CASE 1 </t>
  </si>
  <si>
    <t>CASE 1</t>
  </si>
  <si>
    <t>REVERSE SKIN AND CORE</t>
  </si>
  <si>
    <t>SKIN fraction total</t>
  </si>
  <si>
    <t>CORE fraction total</t>
  </si>
  <si>
    <t>transition z</t>
  </si>
  <si>
    <t>core thickness</t>
  </si>
  <si>
    <t>Transition z</t>
  </si>
  <si>
    <t>Actual core fraction</t>
  </si>
  <si>
    <t>actual core fraction</t>
  </si>
  <si>
    <t>Transition</t>
  </si>
  <si>
    <t>cor efraction</t>
  </si>
  <si>
    <t>shear rate at wall</t>
  </si>
  <si>
    <t>SAMPLES PARALLEL</t>
  </si>
  <si>
    <t>2 NA</t>
  </si>
  <si>
    <t>4 30 MIN</t>
  </si>
  <si>
    <t>3 60 MIN</t>
  </si>
  <si>
    <t>7 30 MIN</t>
  </si>
  <si>
    <t>6 60 MIN</t>
  </si>
  <si>
    <t>5 NA</t>
  </si>
  <si>
    <t>8 NA</t>
  </si>
  <si>
    <t>10 30 MIN</t>
  </si>
  <si>
    <t>9 60 MIN</t>
  </si>
  <si>
    <t>fractions of thickness</t>
  </si>
  <si>
    <t xml:space="preserve"> DIFFERENCE</t>
  </si>
  <si>
    <t>dpiston</t>
  </si>
  <si>
    <t>Apiston</t>
  </si>
  <si>
    <t>Ratio</t>
  </si>
  <si>
    <t>normalise for 0.3</t>
  </si>
  <si>
    <t>for  0.5</t>
  </si>
  <si>
    <t>for 1 mm</t>
  </si>
  <si>
    <t>FOR 1,6 MM</t>
  </si>
  <si>
    <t>psi</t>
  </si>
  <si>
    <t>r</t>
  </si>
  <si>
    <t>b</t>
  </si>
  <si>
    <t>estimated core fractions</t>
  </si>
  <si>
    <t>z</t>
  </si>
  <si>
    <t>experimental</t>
  </si>
  <si>
    <t>square errors</t>
  </si>
  <si>
    <t>sum square errors</t>
  </si>
  <si>
    <t>find critical psi for all newtonian</t>
  </si>
  <si>
    <t>1mm</t>
  </si>
  <si>
    <t>samples 5 8 2 and 12</t>
  </si>
  <si>
    <t>for all samples</t>
  </si>
  <si>
    <t>sample 6</t>
  </si>
  <si>
    <t>sample 10</t>
  </si>
  <si>
    <t>sample 3</t>
  </si>
  <si>
    <t>sample 11</t>
  </si>
  <si>
    <t>sample 5</t>
  </si>
  <si>
    <t>sample 8</t>
  </si>
  <si>
    <t>sample 2</t>
  </si>
  <si>
    <t>sample 12</t>
  </si>
  <si>
    <t>sample 7</t>
  </si>
  <si>
    <t>sample 9</t>
  </si>
  <si>
    <t>sample 4</t>
  </si>
  <si>
    <t>sample 14</t>
  </si>
  <si>
    <t>core fraction estimates</t>
  </si>
  <si>
    <t>MSE</t>
  </si>
  <si>
    <t>mse sum</t>
  </si>
  <si>
    <t>ALL SAMPLES</t>
  </si>
  <si>
    <t>SAMPLES 5, 8, 2 12</t>
  </si>
  <si>
    <t>SAMPLES 6, 10, 3 11</t>
  </si>
  <si>
    <t>SAMPLES 7, 9, 4 14</t>
  </si>
  <si>
    <t>SAMPLES</t>
  </si>
  <si>
    <t>PSI OPTIMAL</t>
  </si>
  <si>
    <t>OUTLIERS</t>
  </si>
  <si>
    <t>STDV</t>
  </si>
  <si>
    <t>Ptimisation for all</t>
  </si>
  <si>
    <t>thickness psi</t>
  </si>
  <si>
    <t>including outliers</t>
  </si>
  <si>
    <t>clear trend for psi to increase with thickness despite outliers</t>
  </si>
  <si>
    <t>30 MIN</t>
  </si>
  <si>
    <t>60 MIN</t>
  </si>
  <si>
    <t>AVERAGE</t>
  </si>
  <si>
    <t>stdv</t>
  </si>
  <si>
    <t>average no outliers</t>
  </si>
  <si>
    <t>stdve</t>
  </si>
  <si>
    <t>for 0 annealing</t>
  </si>
  <si>
    <t>Avg thickness</t>
  </si>
  <si>
    <t>FOR 30 MIN ANNEALING</t>
  </si>
  <si>
    <t>FOR 60 MIN ANNEALING</t>
  </si>
  <si>
    <t>OPTIMISE NEW FOR SHEAR RATES ALL SAMPLES TOGETHER</t>
  </si>
  <si>
    <t>PSI</t>
  </si>
  <si>
    <t>ALL SAMPLES TOGETHER</t>
  </si>
  <si>
    <t>B</t>
  </si>
  <si>
    <t>Z</t>
  </si>
  <si>
    <t>ESTIMATED CORE FRACTION</t>
  </si>
  <si>
    <t>mse</t>
  </si>
  <si>
    <t>sum mse</t>
  </si>
  <si>
    <t>PSI OPTIMAL 12MM</t>
  </si>
  <si>
    <t>SUMS</t>
  </si>
  <si>
    <t>at different distances</t>
  </si>
  <si>
    <t>bundle thicknesses</t>
  </si>
  <si>
    <t>dist</t>
  </si>
  <si>
    <t>core</t>
  </si>
  <si>
    <t>skin</t>
  </si>
  <si>
    <t>psi optimal</t>
  </si>
  <si>
    <t>estimated core fraction</t>
  </si>
  <si>
    <t>FOR EACH SAMPLE</t>
  </si>
  <si>
    <t>SUM MSE</t>
  </si>
  <si>
    <t>CRITICAL PSI FOR ANNEALING USE THICKNESS</t>
  </si>
  <si>
    <t>THICKNESS</t>
  </si>
  <si>
    <t>MSE SUM</t>
  </si>
  <si>
    <t>OPTIMAL PSI FOR ALL</t>
  </si>
  <si>
    <t>METHOD 1</t>
  </si>
  <si>
    <t>METHOD 2</t>
  </si>
  <si>
    <t>STD</t>
  </si>
  <si>
    <t>METHOD 3</t>
  </si>
  <si>
    <t>BASED ON INJECTION DISTANCE</t>
  </si>
  <si>
    <t>12MM</t>
  </si>
  <si>
    <t>27 MM</t>
  </si>
  <si>
    <t>42 MM</t>
  </si>
  <si>
    <t>BASED ON ANNEALING</t>
  </si>
  <si>
    <t>MSE na</t>
  </si>
  <si>
    <t>MSE 60 MIN</t>
  </si>
  <si>
    <t>MSE 30 MIN</t>
  </si>
  <si>
    <t>ANNEALING TIME</t>
  </si>
  <si>
    <t>PSI AVERAGE</t>
  </si>
  <si>
    <t>PTS</t>
  </si>
  <si>
    <t>PLOTS FOR ALL 3 INJECTION AND TAKE AVG</t>
  </si>
  <si>
    <t>PLOTS FOR THICKNESSES</t>
  </si>
  <si>
    <t>PLOTS FOR ANNEALING</t>
  </si>
  <si>
    <t>for all thicknesses</t>
  </si>
  <si>
    <t>FOR ALL ANNEALING TIMES</t>
  </si>
  <si>
    <t>for parallel</t>
  </si>
  <si>
    <t>CORE</t>
  </si>
  <si>
    <t>SKIN</t>
  </si>
  <si>
    <t>NEWTONIAN WORKS SATISFACTORY</t>
  </si>
  <si>
    <t>PERPENDICULAR NEGLECTING ANNEALING</t>
  </si>
  <si>
    <t>ignoring annealing</t>
  </si>
  <si>
    <t>distance from injection pt</t>
  </si>
  <si>
    <t>12 mm from injection pt</t>
  </si>
  <si>
    <t>27 mm</t>
  </si>
  <si>
    <t>no annealing</t>
  </si>
  <si>
    <t>BASED ON THESE IT'S POSSIBLE THATG ANNEALING HAS THE MOST PRONOUNCED EFFECT AT 12 MM FROM THE INJECTION POINT AND FOR THE LARGER SAMPLE THICKNESSES</t>
  </si>
  <si>
    <t>COMPARISONS WHEN SHEAR/STRETCH = 30</t>
  </si>
  <si>
    <t>MSE USING PSI=30</t>
  </si>
  <si>
    <t>OPTIMISE FOR MINIMAL MSE]</t>
  </si>
  <si>
    <t>overall possibly overestimates</t>
  </si>
  <si>
    <t>FOR DISTANCE FRO MINJECTION POINT</t>
  </si>
  <si>
    <t>PSI=30</t>
  </si>
  <si>
    <t>EXP</t>
  </si>
  <si>
    <t>PSI=39</t>
  </si>
  <si>
    <t>psi = 39 always performs better for each thickness range but the other way round for distance from injection point</t>
  </si>
  <si>
    <t>USING REGRESSION LINE</t>
  </si>
  <si>
    <t>DIFF</t>
  </si>
  <si>
    <t>REGRESSION LINE</t>
  </si>
  <si>
    <t>SUM + VE RESIDUALS</t>
  </si>
  <si>
    <t>flip</t>
  </si>
  <si>
    <t>check via HOF</t>
  </si>
  <si>
    <t>power law</t>
  </si>
  <si>
    <t>n</t>
  </si>
  <si>
    <t>bact</t>
  </si>
  <si>
    <t>eqn</t>
  </si>
  <si>
    <t>psi=30</t>
  </si>
  <si>
    <t>explanation as psi increases n increases</t>
  </si>
  <si>
    <t>approach newtonian</t>
  </si>
  <si>
    <t>as critical psi increases less shear thinning</t>
  </si>
  <si>
    <t>less plug flow more paraboolic</t>
  </si>
  <si>
    <t>as critical psi increases means further away for skin to domiinate</t>
  </si>
  <si>
    <t>therefore need higher shear closer to center line</t>
  </si>
  <si>
    <t>relative to newtonian result and lower shear past intersection with newtonian closer to wall relative to newtonian</t>
  </si>
  <si>
    <t>carreau bird and giesekus</t>
  </si>
  <si>
    <t>r^2</t>
  </si>
  <si>
    <t>n=0.53</t>
  </si>
  <si>
    <t>r^2=0.86</t>
  </si>
  <si>
    <t>from plug flow to laminar to couette</t>
  </si>
  <si>
    <t>n increases too high shear rates</t>
  </si>
  <si>
    <t>mention optimise for MSE get psi = 44 and R^2 = 0.8597</t>
  </si>
  <si>
    <t>optimise for R^2 get n= 1 and psi = 70 and R^2 = 0.8678</t>
  </si>
  <si>
    <t xml:space="preserve">psi = 30 </t>
  </si>
  <si>
    <t xml:space="preserve">just model from brubert accurate </t>
  </si>
  <si>
    <t>psi and n</t>
  </si>
  <si>
    <t>when refering to Q state piston diameter and velocity</t>
  </si>
  <si>
    <t>normalise for report</t>
  </si>
  <si>
    <t>methodology consistency check</t>
  </si>
  <si>
    <t>0.81 thickness</t>
  </si>
  <si>
    <t>y</t>
  </si>
  <si>
    <t>x</t>
  </si>
  <si>
    <t>0.44 thickness</t>
  </si>
  <si>
    <t>0.58 thickness</t>
  </si>
  <si>
    <t>0.69 thickness</t>
  </si>
  <si>
    <t>1.5 thickness</t>
  </si>
  <si>
    <t>0.81 mm thickness</t>
  </si>
  <si>
    <t>0.44 mm thickness</t>
  </si>
  <si>
    <t xml:space="preserve">0.58 mm thickness </t>
  </si>
  <si>
    <t>0.69 mm thickness</t>
  </si>
  <si>
    <t>1.5 mm thickness</t>
  </si>
  <si>
    <t xml:space="preserve">sample thickness on skin fraction effects </t>
  </si>
  <si>
    <t>EFFECT OF ANNEALING INCONCLUSIVE FROM THIS DATA</t>
  </si>
  <si>
    <t>shows that annealing probably has largest effect on thickest samples</t>
  </si>
  <si>
    <t>GRAPH ON OPTIMISED n exponent at psi of 30</t>
  </si>
  <si>
    <t>optimise r^2 value from linear regression using 2 adjustable parameters</t>
  </si>
  <si>
    <t>r^2 plateaus at 0.8767</t>
  </si>
  <si>
    <t>shear thinning most likely behaviour for polymer but sopme shear rates maybe high enough so as to cause shear thickening. Highly unlikely and possibly carreau bird or 3rd order fluid or gieseku smodel could give more Accurate iinformation on shear rates at ech distance from injection point for different sample thickness (requires FEM methods)</t>
  </si>
  <si>
    <t>C LOSEST TO INJECTION POINT GREATEST UNCEDRTAINTY AS EXPECTED</t>
  </si>
  <si>
    <t>RETHINK PRESENTATION</t>
  </si>
  <si>
    <t>SHEAR AND EXTENSION</t>
  </si>
  <si>
    <t>LOOK AT DIFFERENT INJECTION POINTS FOR SHEAR AND EXTENSION</t>
  </si>
  <si>
    <t>report plots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</si>
</sst>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8"/>
      <name val="Calibri"/>
      <family val="2"/>
      <scheme val="minor"/>
    </font>
    <font>
      <b/>
      <sz val="14"/>
      <color theme="1"/>
      <name val="Calibri"/>
      <family val="2"/>
      <scheme val="minor"/>
    </font>
    <font>
      <b/>
      <sz val="11"/>
      <color theme="1"/>
      <name val="Calibri"/>
      <family val="2"/>
      <scheme val="minor"/>
    </font>
    <font>
      <b/>
      <sz val="16"/>
      <color theme="1"/>
      <name val="Calibri"/>
      <family val="2"/>
      <scheme val="minor"/>
    </font>
    <font>
      <b/>
      <sz val="11"/>
      <color rgb="FF002060"/>
      <name val="Calibri"/>
      <family val="2"/>
      <scheme val="minor"/>
    </font>
    <font>
      <b/>
      <sz val="11"/>
      <color rgb="FFFF0000"/>
      <name val="Calibri"/>
      <family val="2"/>
      <scheme val="minor"/>
    </font>
    <font>
      <b/>
      <sz val="11"/>
      <color rgb="FF00B050"/>
      <name val="Calibri"/>
      <family val="2"/>
      <scheme val="minor"/>
    </font>
    <font>
      <sz val="12"/>
      <color theme="1"/>
      <name val="Calibri"/>
      <family val="2"/>
      <scheme val="minor"/>
    </font>
    <font>
      <sz val="11"/>
      <color rgb="FFFF0000"/>
      <name val="Calibri"/>
      <family val="2"/>
      <scheme val="minor"/>
    </font>
    <font>
      <sz val="18"/>
      <color theme="1"/>
      <name val="Calibri"/>
      <family val="2"/>
      <scheme val="minor"/>
    </font>
    <font>
      <b/>
      <sz val="20"/>
      <color theme="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5"/>
        <bgColor indexed="64"/>
      </patternFill>
    </fill>
    <fill>
      <patternFill patternType="solid">
        <fgColor theme="4"/>
        <bgColor indexed="64"/>
      </patternFill>
    </fill>
    <fill>
      <patternFill patternType="solid">
        <fgColor rgb="FF92D050"/>
        <bgColor indexed="64"/>
      </patternFill>
    </fill>
    <fill>
      <patternFill patternType="solid">
        <fgColor theme="9"/>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6">
    <xf numFmtId="0" fontId="0" fillId="0" borderId="0" xfId="0"/>
    <xf numFmtId="0" fontId="0" fillId="2" borderId="0" xfId="0" applyFill="1"/>
    <xf numFmtId="0" fontId="2" fillId="0" borderId="0" xfId="0" applyFont="1"/>
    <xf numFmtId="0" fontId="0" fillId="0" borderId="0" xfId="0" applyFill="1"/>
    <xf numFmtId="0" fontId="3" fillId="0" borderId="0" xfId="0" applyFont="1"/>
    <xf numFmtId="0" fontId="4" fillId="0" borderId="0" xfId="0" applyFont="1"/>
    <xf numFmtId="0" fontId="3" fillId="0" borderId="1" xfId="0" applyFont="1" applyBorder="1"/>
    <xf numFmtId="0" fontId="0" fillId="0" borderId="1" xfId="0" applyBorder="1"/>
    <xf numFmtId="0" fontId="0" fillId="0" borderId="0" xfId="0"/>
    <xf numFmtId="0" fontId="0" fillId="0" borderId="0" xfId="0" applyAlignment="1">
      <alignment horizontal="right"/>
    </xf>
    <xf numFmtId="0" fontId="3" fillId="0" borderId="0" xfId="0" applyFont="1"/>
    <xf numFmtId="0" fontId="5" fillId="0" borderId="0" xfId="0" applyFont="1" applyAlignment="1">
      <alignment horizontal="right"/>
    </xf>
    <xf numFmtId="0" fontId="5" fillId="0" borderId="0" xfId="0" applyFont="1" applyAlignment="1">
      <alignment horizontal="left"/>
    </xf>
    <xf numFmtId="0" fontId="5" fillId="0" borderId="0" xfId="0" applyFont="1"/>
    <xf numFmtId="0" fontId="6" fillId="0" borderId="0" xfId="0" applyFont="1"/>
    <xf numFmtId="0" fontId="7" fillId="0" borderId="0" xfId="0" applyFont="1"/>
    <xf numFmtId="0" fontId="3" fillId="0" borderId="0" xfId="0" applyFont="1" applyAlignment="1">
      <alignment horizontal="center"/>
    </xf>
    <xf numFmtId="0" fontId="8" fillId="0" borderId="0" xfId="0" applyFont="1"/>
    <xf numFmtId="0" fontId="0" fillId="0" borderId="0" xfId="0" applyFont="1"/>
    <xf numFmtId="0" fontId="3" fillId="0" borderId="0" xfId="0" applyFont="1" applyBorder="1"/>
    <xf numFmtId="0" fontId="0" fillId="0" borderId="0" xfId="0" applyBorder="1"/>
    <xf numFmtId="16" fontId="0" fillId="0" borderId="0" xfId="0" applyNumberFormat="1"/>
    <xf numFmtId="0" fontId="0" fillId="3" borderId="0" xfId="0" applyFill="1"/>
    <xf numFmtId="0" fontId="0" fillId="4" borderId="0" xfId="0" applyFill="1"/>
    <xf numFmtId="0" fontId="8" fillId="2" borderId="0" xfId="0" applyFont="1" applyFill="1"/>
    <xf numFmtId="0" fontId="8" fillId="4" borderId="0" xfId="0" applyFont="1" applyFill="1"/>
    <xf numFmtId="0" fontId="8" fillId="5" borderId="0" xfId="0" applyFont="1" applyFill="1"/>
    <xf numFmtId="0" fontId="8" fillId="6" borderId="0" xfId="0" applyFont="1" applyFill="1"/>
    <xf numFmtId="0" fontId="0" fillId="5" borderId="0" xfId="0" applyFill="1"/>
    <xf numFmtId="0" fontId="0" fillId="7" borderId="0" xfId="0" applyFill="1"/>
    <xf numFmtId="0" fontId="0" fillId="6" borderId="0" xfId="0" applyFill="1"/>
    <xf numFmtId="0" fontId="9" fillId="2" borderId="0" xfId="0" applyFont="1" applyFill="1"/>
    <xf numFmtId="0" fontId="3" fillId="2" borderId="0" xfId="0" applyFont="1" applyFill="1"/>
    <xf numFmtId="0" fontId="10" fillId="2" borderId="0" xfId="0" applyFont="1" applyFill="1"/>
    <xf numFmtId="0" fontId="11" fillId="2" borderId="0" xfId="0" applyFont="1" applyFill="1"/>
    <xf numFmtId="0" fontId="1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2" Type="http://schemas.microsoft.com/office/2011/relationships/chartColorStyle" Target="colors79.xml"/><Relationship Id="rId1" Type="http://schemas.microsoft.com/office/2011/relationships/chartStyle" Target="style79.xml"/></Relationships>
</file>

<file path=xl/charts/_rels/chart80.xml.rels><?xml version="1.0" encoding="UTF-8" standalone="yes"?>
<Relationships xmlns="http://schemas.openxmlformats.org/package/2006/relationships"><Relationship Id="rId2" Type="http://schemas.microsoft.com/office/2011/relationships/chartColorStyle" Target="colors80.xml"/><Relationship Id="rId1" Type="http://schemas.microsoft.com/office/2011/relationships/chartStyle" Target="style80.xml"/></Relationships>
</file>

<file path=xl/charts/_rels/chart81.xml.rels><?xml version="1.0" encoding="UTF-8" standalone="yes"?>
<Relationships xmlns="http://schemas.openxmlformats.org/package/2006/relationships"><Relationship Id="rId2" Type="http://schemas.microsoft.com/office/2011/relationships/chartColorStyle" Target="colors81.xml"/><Relationship Id="rId1" Type="http://schemas.microsoft.com/office/2011/relationships/chartStyle" Target="style81.xml"/></Relationships>
</file>

<file path=xl/charts/_rels/chart82.xml.rels><?xml version="1.0" encoding="UTF-8" standalone="yes"?>
<Relationships xmlns="http://schemas.openxmlformats.org/package/2006/relationships"><Relationship Id="rId2" Type="http://schemas.microsoft.com/office/2011/relationships/chartColorStyle" Target="colors82.xml"/><Relationship Id="rId1" Type="http://schemas.microsoft.com/office/2011/relationships/chartStyle" Target="style82.xml"/></Relationships>
</file>

<file path=xl/charts/_rels/chart83.xml.rels><?xml version="1.0" encoding="UTF-8" standalone="yes"?>
<Relationships xmlns="http://schemas.openxmlformats.org/package/2006/relationships"><Relationship Id="rId2" Type="http://schemas.microsoft.com/office/2011/relationships/chartColorStyle" Target="colors83.xml"/><Relationship Id="rId1" Type="http://schemas.microsoft.com/office/2011/relationships/chartStyle" Target="style83.xml"/></Relationships>
</file>

<file path=xl/charts/_rels/chart84.xml.rels><?xml version="1.0" encoding="UTF-8" standalone="yes"?>
<Relationships xmlns="http://schemas.openxmlformats.org/package/2006/relationships"><Relationship Id="rId2" Type="http://schemas.microsoft.com/office/2011/relationships/chartColorStyle" Target="colors84.xml"/><Relationship Id="rId1" Type="http://schemas.microsoft.com/office/2011/relationships/chartStyle" Target="style84.xml"/></Relationships>
</file>

<file path=xl/charts/_rels/chart85.xml.rels><?xml version="1.0" encoding="UTF-8" standalone="yes"?>
<Relationships xmlns="http://schemas.openxmlformats.org/package/2006/relationships"><Relationship Id="rId2" Type="http://schemas.microsoft.com/office/2011/relationships/chartColorStyle" Target="colors85.xml"/><Relationship Id="rId1" Type="http://schemas.microsoft.com/office/2011/relationships/chartStyle" Target="style85.xml"/></Relationships>
</file>

<file path=xl/charts/_rels/chart86.xml.rels><?xml version="1.0" encoding="UTF-8" standalone="yes"?>
<Relationships xmlns="http://schemas.openxmlformats.org/package/2006/relationships"><Relationship Id="rId2" Type="http://schemas.microsoft.com/office/2011/relationships/chartColorStyle" Target="colors86.xml"/><Relationship Id="rId1" Type="http://schemas.microsoft.com/office/2011/relationships/chartStyle" Target="style86.xml"/></Relationships>
</file>

<file path=xl/charts/_rels/chart87.xml.rels><?xml version="1.0" encoding="UTF-8" standalone="yes"?>
<Relationships xmlns="http://schemas.openxmlformats.org/package/2006/relationships"><Relationship Id="rId2" Type="http://schemas.microsoft.com/office/2011/relationships/chartColorStyle" Target="colors87.xml"/><Relationship Id="rId1" Type="http://schemas.microsoft.com/office/2011/relationships/chartStyle" Target="style87.xml"/></Relationships>
</file>

<file path=xl/charts/_rels/chart88.xml.rels><?xml version="1.0" encoding="UTF-8" standalone="yes"?>
<Relationships xmlns="http://schemas.openxmlformats.org/package/2006/relationships"><Relationship Id="rId2" Type="http://schemas.microsoft.com/office/2011/relationships/chartColorStyle" Target="colors88.xml"/><Relationship Id="rId1" Type="http://schemas.microsoft.com/office/2011/relationships/chartStyle" Target="style88.xml"/></Relationships>
</file>

<file path=xl/charts/_rels/chart89.xml.rels><?xml version="1.0" encoding="UTF-8" standalone="yes"?>
<Relationships xmlns="http://schemas.openxmlformats.org/package/2006/relationships"><Relationship Id="rId2" Type="http://schemas.microsoft.com/office/2011/relationships/chartColorStyle" Target="colors89.xml"/><Relationship Id="rId1" Type="http://schemas.microsoft.com/office/2011/relationships/chartStyle" Target="style89.xml"/></Relationships>
</file>

<file path=xl/charts/_rels/chart90.xml.rels><?xml version="1.0" encoding="UTF-8" standalone="yes"?>
<Relationships xmlns="http://schemas.openxmlformats.org/package/2006/relationships"><Relationship Id="rId2" Type="http://schemas.microsoft.com/office/2011/relationships/chartColorStyle" Target="colors90.xml"/><Relationship Id="rId1" Type="http://schemas.microsoft.com/office/2011/relationships/chartStyle" Target="style90.xml"/></Relationships>
</file>

<file path=xl/charts/_rels/chart91.xml.rels><?xml version="1.0" encoding="UTF-8" standalone="yes"?>
<Relationships xmlns="http://schemas.openxmlformats.org/package/2006/relationships"><Relationship Id="rId2" Type="http://schemas.microsoft.com/office/2011/relationships/chartColorStyle" Target="colors91.xml"/><Relationship Id="rId1" Type="http://schemas.microsoft.com/office/2011/relationships/chartStyle" Target="style91.xml"/></Relationships>
</file>

<file path=xl/charts/_rels/chart92.xml.rels><?xml version="1.0" encoding="UTF-8" standalone="yes"?>
<Relationships xmlns="http://schemas.openxmlformats.org/package/2006/relationships"><Relationship Id="rId2" Type="http://schemas.microsoft.com/office/2011/relationships/chartColorStyle" Target="colors92.xml"/><Relationship Id="rId1" Type="http://schemas.microsoft.com/office/2011/relationships/chartStyle" Target="style9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No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Skin fraction perpendicular</c:v>
          </c:tx>
          <c:spPr>
            <a:ln w="12700" cap="rnd">
              <a:noFill/>
              <a:round/>
            </a:ln>
            <a:effectLst/>
          </c:spPr>
          <c:marker>
            <c:symbol val="circle"/>
            <c:size val="5"/>
            <c:spPr>
              <a:solidFill>
                <a:srgbClr val="FF0000"/>
              </a:solidFill>
              <a:ln w="25400">
                <a:solidFill>
                  <a:srgbClr val="FF0000"/>
                </a:solidFill>
              </a:ln>
              <a:effectLst/>
            </c:spPr>
          </c:marker>
          <c:xVal>
            <c:numRef>
              <c:f>'estimates new'!$BC$5:$BC$8</c:f>
              <c:numCache>
                <c:formatCode>General</c:formatCode>
                <c:ptCount val="4"/>
                <c:pt idx="0">
                  <c:v>0.43</c:v>
                </c:pt>
                <c:pt idx="1">
                  <c:v>0.59</c:v>
                </c:pt>
                <c:pt idx="2">
                  <c:v>0.82</c:v>
                </c:pt>
                <c:pt idx="3">
                  <c:v>1.45</c:v>
                </c:pt>
              </c:numCache>
            </c:numRef>
          </c:xVal>
          <c:yVal>
            <c:numRef>
              <c:f>'estimates new'!$BB$5:$BB$8</c:f>
              <c:numCache>
                <c:formatCode>General</c:formatCode>
                <c:ptCount val="4"/>
                <c:pt idx="0">
                  <c:v>0.51162790697674421</c:v>
                </c:pt>
                <c:pt idx="1">
                  <c:v>0.76271186440677963</c:v>
                </c:pt>
                <c:pt idx="2">
                  <c:v>0.58536585365853666</c:v>
                </c:pt>
                <c:pt idx="3">
                  <c:v>0.37241379310344824</c:v>
                </c:pt>
              </c:numCache>
            </c:numRef>
          </c:yVal>
          <c:smooth val="0"/>
          <c:extLst>
            <c:ext xmlns:c16="http://schemas.microsoft.com/office/drawing/2014/chart" uri="{C3380CC4-5D6E-409C-BE32-E72D297353CC}">
              <c16:uniqueId val="{00000000-7C94-4566-A01E-C934B3170F81}"/>
            </c:ext>
          </c:extLst>
        </c:ser>
        <c:ser>
          <c:idx val="0"/>
          <c:order val="1"/>
          <c:tx>
            <c:v>Skin fraction 42 mm parallel</c:v>
          </c:tx>
          <c:spPr>
            <a:ln w="12700" cap="rnd">
              <a:noFill/>
              <a:round/>
            </a:ln>
            <a:effectLst/>
          </c:spPr>
          <c:marker>
            <c:symbol val="circle"/>
            <c:size val="5"/>
            <c:spPr>
              <a:solidFill>
                <a:schemeClr val="tx1"/>
              </a:solidFill>
              <a:ln w="25400">
                <a:solidFill>
                  <a:schemeClr val="tx1"/>
                </a:solidFill>
              </a:ln>
              <a:effectLst/>
            </c:spPr>
          </c:marker>
          <c:xVal>
            <c:numRef>
              <c:f>'estimates new'!$BC$14:$BC$17</c:f>
              <c:numCache>
                <c:formatCode>General</c:formatCode>
                <c:ptCount val="4"/>
                <c:pt idx="0">
                  <c:v>0.41</c:v>
                </c:pt>
                <c:pt idx="1">
                  <c:v>0.54</c:v>
                </c:pt>
                <c:pt idx="2">
                  <c:v>0.8</c:v>
                </c:pt>
                <c:pt idx="3">
                  <c:v>1.48</c:v>
                </c:pt>
              </c:numCache>
            </c:numRef>
          </c:xVal>
          <c:yVal>
            <c:numRef>
              <c:f>'estimates new'!$BB$14:$BB$17</c:f>
              <c:numCache>
                <c:formatCode>General</c:formatCode>
                <c:ptCount val="4"/>
                <c:pt idx="0">
                  <c:v>1</c:v>
                </c:pt>
                <c:pt idx="1">
                  <c:v>0.94444444444444442</c:v>
                </c:pt>
                <c:pt idx="2">
                  <c:v>0.58749999999999991</c:v>
                </c:pt>
                <c:pt idx="3">
                  <c:v>0.35810810810810811</c:v>
                </c:pt>
              </c:numCache>
            </c:numRef>
          </c:yVal>
          <c:smooth val="0"/>
          <c:extLst>
            <c:ext xmlns:c16="http://schemas.microsoft.com/office/drawing/2014/chart" uri="{C3380CC4-5D6E-409C-BE32-E72D297353CC}">
              <c16:uniqueId val="{00000001-7C94-4566-A01E-C934B3170F81}"/>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0.13567765058102157"/>
          <c:h val="0.18967973043460359"/>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30 min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Skin fraction perpendicular</c:v>
          </c:tx>
          <c:spPr>
            <a:ln w="12700" cap="rnd">
              <a:noFill/>
              <a:round/>
            </a:ln>
            <a:effectLst/>
          </c:spPr>
          <c:marker>
            <c:symbol val="circle"/>
            <c:size val="5"/>
            <c:spPr>
              <a:solidFill>
                <a:srgbClr val="FF0000"/>
              </a:solidFill>
              <a:ln w="25400">
                <a:solidFill>
                  <a:srgbClr val="FF0000"/>
                </a:solidFill>
              </a:ln>
              <a:effectLst/>
            </c:spPr>
          </c:marker>
          <c:xVal>
            <c:numRef>
              <c:f>'estimates new'!$BG$5:$BG$8</c:f>
              <c:numCache>
                <c:formatCode>General</c:formatCode>
                <c:ptCount val="4"/>
                <c:pt idx="0">
                  <c:v>0.55000000000000004</c:v>
                </c:pt>
                <c:pt idx="1">
                  <c:v>0.6</c:v>
                </c:pt>
                <c:pt idx="2">
                  <c:v>0.81</c:v>
                </c:pt>
                <c:pt idx="3">
                  <c:v>1.47</c:v>
                </c:pt>
              </c:numCache>
            </c:numRef>
          </c:xVal>
          <c:yVal>
            <c:numRef>
              <c:f>'estimates new'!$BF$5:$BF$8</c:f>
              <c:numCache>
                <c:formatCode>General</c:formatCode>
                <c:ptCount val="4"/>
                <c:pt idx="0">
                  <c:v>0.72727272727272729</c:v>
                </c:pt>
                <c:pt idx="1">
                  <c:v>0.68333333333333335</c:v>
                </c:pt>
                <c:pt idx="2">
                  <c:v>0.7407407407407407</c:v>
                </c:pt>
                <c:pt idx="3">
                  <c:v>0.53741496598639449</c:v>
                </c:pt>
              </c:numCache>
            </c:numRef>
          </c:yVal>
          <c:smooth val="0"/>
          <c:extLst>
            <c:ext xmlns:c16="http://schemas.microsoft.com/office/drawing/2014/chart" uri="{C3380CC4-5D6E-409C-BE32-E72D297353CC}">
              <c16:uniqueId val="{00000000-9CE9-4EA9-9A00-05EA296853DD}"/>
            </c:ext>
          </c:extLst>
        </c:ser>
        <c:ser>
          <c:idx val="0"/>
          <c:order val="1"/>
          <c:tx>
            <c:v>Skin fraction 42 mm parallel</c:v>
          </c:tx>
          <c:spPr>
            <a:ln w="12700" cap="rnd">
              <a:noFill/>
              <a:round/>
            </a:ln>
            <a:effectLst/>
          </c:spPr>
          <c:marker>
            <c:symbol val="circle"/>
            <c:size val="5"/>
            <c:spPr>
              <a:solidFill>
                <a:schemeClr val="tx1"/>
              </a:solidFill>
              <a:ln w="25400">
                <a:solidFill>
                  <a:schemeClr val="tx1"/>
                </a:solidFill>
              </a:ln>
              <a:effectLst/>
            </c:spPr>
          </c:marker>
          <c:xVal>
            <c:numRef>
              <c:f>'estimates new'!$BG$14:$BG$17</c:f>
              <c:numCache>
                <c:formatCode>General</c:formatCode>
                <c:ptCount val="4"/>
                <c:pt idx="0">
                  <c:v>0.55000000000000004</c:v>
                </c:pt>
                <c:pt idx="1">
                  <c:v>0.55000000000000004</c:v>
                </c:pt>
                <c:pt idx="2">
                  <c:v>0.8</c:v>
                </c:pt>
                <c:pt idx="3">
                  <c:v>1.46</c:v>
                </c:pt>
              </c:numCache>
            </c:numRef>
          </c:xVal>
          <c:yVal>
            <c:numRef>
              <c:f>'estimates new'!$BF$14:$BF$17</c:f>
              <c:numCache>
                <c:formatCode>General</c:formatCode>
                <c:ptCount val="4"/>
                <c:pt idx="0">
                  <c:v>1</c:v>
                </c:pt>
                <c:pt idx="1">
                  <c:v>0.70909090909090899</c:v>
                </c:pt>
                <c:pt idx="2">
                  <c:v>0.6875</c:v>
                </c:pt>
                <c:pt idx="3">
                  <c:v>0.45205479452054792</c:v>
                </c:pt>
              </c:numCache>
            </c:numRef>
          </c:yVal>
          <c:smooth val="0"/>
          <c:extLst>
            <c:ext xmlns:c16="http://schemas.microsoft.com/office/drawing/2014/chart" uri="{C3380CC4-5D6E-409C-BE32-E72D297353CC}">
              <c16:uniqueId val="{00000001-9CE9-4EA9-9A00-05EA296853DD}"/>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0.13567765058102157"/>
          <c:h val="0.18967973043460359"/>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60 min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Skin fraction perpendicular</c:v>
          </c:tx>
          <c:spPr>
            <a:ln w="12700" cap="rnd">
              <a:noFill/>
              <a:round/>
            </a:ln>
            <a:effectLst/>
          </c:spPr>
          <c:marker>
            <c:symbol val="circle"/>
            <c:size val="5"/>
            <c:spPr>
              <a:solidFill>
                <a:srgbClr val="FF0000"/>
              </a:solidFill>
              <a:ln w="25400">
                <a:solidFill>
                  <a:srgbClr val="FF0000"/>
                </a:solidFill>
              </a:ln>
              <a:effectLst/>
            </c:spPr>
          </c:marker>
          <c:xVal>
            <c:numRef>
              <c:f>'estimates new'!$BK$5:$BK$8</c:f>
              <c:numCache>
                <c:formatCode>General</c:formatCode>
                <c:ptCount val="4"/>
                <c:pt idx="0">
                  <c:v>0.55000000000000004</c:v>
                </c:pt>
                <c:pt idx="1">
                  <c:v>0.65</c:v>
                </c:pt>
                <c:pt idx="2">
                  <c:v>0.78</c:v>
                </c:pt>
                <c:pt idx="3">
                  <c:v>1.43</c:v>
                </c:pt>
              </c:numCache>
            </c:numRef>
          </c:xVal>
          <c:yVal>
            <c:numRef>
              <c:f>'estimates new'!$BJ$5:$BJ$8</c:f>
              <c:numCache>
                <c:formatCode>General</c:formatCode>
                <c:ptCount val="4"/>
                <c:pt idx="0">
                  <c:v>0.8</c:v>
                </c:pt>
                <c:pt idx="1">
                  <c:v>0.64615384615384608</c:v>
                </c:pt>
                <c:pt idx="2">
                  <c:v>0.65384615384615385</c:v>
                </c:pt>
                <c:pt idx="3">
                  <c:v>9.7902097902097918E-2</c:v>
                </c:pt>
              </c:numCache>
            </c:numRef>
          </c:yVal>
          <c:smooth val="0"/>
          <c:extLst>
            <c:ext xmlns:c16="http://schemas.microsoft.com/office/drawing/2014/chart" uri="{C3380CC4-5D6E-409C-BE32-E72D297353CC}">
              <c16:uniqueId val="{00000000-1345-49DC-BF29-540F1EFF616A}"/>
            </c:ext>
          </c:extLst>
        </c:ser>
        <c:ser>
          <c:idx val="0"/>
          <c:order val="1"/>
          <c:tx>
            <c:v>Skin fraction 42 mm parallel</c:v>
          </c:tx>
          <c:spPr>
            <a:ln w="12700" cap="rnd">
              <a:noFill/>
              <a:round/>
            </a:ln>
            <a:effectLst/>
          </c:spPr>
          <c:marker>
            <c:symbol val="circle"/>
            <c:size val="5"/>
            <c:spPr>
              <a:solidFill>
                <a:schemeClr val="tx1"/>
              </a:solidFill>
              <a:ln w="25400">
                <a:solidFill>
                  <a:schemeClr val="tx1"/>
                </a:solidFill>
              </a:ln>
              <a:effectLst/>
            </c:spPr>
          </c:marker>
          <c:xVal>
            <c:numRef>
              <c:f>'estimates new'!$BK$14:$BK$17</c:f>
              <c:numCache>
                <c:formatCode>General</c:formatCode>
                <c:ptCount val="4"/>
                <c:pt idx="0">
                  <c:v>0.63</c:v>
                </c:pt>
                <c:pt idx="1">
                  <c:v>0.55000000000000004</c:v>
                </c:pt>
                <c:pt idx="2">
                  <c:v>0.81</c:v>
                </c:pt>
                <c:pt idx="3">
                  <c:v>1.49</c:v>
                </c:pt>
              </c:numCache>
            </c:numRef>
          </c:xVal>
          <c:yVal>
            <c:numRef>
              <c:f>'estimates new'!$BJ$14:$BJ$17</c:f>
              <c:numCache>
                <c:formatCode>General</c:formatCode>
                <c:ptCount val="4"/>
                <c:pt idx="0">
                  <c:v>0.68253968253968256</c:v>
                </c:pt>
                <c:pt idx="1">
                  <c:v>0.72727272727272729</c:v>
                </c:pt>
                <c:pt idx="2">
                  <c:v>0.64197530864197527</c:v>
                </c:pt>
                <c:pt idx="3">
                  <c:v>8.7248322147651006E-2</c:v>
                </c:pt>
              </c:numCache>
            </c:numRef>
          </c:yVal>
          <c:smooth val="0"/>
          <c:extLst>
            <c:ext xmlns:c16="http://schemas.microsoft.com/office/drawing/2014/chart" uri="{C3380CC4-5D6E-409C-BE32-E72D297353CC}">
              <c16:uniqueId val="{00000001-1345-49DC-BF29-540F1EFF616A}"/>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65896981310485414"/>
          <c:y val="6.1134118517230378E-2"/>
          <c:w val="0.14618814771919963"/>
          <c:h val="0.18967973043460359"/>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perpendicular</a:t>
            </a: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60 min annealing</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'estimates new'!$BK$5:$BK$8</c:f>
              <c:numCache>
                <c:formatCode>General</c:formatCode>
                <c:ptCount val="4"/>
                <c:pt idx="0">
                  <c:v>0.55000000000000004</c:v>
                </c:pt>
                <c:pt idx="1">
                  <c:v>0.65</c:v>
                </c:pt>
                <c:pt idx="2">
                  <c:v>0.78</c:v>
                </c:pt>
                <c:pt idx="3">
                  <c:v>1.43</c:v>
                </c:pt>
              </c:numCache>
            </c:numRef>
          </c:xVal>
          <c:yVal>
            <c:numRef>
              <c:f>'estimates new'!$BJ$5:$BJ$8</c:f>
              <c:numCache>
                <c:formatCode>General</c:formatCode>
                <c:ptCount val="4"/>
                <c:pt idx="0">
                  <c:v>0.8</c:v>
                </c:pt>
                <c:pt idx="1">
                  <c:v>0.64615384615384608</c:v>
                </c:pt>
                <c:pt idx="2">
                  <c:v>0.65384615384615385</c:v>
                </c:pt>
                <c:pt idx="3">
                  <c:v>9.7902097902097918E-2</c:v>
                </c:pt>
              </c:numCache>
            </c:numRef>
          </c:yVal>
          <c:smooth val="0"/>
          <c:extLst>
            <c:ext xmlns:c16="http://schemas.microsoft.com/office/drawing/2014/chart" uri="{C3380CC4-5D6E-409C-BE32-E72D297353CC}">
              <c16:uniqueId val="{00000000-5348-46F6-B5CF-F447102706AC}"/>
            </c:ext>
          </c:extLst>
        </c:ser>
        <c:ser>
          <c:idx val="0"/>
          <c:order val="1"/>
          <c:tx>
            <c:v>30 min annealing</c:v>
          </c:tx>
          <c:spPr>
            <a:ln w="12700" cap="rnd">
              <a:solidFill>
                <a:schemeClr val="tx1"/>
              </a:solidFill>
              <a:round/>
            </a:ln>
            <a:effectLst/>
          </c:spPr>
          <c:marker>
            <c:symbol val="circle"/>
            <c:size val="5"/>
            <c:spPr>
              <a:solidFill>
                <a:schemeClr val="tx1"/>
              </a:solidFill>
              <a:ln w="25400">
                <a:solidFill>
                  <a:schemeClr val="tx1"/>
                </a:solidFill>
              </a:ln>
              <a:effectLst/>
            </c:spPr>
          </c:marker>
          <c:xVal>
            <c:numRef>
              <c:f>'estimates new'!$BG$5:$BG$8</c:f>
              <c:numCache>
                <c:formatCode>General</c:formatCode>
                <c:ptCount val="4"/>
                <c:pt idx="0">
                  <c:v>0.55000000000000004</c:v>
                </c:pt>
                <c:pt idx="1">
                  <c:v>0.6</c:v>
                </c:pt>
                <c:pt idx="2">
                  <c:v>0.81</c:v>
                </c:pt>
                <c:pt idx="3">
                  <c:v>1.47</c:v>
                </c:pt>
              </c:numCache>
            </c:numRef>
          </c:xVal>
          <c:yVal>
            <c:numRef>
              <c:f>'estimates new'!$BF$5:$BF$8</c:f>
              <c:numCache>
                <c:formatCode>General</c:formatCode>
                <c:ptCount val="4"/>
                <c:pt idx="0">
                  <c:v>0.72727272727272729</c:v>
                </c:pt>
                <c:pt idx="1">
                  <c:v>0.68333333333333335</c:v>
                </c:pt>
                <c:pt idx="2">
                  <c:v>0.7407407407407407</c:v>
                </c:pt>
                <c:pt idx="3">
                  <c:v>0.53741496598639449</c:v>
                </c:pt>
              </c:numCache>
            </c:numRef>
          </c:yVal>
          <c:smooth val="0"/>
          <c:extLst>
            <c:ext xmlns:c16="http://schemas.microsoft.com/office/drawing/2014/chart" uri="{C3380CC4-5D6E-409C-BE32-E72D297353CC}">
              <c16:uniqueId val="{00000003-5348-46F6-B5CF-F447102706AC}"/>
            </c:ext>
          </c:extLst>
        </c:ser>
        <c:ser>
          <c:idx val="1"/>
          <c:order val="2"/>
          <c:tx>
            <c:v>no annealing</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'estimates new'!$BC$5:$BC$8</c:f>
              <c:numCache>
                <c:formatCode>General</c:formatCode>
                <c:ptCount val="4"/>
                <c:pt idx="0">
                  <c:v>0.43</c:v>
                </c:pt>
                <c:pt idx="1">
                  <c:v>0.59</c:v>
                </c:pt>
                <c:pt idx="2">
                  <c:v>0.82</c:v>
                </c:pt>
                <c:pt idx="3">
                  <c:v>1.45</c:v>
                </c:pt>
              </c:numCache>
            </c:numRef>
          </c:xVal>
          <c:yVal>
            <c:numRef>
              <c:f>'estimates new'!$BB$5:$BB$8</c:f>
              <c:numCache>
                <c:formatCode>General</c:formatCode>
                <c:ptCount val="4"/>
                <c:pt idx="0">
                  <c:v>0.51162790697674421</c:v>
                </c:pt>
                <c:pt idx="1">
                  <c:v>0.76271186440677963</c:v>
                </c:pt>
                <c:pt idx="2">
                  <c:v>0.58536585365853666</c:v>
                </c:pt>
                <c:pt idx="3">
                  <c:v>0.37241379310344824</c:v>
                </c:pt>
              </c:numCache>
            </c:numRef>
          </c:yVal>
          <c:smooth val="0"/>
          <c:extLst>
            <c:ext xmlns:c16="http://schemas.microsoft.com/office/drawing/2014/chart" uri="{C3380CC4-5D6E-409C-BE32-E72D297353CC}">
              <c16:uniqueId val="{00000004-5348-46F6-B5CF-F447102706AC}"/>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65896981310485414"/>
          <c:y val="6.1134118517230378E-2"/>
          <c:w val="0.26158610222618817"/>
          <c:h val="0.18967973043460359"/>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perpendicular FOR ALL THICKNESSES AVERAGED</a:t>
            </a: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spPr>
            <a:ln w="19050" cap="rnd">
              <a:solidFill>
                <a:schemeClr val="accent4"/>
              </a:solidFill>
              <a:round/>
            </a:ln>
            <a:effectLst/>
          </c:spPr>
          <c:marker>
            <c:symbol val="circle"/>
            <c:size val="5"/>
            <c:spPr>
              <a:solidFill>
                <a:schemeClr val="tx1"/>
              </a:solidFill>
              <a:ln w="25400">
                <a:solidFill>
                  <a:schemeClr val="tx1"/>
                </a:solidFill>
              </a:ln>
              <a:effectLst/>
            </c:spPr>
          </c:marker>
          <c:dPt>
            <c:idx val="1"/>
            <c:marker>
              <c:symbol val="circle"/>
              <c:size val="5"/>
              <c:spPr>
                <a:solidFill>
                  <a:schemeClr val="tx1"/>
                </a:solidFill>
                <a:ln w="25400">
                  <a:solidFill>
                    <a:schemeClr val="tx1"/>
                  </a:solidFill>
                </a:ln>
                <a:effectLst/>
              </c:spPr>
            </c:marker>
            <c:bubble3D val="0"/>
            <c:spPr>
              <a:ln w="19050" cap="rnd">
                <a:noFill/>
                <a:round/>
              </a:ln>
              <a:effectLst/>
            </c:spPr>
            <c:extLst>
              <c:ext xmlns:c16="http://schemas.microsoft.com/office/drawing/2014/chart" uri="{C3380CC4-5D6E-409C-BE32-E72D297353CC}">
                <c16:uniqueId val="{00000004-3D9D-4749-872B-91F2FA5DCB00}"/>
              </c:ext>
            </c:extLst>
          </c:dPt>
          <c:dPt>
            <c:idx val="2"/>
            <c:marker>
              <c:symbol val="circle"/>
              <c:size val="5"/>
              <c:spPr>
                <a:solidFill>
                  <a:schemeClr val="tx1"/>
                </a:solidFill>
                <a:ln w="25400">
                  <a:solidFill>
                    <a:schemeClr val="tx1"/>
                  </a:solidFill>
                </a:ln>
                <a:effectLst/>
              </c:spPr>
            </c:marker>
            <c:bubble3D val="0"/>
            <c:spPr>
              <a:ln w="19050" cap="rnd">
                <a:noFill/>
                <a:round/>
              </a:ln>
              <a:effectLst/>
            </c:spPr>
            <c:extLst>
              <c:ext xmlns:c16="http://schemas.microsoft.com/office/drawing/2014/chart" uri="{C3380CC4-5D6E-409C-BE32-E72D297353CC}">
                <c16:uniqueId val="{00000006-3D9D-4749-872B-91F2FA5DCB00}"/>
              </c:ext>
            </c:extLst>
          </c:dPt>
          <c:dPt>
            <c:idx val="3"/>
            <c:marker>
              <c:symbol val="circle"/>
              <c:size val="5"/>
              <c:spPr>
                <a:solidFill>
                  <a:schemeClr val="tx1"/>
                </a:solidFill>
                <a:ln w="25400">
                  <a:solidFill>
                    <a:schemeClr val="tx1"/>
                  </a:solidFill>
                </a:ln>
                <a:effectLst/>
              </c:spPr>
            </c:marker>
            <c:bubble3D val="0"/>
            <c:spPr>
              <a:ln w="19050" cap="rnd">
                <a:noFill/>
                <a:round/>
              </a:ln>
              <a:effectLst/>
            </c:spPr>
            <c:extLst>
              <c:ext xmlns:c16="http://schemas.microsoft.com/office/drawing/2014/chart" uri="{C3380CC4-5D6E-409C-BE32-E72D297353CC}">
                <c16:uniqueId val="{00000005-3D9D-4749-872B-91F2FA5DCB00}"/>
              </c:ext>
            </c:extLst>
          </c:dPt>
          <c:errBars>
            <c:errDir val="x"/>
            <c:errBarType val="both"/>
            <c:errValType val="cust"/>
            <c:noEndCap val="0"/>
            <c:plus>
              <c:numRef>
                <c:f>'estimates new'!$BK$36:$BK$39</c:f>
                <c:numCache>
                  <c:formatCode>General</c:formatCode>
                  <c:ptCount val="4"/>
                  <c:pt idx="0">
                    <c:v>0</c:v>
                  </c:pt>
                  <c:pt idx="1">
                    <c:v>4.1472882706655431E-2</c:v>
                  </c:pt>
                  <c:pt idx="2">
                    <c:v>1.6996731711975927E-2</c:v>
                  </c:pt>
                  <c:pt idx="3">
                    <c:v>2.0000000000000018E-2</c:v>
                  </c:pt>
                </c:numCache>
              </c:numRef>
            </c:plus>
            <c:minus>
              <c:numRef>
                <c:f>'estimates new'!$BK$36:$BK$39</c:f>
                <c:numCache>
                  <c:formatCode>General</c:formatCode>
                  <c:ptCount val="4"/>
                  <c:pt idx="0">
                    <c:v>0</c:v>
                  </c:pt>
                  <c:pt idx="1">
                    <c:v>4.1472882706655431E-2</c:v>
                  </c:pt>
                  <c:pt idx="2">
                    <c:v>1.6996731711975927E-2</c:v>
                  </c:pt>
                  <c:pt idx="3">
                    <c:v>2.0000000000000018E-2</c:v>
                  </c:pt>
                </c:numCache>
              </c:numRef>
            </c:minus>
            <c:spPr>
              <a:noFill/>
              <a:ln w="9525" cap="flat" cmpd="sng" algn="ctr">
                <a:solidFill>
                  <a:schemeClr val="tx1">
                    <a:lumMod val="65000"/>
                    <a:lumOff val="35000"/>
                  </a:schemeClr>
                </a:solidFill>
                <a:round/>
              </a:ln>
              <a:effectLst/>
            </c:spPr>
          </c:errBars>
          <c:errBars>
            <c:errDir val="y"/>
            <c:errBarType val="both"/>
            <c:errValType val="cust"/>
            <c:noEndCap val="0"/>
            <c:plus>
              <c:numRef>
                <c:f>'estimates new'!$BM$36:$BM$39</c:f>
                <c:numCache>
                  <c:formatCode>General</c:formatCode>
                  <c:ptCount val="4"/>
                  <c:pt idx="0">
                    <c:v>0</c:v>
                  </c:pt>
                  <c:pt idx="1">
                    <c:v>6.1235334633949964E-2</c:v>
                  </c:pt>
                  <c:pt idx="2">
                    <c:v>7.7869095582666512E-2</c:v>
                  </c:pt>
                  <c:pt idx="3">
                    <c:v>0.22201862499452291</c:v>
                  </c:pt>
                </c:numCache>
              </c:numRef>
            </c:plus>
            <c:minus>
              <c:numRef>
                <c:f>'estimates new'!$BM$36:$BM$39</c:f>
                <c:numCache>
                  <c:formatCode>General</c:formatCode>
                  <c:ptCount val="4"/>
                  <c:pt idx="0">
                    <c:v>0</c:v>
                  </c:pt>
                  <c:pt idx="1">
                    <c:v>6.1235334633949964E-2</c:v>
                  </c:pt>
                  <c:pt idx="2">
                    <c:v>7.7869095582666512E-2</c:v>
                  </c:pt>
                  <c:pt idx="3">
                    <c:v>0.22201862499452291</c:v>
                  </c:pt>
                </c:numCache>
              </c:numRef>
            </c:minus>
            <c:spPr>
              <a:noFill/>
              <a:ln w="9525" cap="flat" cmpd="sng" algn="ctr">
                <a:solidFill>
                  <a:schemeClr val="tx1">
                    <a:lumMod val="65000"/>
                    <a:lumOff val="35000"/>
                  </a:schemeClr>
                </a:solidFill>
                <a:round/>
              </a:ln>
              <a:effectLst/>
            </c:spPr>
          </c:errBars>
          <c:xVal>
            <c:numRef>
              <c:f>'estimates new'!$BJ$36:$BJ$39</c:f>
              <c:numCache>
                <c:formatCode>General</c:formatCode>
                <c:ptCount val="4"/>
                <c:pt idx="0">
                  <c:v>0.43</c:v>
                </c:pt>
                <c:pt idx="1">
                  <c:v>0.58799999999999997</c:v>
                </c:pt>
                <c:pt idx="2">
                  <c:v>0.80333333333333334</c:v>
                </c:pt>
                <c:pt idx="3">
                  <c:v>1.45</c:v>
                </c:pt>
              </c:numCache>
            </c:numRef>
          </c:xVal>
          <c:yVal>
            <c:numRef>
              <c:f>'estimates new'!$BL$36:$BL$39</c:f>
              <c:numCache>
                <c:formatCode>General</c:formatCode>
                <c:ptCount val="4"/>
                <c:pt idx="0">
                  <c:v>0.51162790697674421</c:v>
                </c:pt>
                <c:pt idx="1">
                  <c:v>0.72389435423333737</c:v>
                </c:pt>
                <c:pt idx="2">
                  <c:v>0.65998424941514378</c:v>
                </c:pt>
                <c:pt idx="3">
                  <c:v>0.33591028566398018</c:v>
                </c:pt>
              </c:numCache>
            </c:numRef>
          </c:yVal>
          <c:smooth val="0"/>
          <c:extLst>
            <c:ext xmlns:c16="http://schemas.microsoft.com/office/drawing/2014/chart" uri="{C3380CC4-5D6E-409C-BE32-E72D297353CC}">
              <c16:uniqueId val="{00000000-3D9D-4749-872B-91F2FA5DCB00}"/>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perpendicular FOR annealing AVERAGED</a:t>
            </a: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spPr>
            <a:ln w="19050" cap="rnd">
              <a:noFill/>
              <a:round/>
            </a:ln>
            <a:effectLst/>
          </c:spPr>
          <c:marker>
            <c:symbol val="circle"/>
            <c:size val="5"/>
            <c:spPr>
              <a:solidFill>
                <a:schemeClr val="tx1"/>
              </a:solidFill>
              <a:ln w="25400">
                <a:solidFill>
                  <a:schemeClr val="tx1"/>
                </a:solidFill>
              </a:ln>
              <a:effectLst/>
            </c:spPr>
          </c:marker>
          <c:errBars>
            <c:errDir val="x"/>
            <c:errBarType val="both"/>
            <c:errValType val="cust"/>
            <c:noEndCap val="0"/>
            <c:plus>
              <c:numRef>
                <c:f>'estimates new'!$BK$36:$BK$39</c:f>
                <c:numCache>
                  <c:formatCode>General</c:formatCode>
                  <c:ptCount val="4"/>
                  <c:pt idx="0">
                    <c:v>0</c:v>
                  </c:pt>
                  <c:pt idx="1">
                    <c:v>4.1472882706655431E-2</c:v>
                  </c:pt>
                  <c:pt idx="2">
                    <c:v>1.6996731711975927E-2</c:v>
                  </c:pt>
                  <c:pt idx="3">
                    <c:v>2.0000000000000018E-2</c:v>
                  </c:pt>
                </c:numCache>
              </c:numRef>
            </c:plus>
            <c:minus>
              <c:numRef>
                <c:f>'estimates new'!$BK$36:$BK$39</c:f>
                <c:numCache>
                  <c:formatCode>General</c:formatCode>
                  <c:ptCount val="4"/>
                  <c:pt idx="0">
                    <c:v>0</c:v>
                  </c:pt>
                  <c:pt idx="1">
                    <c:v>4.1472882706655431E-2</c:v>
                  </c:pt>
                  <c:pt idx="2">
                    <c:v>1.6996731711975927E-2</c:v>
                  </c:pt>
                  <c:pt idx="3">
                    <c:v>2.0000000000000018E-2</c:v>
                  </c:pt>
                </c:numCache>
              </c:numRef>
            </c:minus>
            <c:spPr>
              <a:noFill/>
              <a:ln w="9525" cap="flat" cmpd="sng" algn="ctr">
                <a:solidFill>
                  <a:schemeClr val="tx1">
                    <a:lumMod val="65000"/>
                    <a:lumOff val="35000"/>
                  </a:schemeClr>
                </a:solidFill>
                <a:round/>
              </a:ln>
              <a:effectLst/>
            </c:spPr>
          </c:errBars>
          <c:errBars>
            <c:errDir val="y"/>
            <c:errBarType val="both"/>
            <c:errValType val="cust"/>
            <c:noEndCap val="0"/>
            <c:plus>
              <c:numRef>
                <c:f>'estimates new'!$BR$31:$BR$33</c:f>
                <c:numCache>
                  <c:formatCode>General</c:formatCode>
                  <c:ptCount val="3"/>
                  <c:pt idx="0">
                    <c:v>0.16253045356875312</c:v>
                  </c:pt>
                  <c:pt idx="1">
                    <c:v>9.3133943991562967E-2</c:v>
                  </c:pt>
                  <c:pt idx="2">
                    <c:v>0.30925771269381869</c:v>
                  </c:pt>
                </c:numCache>
              </c:numRef>
            </c:plus>
            <c:minus>
              <c:numRef>
                <c:f>'estimates new'!$BR$31:$BR$33</c:f>
                <c:numCache>
                  <c:formatCode>General</c:formatCode>
                  <c:ptCount val="3"/>
                  <c:pt idx="0">
                    <c:v>0.16253045356875312</c:v>
                  </c:pt>
                  <c:pt idx="1">
                    <c:v>9.3133943991562967E-2</c:v>
                  </c:pt>
                  <c:pt idx="2">
                    <c:v>0.30925771269381869</c:v>
                  </c:pt>
                </c:numCache>
              </c:numRef>
            </c:minus>
            <c:spPr>
              <a:noFill/>
              <a:ln w="9525" cap="flat" cmpd="sng" algn="ctr">
                <a:solidFill>
                  <a:schemeClr val="tx1">
                    <a:lumMod val="65000"/>
                    <a:lumOff val="35000"/>
                  </a:schemeClr>
                </a:solidFill>
                <a:round/>
              </a:ln>
              <a:effectLst/>
            </c:spPr>
          </c:errBars>
          <c:xVal>
            <c:numRef>
              <c:f>'estimates new'!$BP$31:$BP$33</c:f>
              <c:numCache>
                <c:formatCode>General</c:formatCode>
                <c:ptCount val="3"/>
                <c:pt idx="0">
                  <c:v>0</c:v>
                </c:pt>
                <c:pt idx="1">
                  <c:v>30</c:v>
                </c:pt>
                <c:pt idx="2">
                  <c:v>60</c:v>
                </c:pt>
              </c:numCache>
            </c:numRef>
          </c:xVal>
          <c:yVal>
            <c:numRef>
              <c:f>'estimates new'!$BQ$31:$BQ$33</c:f>
              <c:numCache>
                <c:formatCode>General</c:formatCode>
                <c:ptCount val="3"/>
                <c:pt idx="0">
                  <c:v>0.55802985453637721</c:v>
                </c:pt>
                <c:pt idx="1">
                  <c:v>0.67219044183329901</c:v>
                </c:pt>
                <c:pt idx="2">
                  <c:v>0.5494755244755245</c:v>
                </c:pt>
              </c:numCache>
            </c:numRef>
          </c:yVal>
          <c:smooth val="0"/>
          <c:extLst>
            <c:ext xmlns:c16="http://schemas.microsoft.com/office/drawing/2014/chart" uri="{C3380CC4-5D6E-409C-BE32-E72D297353CC}">
              <c16:uniqueId val="{00000007-C511-4281-973F-3AD6B62A4ED2}"/>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ANNEALING</a:t>
                </a:r>
                <a:r>
                  <a:rPr lang="en-GB" sz="1600" baseline="0">
                    <a:solidFill>
                      <a:schemeClr val="tx1"/>
                    </a:solidFill>
                  </a:rPr>
                  <a:t> TIME</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compare</a:t>
            </a:r>
            <a:r>
              <a:rPr lang="en-GB" baseline="0">
                <a:solidFill>
                  <a:sysClr val="windowText" lastClr="000000"/>
                </a:solidFill>
              </a:rPr>
              <a:t> pe</a:t>
            </a:r>
            <a:r>
              <a:rPr lang="en-GB">
                <a:solidFill>
                  <a:sysClr val="windowText" lastClr="000000"/>
                </a:solidFill>
              </a:rPr>
              <a:t>rp and parallel FOR ALL THICKNESSES AVERAGED</a:t>
            </a:r>
          </a:p>
        </c:rich>
      </c:tx>
      <c:layout>
        <c:manualLayout>
          <c:xMode val="edge"/>
          <c:yMode val="edge"/>
          <c:x val="0.29245969162819313"/>
          <c:y val="3.490052557285423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perpendicular</c:v>
          </c:tx>
          <c:spPr>
            <a:ln w="19050" cap="rnd">
              <a:noFill/>
              <a:round/>
            </a:ln>
            <a:effectLst/>
          </c:spPr>
          <c:marker>
            <c:symbol val="circle"/>
            <c:size val="5"/>
            <c:spPr>
              <a:solidFill>
                <a:schemeClr val="tx1"/>
              </a:solidFill>
              <a:ln w="25400">
                <a:solidFill>
                  <a:schemeClr val="tx1"/>
                </a:solidFill>
              </a:ln>
              <a:effectLst/>
            </c:spPr>
          </c:marker>
          <c:dPt>
            <c:idx val="0"/>
            <c:marker>
              <c:symbol val="circle"/>
              <c:size val="5"/>
              <c:spPr>
                <a:solidFill>
                  <a:schemeClr val="tx1"/>
                </a:solidFill>
                <a:ln w="25400">
                  <a:solidFill>
                    <a:schemeClr val="tx1"/>
                  </a:solidFill>
                </a:ln>
                <a:effectLst/>
              </c:spPr>
            </c:marker>
            <c:bubble3D val="0"/>
            <c:extLst>
              <c:ext xmlns:c16="http://schemas.microsoft.com/office/drawing/2014/chart" uri="{C3380CC4-5D6E-409C-BE32-E72D297353CC}">
                <c16:uniqueId val="{00000000-A12C-4D21-8019-DB3DBA289011}"/>
              </c:ext>
            </c:extLst>
          </c:dPt>
          <c:dPt>
            <c:idx val="1"/>
            <c:marker>
              <c:symbol val="circle"/>
              <c:size val="5"/>
              <c:spPr>
                <a:solidFill>
                  <a:schemeClr val="tx1"/>
                </a:solidFill>
                <a:ln w="25400">
                  <a:solidFill>
                    <a:schemeClr val="tx1"/>
                  </a:solidFill>
                </a:ln>
                <a:effectLst/>
              </c:spPr>
            </c:marker>
            <c:bubble3D val="0"/>
            <c:spPr>
              <a:ln w="19050" cap="rnd">
                <a:noFill/>
                <a:round/>
              </a:ln>
              <a:effectLst/>
            </c:spPr>
            <c:extLst>
              <c:ext xmlns:c16="http://schemas.microsoft.com/office/drawing/2014/chart" uri="{C3380CC4-5D6E-409C-BE32-E72D297353CC}">
                <c16:uniqueId val="{00000002-A12C-4D21-8019-DB3DBA289011}"/>
              </c:ext>
            </c:extLst>
          </c:dPt>
          <c:dPt>
            <c:idx val="2"/>
            <c:marker>
              <c:symbol val="circle"/>
              <c:size val="5"/>
              <c:spPr>
                <a:solidFill>
                  <a:schemeClr val="tx1"/>
                </a:solidFill>
                <a:ln w="25400">
                  <a:solidFill>
                    <a:schemeClr val="tx1"/>
                  </a:solidFill>
                </a:ln>
                <a:effectLst/>
              </c:spPr>
            </c:marker>
            <c:bubble3D val="0"/>
            <c:spPr>
              <a:ln w="19050" cap="rnd">
                <a:noFill/>
                <a:round/>
              </a:ln>
              <a:effectLst/>
            </c:spPr>
            <c:extLst>
              <c:ext xmlns:c16="http://schemas.microsoft.com/office/drawing/2014/chart" uri="{C3380CC4-5D6E-409C-BE32-E72D297353CC}">
                <c16:uniqueId val="{00000004-A12C-4D21-8019-DB3DBA289011}"/>
              </c:ext>
            </c:extLst>
          </c:dPt>
          <c:dPt>
            <c:idx val="3"/>
            <c:marker>
              <c:symbol val="circle"/>
              <c:size val="5"/>
              <c:spPr>
                <a:solidFill>
                  <a:schemeClr val="tx1"/>
                </a:solidFill>
                <a:ln w="25400">
                  <a:solidFill>
                    <a:schemeClr val="tx1"/>
                  </a:solidFill>
                </a:ln>
                <a:effectLst/>
              </c:spPr>
            </c:marker>
            <c:bubble3D val="0"/>
            <c:spPr>
              <a:ln w="19050" cap="rnd">
                <a:noFill/>
                <a:round/>
              </a:ln>
              <a:effectLst/>
            </c:spPr>
            <c:extLst>
              <c:ext xmlns:c16="http://schemas.microsoft.com/office/drawing/2014/chart" uri="{C3380CC4-5D6E-409C-BE32-E72D297353CC}">
                <c16:uniqueId val="{00000006-A12C-4D21-8019-DB3DBA289011}"/>
              </c:ext>
            </c:extLst>
          </c:dPt>
          <c:errBars>
            <c:errDir val="x"/>
            <c:errBarType val="both"/>
            <c:errValType val="cust"/>
            <c:noEndCap val="0"/>
            <c:plus>
              <c:numRef>
                <c:f>'estimates new'!$BK$36:$BK$39</c:f>
                <c:numCache>
                  <c:formatCode>General</c:formatCode>
                  <c:ptCount val="4"/>
                  <c:pt idx="0">
                    <c:v>0</c:v>
                  </c:pt>
                  <c:pt idx="1">
                    <c:v>4.1472882706655431E-2</c:v>
                  </c:pt>
                  <c:pt idx="2">
                    <c:v>1.6996731711975927E-2</c:v>
                  </c:pt>
                  <c:pt idx="3">
                    <c:v>2.0000000000000018E-2</c:v>
                  </c:pt>
                </c:numCache>
              </c:numRef>
            </c:plus>
            <c:minus>
              <c:numRef>
                <c:f>'estimates new'!$BK$36:$BK$39</c:f>
                <c:numCache>
                  <c:formatCode>General</c:formatCode>
                  <c:ptCount val="4"/>
                  <c:pt idx="0">
                    <c:v>0</c:v>
                  </c:pt>
                  <c:pt idx="1">
                    <c:v>4.1472882706655431E-2</c:v>
                  </c:pt>
                  <c:pt idx="2">
                    <c:v>1.6996731711975927E-2</c:v>
                  </c:pt>
                  <c:pt idx="3">
                    <c:v>2.0000000000000018E-2</c:v>
                  </c:pt>
                </c:numCache>
              </c:numRef>
            </c:minus>
            <c:spPr>
              <a:noFill/>
              <a:ln w="9525" cap="flat" cmpd="sng" algn="ctr">
                <a:solidFill>
                  <a:schemeClr val="tx1">
                    <a:lumMod val="65000"/>
                    <a:lumOff val="35000"/>
                  </a:schemeClr>
                </a:solidFill>
                <a:round/>
              </a:ln>
              <a:effectLst/>
            </c:spPr>
          </c:errBars>
          <c:errBars>
            <c:errDir val="y"/>
            <c:errBarType val="both"/>
            <c:errValType val="cust"/>
            <c:noEndCap val="0"/>
            <c:plus>
              <c:numRef>
                <c:f>'estimates new'!$BM$36:$BM$39</c:f>
                <c:numCache>
                  <c:formatCode>General</c:formatCode>
                  <c:ptCount val="4"/>
                  <c:pt idx="0">
                    <c:v>0</c:v>
                  </c:pt>
                  <c:pt idx="1">
                    <c:v>6.1235334633949964E-2</c:v>
                  </c:pt>
                  <c:pt idx="2">
                    <c:v>7.7869095582666512E-2</c:v>
                  </c:pt>
                  <c:pt idx="3">
                    <c:v>0.22201862499452291</c:v>
                  </c:pt>
                </c:numCache>
              </c:numRef>
            </c:plus>
            <c:minus>
              <c:numRef>
                <c:f>'estimates new'!$BM$36:$BM$39</c:f>
                <c:numCache>
                  <c:formatCode>General</c:formatCode>
                  <c:ptCount val="4"/>
                  <c:pt idx="0">
                    <c:v>0</c:v>
                  </c:pt>
                  <c:pt idx="1">
                    <c:v>6.1235334633949964E-2</c:v>
                  </c:pt>
                  <c:pt idx="2">
                    <c:v>7.7869095582666512E-2</c:v>
                  </c:pt>
                  <c:pt idx="3">
                    <c:v>0.22201862499452291</c:v>
                  </c:pt>
                </c:numCache>
              </c:numRef>
            </c:minus>
            <c:spPr>
              <a:noFill/>
              <a:ln w="9525" cap="flat" cmpd="sng" algn="ctr">
                <a:solidFill>
                  <a:schemeClr val="tx1">
                    <a:lumMod val="65000"/>
                    <a:lumOff val="35000"/>
                  </a:schemeClr>
                </a:solidFill>
                <a:round/>
              </a:ln>
              <a:effectLst/>
            </c:spPr>
          </c:errBars>
          <c:xVal>
            <c:numRef>
              <c:f>'estimates new'!$BJ$36:$BJ$39</c:f>
              <c:numCache>
                <c:formatCode>General</c:formatCode>
                <c:ptCount val="4"/>
                <c:pt idx="0">
                  <c:v>0.43</c:v>
                </c:pt>
                <c:pt idx="1">
                  <c:v>0.58799999999999997</c:v>
                </c:pt>
                <c:pt idx="2">
                  <c:v>0.80333333333333334</c:v>
                </c:pt>
                <c:pt idx="3">
                  <c:v>1.45</c:v>
                </c:pt>
              </c:numCache>
            </c:numRef>
          </c:xVal>
          <c:yVal>
            <c:numRef>
              <c:f>'estimates new'!$BL$36:$BL$39</c:f>
              <c:numCache>
                <c:formatCode>General</c:formatCode>
                <c:ptCount val="4"/>
                <c:pt idx="0">
                  <c:v>0.51162790697674421</c:v>
                </c:pt>
                <c:pt idx="1">
                  <c:v>0.72389435423333737</c:v>
                </c:pt>
                <c:pt idx="2">
                  <c:v>0.65998424941514378</c:v>
                </c:pt>
                <c:pt idx="3">
                  <c:v>0.33591028566398018</c:v>
                </c:pt>
              </c:numCache>
            </c:numRef>
          </c:yVal>
          <c:smooth val="0"/>
          <c:extLst>
            <c:ext xmlns:c16="http://schemas.microsoft.com/office/drawing/2014/chart" uri="{C3380CC4-5D6E-409C-BE32-E72D297353CC}">
              <c16:uniqueId val="{00000007-A12C-4D21-8019-DB3DBA289011}"/>
            </c:ext>
          </c:extLst>
        </c:ser>
        <c:ser>
          <c:idx val="0"/>
          <c:order val="1"/>
          <c:tx>
            <c:v>parallel at 42 mm from injection</c:v>
          </c:tx>
          <c:spPr>
            <a:ln w="19050" cap="rnd">
              <a:noFill/>
              <a:round/>
            </a:ln>
            <a:effectLst/>
          </c:spPr>
          <c:marker>
            <c:symbol val="circle"/>
            <c:size val="5"/>
            <c:spPr>
              <a:solidFill>
                <a:srgbClr val="FF0000"/>
              </a:solidFill>
              <a:ln w="25400">
                <a:solidFill>
                  <a:srgbClr val="FF0000"/>
                </a:solidFill>
              </a:ln>
              <a:effectLst/>
            </c:spPr>
          </c:marker>
          <c:errBars>
            <c:errDir val="x"/>
            <c:errBarType val="both"/>
            <c:errValType val="cust"/>
            <c:noEndCap val="0"/>
            <c:plus>
              <c:numRef>
                <c:f>'estimates new'!$BK$44:$BK$47</c:f>
                <c:numCache>
                  <c:formatCode>General</c:formatCode>
                  <c:ptCount val="4"/>
                  <c:pt idx="1">
                    <c:v>3.7148351242013398E-2</c:v>
                  </c:pt>
                  <c:pt idx="2">
                    <c:v>5.7735026918962623E-3</c:v>
                  </c:pt>
                  <c:pt idx="3">
                    <c:v>1.527525231651948E-2</c:v>
                  </c:pt>
                </c:numCache>
              </c:numRef>
            </c:plus>
            <c:minus>
              <c:numRef>
                <c:f>'estimates new'!$BK$44:$BK$47</c:f>
                <c:numCache>
                  <c:formatCode>General</c:formatCode>
                  <c:ptCount val="4"/>
                  <c:pt idx="1">
                    <c:v>3.7148351242013398E-2</c:v>
                  </c:pt>
                  <c:pt idx="2">
                    <c:v>5.7735026918962623E-3</c:v>
                  </c:pt>
                  <c:pt idx="3">
                    <c:v>1.527525231651948E-2</c:v>
                  </c:pt>
                </c:numCache>
              </c:numRef>
            </c:minus>
            <c:spPr>
              <a:noFill/>
              <a:ln w="9525" cap="flat" cmpd="sng" algn="ctr">
                <a:solidFill>
                  <a:srgbClr val="FF0000"/>
                </a:solidFill>
                <a:round/>
              </a:ln>
              <a:effectLst/>
            </c:spPr>
          </c:errBars>
          <c:errBars>
            <c:errDir val="y"/>
            <c:errBarType val="both"/>
            <c:errValType val="cust"/>
            <c:noEndCap val="0"/>
            <c:plus>
              <c:numRef>
                <c:f>'estimates new'!$BM$44:$BM$47</c:f>
                <c:numCache>
                  <c:formatCode>General</c:formatCode>
                  <c:ptCount val="4"/>
                  <c:pt idx="1">
                    <c:v>0.14782781782598731</c:v>
                  </c:pt>
                  <c:pt idx="2">
                    <c:v>5.0066716780182263E-2</c:v>
                  </c:pt>
                  <c:pt idx="3">
                    <c:v>0.18941786514809836</c:v>
                  </c:pt>
                </c:numCache>
              </c:numRef>
            </c:plus>
            <c:minus>
              <c:numRef>
                <c:f>'estimates new'!$BM$44:$BM$47</c:f>
                <c:numCache>
                  <c:formatCode>General</c:formatCode>
                  <c:ptCount val="4"/>
                  <c:pt idx="1">
                    <c:v>0.14782781782598731</c:v>
                  </c:pt>
                  <c:pt idx="2">
                    <c:v>5.0066716780182263E-2</c:v>
                  </c:pt>
                  <c:pt idx="3">
                    <c:v>0.18941786514809836</c:v>
                  </c:pt>
                </c:numCache>
              </c:numRef>
            </c:minus>
            <c:spPr>
              <a:noFill/>
              <a:ln w="9525" cap="flat" cmpd="sng" algn="ctr">
                <a:solidFill>
                  <a:srgbClr val="FF0000"/>
                </a:solidFill>
                <a:round/>
              </a:ln>
              <a:effectLst/>
            </c:spPr>
          </c:errBars>
          <c:xVal>
            <c:numRef>
              <c:f>'estimates new'!$BJ$44:$BJ$47</c:f>
              <c:numCache>
                <c:formatCode>General</c:formatCode>
                <c:ptCount val="4"/>
                <c:pt idx="0">
                  <c:v>0.41</c:v>
                </c:pt>
                <c:pt idx="1">
                  <c:v>0.56400000000000006</c:v>
                </c:pt>
                <c:pt idx="2">
                  <c:v>0.80333333333333334</c:v>
                </c:pt>
                <c:pt idx="3">
                  <c:v>1.4766666666666666</c:v>
                </c:pt>
              </c:numCache>
            </c:numRef>
          </c:xVal>
          <c:yVal>
            <c:numRef>
              <c:f>'estimates new'!$BL$44:$BL$47</c:f>
              <c:numCache>
                <c:formatCode>General</c:formatCode>
                <c:ptCount val="4"/>
                <c:pt idx="0">
                  <c:v>1</c:v>
                </c:pt>
                <c:pt idx="1">
                  <c:v>0.81266955266955276</c:v>
                </c:pt>
                <c:pt idx="2">
                  <c:v>0.63899176954732506</c:v>
                </c:pt>
                <c:pt idx="3">
                  <c:v>0.29913707492543568</c:v>
                </c:pt>
              </c:numCache>
            </c:numRef>
          </c:yVal>
          <c:smooth val="0"/>
          <c:extLst>
            <c:ext xmlns:c16="http://schemas.microsoft.com/office/drawing/2014/chart" uri="{C3380CC4-5D6E-409C-BE32-E72D297353CC}">
              <c16:uniqueId val="{00000009-A12C-4D21-8019-DB3DBA289011}"/>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2776694663795571"/>
          <c:y val="0.1493112935308607"/>
          <c:w val="0.22757329572035107"/>
          <c:h val="0.227142661546361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compare</a:t>
            </a:r>
            <a:r>
              <a:rPr lang="en-GB" baseline="0">
                <a:solidFill>
                  <a:sysClr val="windowText" lastClr="000000"/>
                </a:solidFill>
              </a:rPr>
              <a:t> perp and parallel </a:t>
            </a:r>
            <a:r>
              <a:rPr lang="en-GB">
                <a:solidFill>
                  <a:sysClr val="windowText" lastClr="000000"/>
                </a:solidFill>
              </a:rPr>
              <a:t>FOR annealing AVERAGED</a:t>
            </a: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perpendicular</c:v>
          </c:tx>
          <c:spPr>
            <a:ln w="19050" cap="rnd">
              <a:noFill/>
              <a:round/>
            </a:ln>
            <a:effectLst/>
          </c:spPr>
          <c:marker>
            <c:symbol val="circle"/>
            <c:size val="5"/>
            <c:spPr>
              <a:solidFill>
                <a:schemeClr val="tx1"/>
              </a:solidFill>
              <a:ln w="25400">
                <a:solidFill>
                  <a:schemeClr val="tx1"/>
                </a:solidFill>
              </a:ln>
              <a:effectLst/>
            </c:spPr>
          </c:marker>
          <c:errBars>
            <c:errDir val="y"/>
            <c:errBarType val="both"/>
            <c:errValType val="cust"/>
            <c:noEndCap val="0"/>
            <c:plus>
              <c:numRef>
                <c:f>'estimates new'!$BR$31:$BR$33</c:f>
                <c:numCache>
                  <c:formatCode>General</c:formatCode>
                  <c:ptCount val="3"/>
                  <c:pt idx="0">
                    <c:v>0.16253045356875312</c:v>
                  </c:pt>
                  <c:pt idx="1">
                    <c:v>9.3133943991562967E-2</c:v>
                  </c:pt>
                  <c:pt idx="2">
                    <c:v>0.30925771269381869</c:v>
                  </c:pt>
                </c:numCache>
              </c:numRef>
            </c:plus>
            <c:minus>
              <c:numRef>
                <c:f>'estimates new'!$BR$31:$BR$33</c:f>
                <c:numCache>
                  <c:formatCode>General</c:formatCode>
                  <c:ptCount val="3"/>
                  <c:pt idx="0">
                    <c:v>0.16253045356875312</c:v>
                  </c:pt>
                  <c:pt idx="1">
                    <c:v>9.3133943991562967E-2</c:v>
                  </c:pt>
                  <c:pt idx="2">
                    <c:v>0.30925771269381869</c:v>
                  </c:pt>
                </c:numCache>
              </c:numRef>
            </c:minus>
            <c:spPr>
              <a:noFill/>
              <a:ln w="9525" cap="flat" cmpd="sng" algn="ctr">
                <a:solidFill>
                  <a:schemeClr val="tx1">
                    <a:lumMod val="65000"/>
                    <a:lumOff val="35000"/>
                  </a:schemeClr>
                </a:solidFill>
                <a:round/>
              </a:ln>
              <a:effectLst/>
            </c:spPr>
          </c:errBars>
          <c:xVal>
            <c:numRef>
              <c:f>'estimates new'!$BP$31:$BP$33</c:f>
              <c:numCache>
                <c:formatCode>General</c:formatCode>
                <c:ptCount val="3"/>
                <c:pt idx="0">
                  <c:v>0</c:v>
                </c:pt>
                <c:pt idx="1">
                  <c:v>30</c:v>
                </c:pt>
                <c:pt idx="2">
                  <c:v>60</c:v>
                </c:pt>
              </c:numCache>
            </c:numRef>
          </c:xVal>
          <c:yVal>
            <c:numRef>
              <c:f>'estimates new'!$BQ$31:$BQ$33</c:f>
              <c:numCache>
                <c:formatCode>General</c:formatCode>
                <c:ptCount val="3"/>
                <c:pt idx="0">
                  <c:v>0.55802985453637721</c:v>
                </c:pt>
                <c:pt idx="1">
                  <c:v>0.67219044183329901</c:v>
                </c:pt>
                <c:pt idx="2">
                  <c:v>0.5494755244755245</c:v>
                </c:pt>
              </c:numCache>
            </c:numRef>
          </c:yVal>
          <c:smooth val="0"/>
          <c:extLst>
            <c:ext xmlns:c16="http://schemas.microsoft.com/office/drawing/2014/chart" uri="{C3380CC4-5D6E-409C-BE32-E72D297353CC}">
              <c16:uniqueId val="{00000000-D2EA-41BE-A234-E022BD3DECF1}"/>
            </c:ext>
          </c:extLst>
        </c:ser>
        <c:ser>
          <c:idx val="0"/>
          <c:order val="1"/>
          <c:tx>
            <c:v>parallel at 42 mm from injection pt</c:v>
          </c:tx>
          <c:spPr>
            <a:ln w="25400" cap="rnd">
              <a:noFill/>
              <a:round/>
            </a:ln>
            <a:effectLst/>
          </c:spPr>
          <c:marker>
            <c:symbol val="circle"/>
            <c:size val="5"/>
            <c:spPr>
              <a:solidFill>
                <a:srgbClr val="FF0000"/>
              </a:solidFill>
              <a:ln w="25400">
                <a:solidFill>
                  <a:srgbClr val="FF0000"/>
                </a:solidFill>
              </a:ln>
              <a:effectLst/>
            </c:spPr>
          </c:marker>
          <c:errBars>
            <c:errDir val="y"/>
            <c:errBarType val="both"/>
            <c:errValType val="cust"/>
            <c:noEndCap val="0"/>
            <c:plus>
              <c:numRef>
                <c:f>'estimates new'!$BR$44:$BR$46</c:f>
                <c:numCache>
                  <c:formatCode>General</c:formatCode>
                  <c:ptCount val="3"/>
                  <c:pt idx="0">
                    <c:v>0.30401317767813024</c:v>
                  </c:pt>
                  <c:pt idx="1">
                    <c:v>0.22444310223928571</c:v>
                  </c:pt>
                  <c:pt idx="2">
                    <c:v>0.30036744661109799</c:v>
                  </c:pt>
                </c:numCache>
              </c:numRef>
            </c:plus>
            <c:minus>
              <c:numRef>
                <c:f>'estimates new'!$BR$44:$BR$46</c:f>
                <c:numCache>
                  <c:formatCode>General</c:formatCode>
                  <c:ptCount val="3"/>
                  <c:pt idx="0">
                    <c:v>0.30401317767813024</c:v>
                  </c:pt>
                  <c:pt idx="1">
                    <c:v>0.22444310223928571</c:v>
                  </c:pt>
                  <c:pt idx="2">
                    <c:v>0.30036744661109799</c:v>
                  </c:pt>
                </c:numCache>
              </c:numRef>
            </c:minus>
            <c:spPr>
              <a:noFill/>
              <a:ln w="9525" cap="flat" cmpd="sng" algn="ctr">
                <a:solidFill>
                  <a:srgbClr val="FF0000"/>
                </a:solidFill>
                <a:round/>
              </a:ln>
              <a:effectLst/>
            </c:spPr>
          </c:errBars>
          <c:xVal>
            <c:numRef>
              <c:f>'estimates new'!$BP$44:$BP$47</c:f>
              <c:numCache>
                <c:formatCode>General</c:formatCode>
                <c:ptCount val="4"/>
                <c:pt idx="0">
                  <c:v>0</c:v>
                </c:pt>
                <c:pt idx="1">
                  <c:v>30</c:v>
                </c:pt>
                <c:pt idx="2">
                  <c:v>60</c:v>
                </c:pt>
              </c:numCache>
            </c:numRef>
          </c:xVal>
          <c:yVal>
            <c:numRef>
              <c:f>'estimates new'!$BQ$44:$BQ$46</c:f>
              <c:numCache>
                <c:formatCode>General</c:formatCode>
                <c:ptCount val="3"/>
                <c:pt idx="0">
                  <c:v>0.722513138138138</c:v>
                </c:pt>
                <c:pt idx="1">
                  <c:v>0.71216142590286424</c:v>
                </c:pt>
                <c:pt idx="2">
                  <c:v>0.53475901015050897</c:v>
                </c:pt>
              </c:numCache>
            </c:numRef>
          </c:yVal>
          <c:smooth val="0"/>
          <c:extLst>
            <c:ext xmlns:c16="http://schemas.microsoft.com/office/drawing/2014/chart" uri="{C3380CC4-5D6E-409C-BE32-E72D297353CC}">
              <c16:uniqueId val="{00000002-D2EA-41BE-A234-E022BD3DECF1}"/>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ANNEALING</a:t>
                </a:r>
                <a:r>
                  <a:rPr lang="en-GB" sz="1600" baseline="0">
                    <a:solidFill>
                      <a:schemeClr val="tx1"/>
                    </a:solidFill>
                  </a:rPr>
                  <a:t> TIME</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58918684705220781"/>
          <c:y val="0.1421945697342735"/>
          <c:w val="0.22116601002613129"/>
          <c:h val="0.14648645851837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t>PARALLEL</a:t>
            </a:r>
            <a:r>
              <a:rPr lang="en-GB" baseline="0"/>
              <a:t> CUTS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intercept val="0"/>
            <c:dispRSqr val="1"/>
            <c:dispEq val="1"/>
            <c:trendlineLbl>
              <c:layout>
                <c:manualLayout>
                  <c:x val="-3.1010431898145584E-2"/>
                  <c:y val="0.45898615543976734"/>
                </c:manualLayout>
              </c:layout>
              <c:numFmt formatCode="General" sourceLinked="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rendlineLbl>
          </c:trendline>
          <c:xVal>
            <c:numRef>
              <c:f>'estimates new'!$AU$19:$AU$54</c:f>
              <c:numCache>
                <c:formatCode>General</c:formatCode>
                <c:ptCount val="36"/>
                <c:pt idx="0">
                  <c:v>0.27</c:v>
                </c:pt>
                <c:pt idx="1">
                  <c:v>0.23</c:v>
                </c:pt>
                <c:pt idx="2">
                  <c:v>0.28000000000000003</c:v>
                </c:pt>
                <c:pt idx="3">
                  <c:v>0.18</c:v>
                </c:pt>
                <c:pt idx="4">
                  <c:v>0.25</c:v>
                </c:pt>
                <c:pt idx="5">
                  <c:v>0.28000000000000003</c:v>
                </c:pt>
                <c:pt idx="6">
                  <c:v>0.2</c:v>
                </c:pt>
                <c:pt idx="7">
                  <c:v>0.26</c:v>
                </c:pt>
                <c:pt idx="8">
                  <c:v>0.28000000000000003</c:v>
                </c:pt>
                <c:pt idx="9">
                  <c:v>0.14000000000000001</c:v>
                </c:pt>
                <c:pt idx="10">
                  <c:v>0.18</c:v>
                </c:pt>
                <c:pt idx="11">
                  <c:v>0.20500000000000002</c:v>
                </c:pt>
                <c:pt idx="12">
                  <c:v>0.17</c:v>
                </c:pt>
                <c:pt idx="13">
                  <c:v>0.22</c:v>
                </c:pt>
                <c:pt idx="14">
                  <c:v>0.31</c:v>
                </c:pt>
                <c:pt idx="15">
                  <c:v>0.11</c:v>
                </c:pt>
                <c:pt idx="16">
                  <c:v>0.15</c:v>
                </c:pt>
                <c:pt idx="17">
                  <c:v>0.15</c:v>
                </c:pt>
                <c:pt idx="18">
                  <c:v>0.21</c:v>
                </c:pt>
                <c:pt idx="19">
                  <c:v>0.21</c:v>
                </c:pt>
                <c:pt idx="20">
                  <c:v>0.24</c:v>
                </c:pt>
                <c:pt idx="21">
                  <c:v>0.09</c:v>
                </c:pt>
                <c:pt idx="22">
                  <c:v>0.28000000000000003</c:v>
                </c:pt>
                <c:pt idx="23">
                  <c:v>0.24</c:v>
                </c:pt>
                <c:pt idx="24">
                  <c:v>0.23</c:v>
                </c:pt>
                <c:pt idx="25">
                  <c:v>0.23</c:v>
                </c:pt>
                <c:pt idx="26">
                  <c:v>0.2</c:v>
                </c:pt>
                <c:pt idx="27">
                  <c:v>0.42</c:v>
                </c:pt>
                <c:pt idx="28">
                  <c:v>0.27</c:v>
                </c:pt>
                <c:pt idx="29">
                  <c:v>0.25</c:v>
                </c:pt>
                <c:pt idx="30">
                  <c:v>7.2999999999999995E-2</c:v>
                </c:pt>
                <c:pt idx="31">
                  <c:v>0.2</c:v>
                </c:pt>
                <c:pt idx="32">
                  <c:v>0.27500000000000002</c:v>
                </c:pt>
                <c:pt idx="33">
                  <c:v>0</c:v>
                </c:pt>
                <c:pt idx="34">
                  <c:v>0</c:v>
                </c:pt>
                <c:pt idx="35">
                  <c:v>0.02</c:v>
                </c:pt>
              </c:numCache>
            </c:numRef>
          </c:xVal>
          <c:yVal>
            <c:numRef>
              <c:f>'estimates new'!$AW$19:$AW$54</c:f>
              <c:numCache>
                <c:formatCode>General</c:formatCode>
                <c:ptCount val="36"/>
                <c:pt idx="0">
                  <c:v>0.24</c:v>
                </c:pt>
                <c:pt idx="1">
                  <c:v>0.25</c:v>
                </c:pt>
                <c:pt idx="2">
                  <c:v>0.19</c:v>
                </c:pt>
                <c:pt idx="3">
                  <c:v>0.15</c:v>
                </c:pt>
                <c:pt idx="4">
                  <c:v>0.18</c:v>
                </c:pt>
                <c:pt idx="5">
                  <c:v>0.24</c:v>
                </c:pt>
                <c:pt idx="6">
                  <c:v>0.16</c:v>
                </c:pt>
                <c:pt idx="7">
                  <c:v>0.23</c:v>
                </c:pt>
                <c:pt idx="8">
                  <c:v>0.27</c:v>
                </c:pt>
                <c:pt idx="9">
                  <c:v>0.19</c:v>
                </c:pt>
                <c:pt idx="10">
                  <c:v>0.21</c:v>
                </c:pt>
                <c:pt idx="11">
                  <c:v>0.20500000000000002</c:v>
                </c:pt>
                <c:pt idx="12">
                  <c:v>0.21</c:v>
                </c:pt>
                <c:pt idx="13">
                  <c:v>0.17</c:v>
                </c:pt>
                <c:pt idx="14">
                  <c:v>0.2</c:v>
                </c:pt>
                <c:pt idx="15">
                  <c:v>0.15</c:v>
                </c:pt>
                <c:pt idx="16">
                  <c:v>0.15</c:v>
                </c:pt>
                <c:pt idx="17">
                  <c:v>0.25</c:v>
                </c:pt>
                <c:pt idx="18">
                  <c:v>0.19</c:v>
                </c:pt>
                <c:pt idx="19">
                  <c:v>0.21</c:v>
                </c:pt>
                <c:pt idx="20">
                  <c:v>0.15</c:v>
                </c:pt>
                <c:pt idx="21">
                  <c:v>0.28999999999999998</c:v>
                </c:pt>
                <c:pt idx="22">
                  <c:v>0.35000000000000003</c:v>
                </c:pt>
                <c:pt idx="23">
                  <c:v>0.42</c:v>
                </c:pt>
                <c:pt idx="24">
                  <c:v>0.39</c:v>
                </c:pt>
                <c:pt idx="25">
                  <c:v>0.32</c:v>
                </c:pt>
                <c:pt idx="26">
                  <c:v>0.33</c:v>
                </c:pt>
                <c:pt idx="27">
                  <c:v>0.42</c:v>
                </c:pt>
                <c:pt idx="28">
                  <c:v>0.22</c:v>
                </c:pt>
                <c:pt idx="29">
                  <c:v>0.18</c:v>
                </c:pt>
                <c:pt idx="30">
                  <c:v>7.2999999999999995E-2</c:v>
                </c:pt>
                <c:pt idx="31">
                  <c:v>0.26</c:v>
                </c:pt>
                <c:pt idx="32">
                  <c:v>0.27500000000000002</c:v>
                </c:pt>
                <c:pt idx="33">
                  <c:v>0.32</c:v>
                </c:pt>
                <c:pt idx="34">
                  <c:v>0.14000000000000001</c:v>
                </c:pt>
                <c:pt idx="35">
                  <c:v>0.11</c:v>
                </c:pt>
              </c:numCache>
            </c:numRef>
          </c:yVal>
          <c:smooth val="0"/>
          <c:extLst>
            <c:ext xmlns:c16="http://schemas.microsoft.com/office/drawing/2014/chart" uri="{C3380CC4-5D6E-409C-BE32-E72D297353CC}">
              <c16:uniqueId val="{00000000-B39E-4F97-A670-79D0CE1C011D}"/>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Top skin</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Bottom skin</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50972416"/>
        <c:crosses val="autoZero"/>
        <c:crossBetween val="midCat"/>
      </c:valAx>
      <c:spPr>
        <a:noFill/>
        <a:ln w="25400">
          <a:noFill/>
        </a:ln>
        <a:effectLst/>
      </c:spPr>
    </c:plotArea>
    <c:legend>
      <c:legendPos val="t"/>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t>PERPENDICULAR</a:t>
            </a:r>
            <a:r>
              <a:rPr lang="en-GB" baseline="0"/>
              <a:t> CUTS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intercept val="0"/>
            <c:dispRSqr val="1"/>
            <c:dispEq val="1"/>
            <c:trendlineLbl>
              <c:layout>
                <c:manualLayout>
                  <c:x val="-0.14964888254378392"/>
                  <c:y val="-1.286899571612943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trendlineLbl>
          </c:trendline>
          <c:xVal>
            <c:numRef>
              <c:f>'estimates new'!$AW$3:$AW$14</c:f>
              <c:numCache>
                <c:formatCode>General</c:formatCode>
                <c:ptCount val="12"/>
                <c:pt idx="0">
                  <c:v>0.27</c:v>
                </c:pt>
                <c:pt idx="1">
                  <c:v>0.26</c:v>
                </c:pt>
                <c:pt idx="2">
                  <c:v>0.31</c:v>
                </c:pt>
                <c:pt idx="3">
                  <c:v>0.13</c:v>
                </c:pt>
                <c:pt idx="4">
                  <c:v>0.23</c:v>
                </c:pt>
                <c:pt idx="5">
                  <c:v>0.27</c:v>
                </c:pt>
                <c:pt idx="6">
                  <c:v>0.27</c:v>
                </c:pt>
                <c:pt idx="7">
                  <c:v>0.2</c:v>
                </c:pt>
                <c:pt idx="8">
                  <c:v>0.2</c:v>
                </c:pt>
                <c:pt idx="9">
                  <c:v>0.42</c:v>
                </c:pt>
                <c:pt idx="10">
                  <c:v>0.28000000000000003</c:v>
                </c:pt>
                <c:pt idx="11">
                  <c:v>1.1000000000000001</c:v>
                </c:pt>
              </c:numCache>
            </c:numRef>
          </c:xVal>
          <c:yVal>
            <c:numRef>
              <c:f>'estimates new'!$AY$3:$AY$14</c:f>
              <c:numCache>
                <c:formatCode>General</c:formatCode>
                <c:ptCount val="12"/>
                <c:pt idx="0">
                  <c:v>0.21</c:v>
                </c:pt>
                <c:pt idx="1">
                  <c:v>0.25</c:v>
                </c:pt>
                <c:pt idx="2">
                  <c:v>0.28999999999999998</c:v>
                </c:pt>
                <c:pt idx="3">
                  <c:v>0.09</c:v>
                </c:pt>
                <c:pt idx="4">
                  <c:v>0.19</c:v>
                </c:pt>
                <c:pt idx="5">
                  <c:v>0.13</c:v>
                </c:pt>
                <c:pt idx="6">
                  <c:v>0.18</c:v>
                </c:pt>
                <c:pt idx="7">
                  <c:v>0.24</c:v>
                </c:pt>
                <c:pt idx="8">
                  <c:v>0.21</c:v>
                </c:pt>
                <c:pt idx="9">
                  <c:v>0.37</c:v>
                </c:pt>
                <c:pt idx="10">
                  <c:v>0.26</c:v>
                </c:pt>
                <c:pt idx="11">
                  <c:v>0.19</c:v>
                </c:pt>
              </c:numCache>
            </c:numRef>
          </c:yVal>
          <c:smooth val="0"/>
          <c:extLst>
            <c:ext xmlns:c16="http://schemas.microsoft.com/office/drawing/2014/chart" uri="{C3380CC4-5D6E-409C-BE32-E72D297353CC}">
              <c16:uniqueId val="{00000001-FAB8-452B-9F4E-DDBB9A231B19}"/>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Top core</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Bottom core</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Skin</a:t>
            </a:r>
            <a:r>
              <a:rPr lang="en-GB" baseline="0"/>
              <a:t> layer thickness across polymer disc</a:t>
            </a:r>
            <a:endParaRPr lang="en-GB"/>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rgbClr val="FF0000"/>
              </a:solidFill>
              <a:ln w="9525">
                <a:solidFill>
                  <a:srgbClr val="FF0000"/>
                </a:solidFill>
              </a:ln>
              <a:effectLst/>
            </c:spPr>
          </c:marker>
          <c:trendline>
            <c:spPr>
              <a:ln w="12700" cap="rnd">
                <a:solidFill>
                  <a:schemeClr val="tx1"/>
                </a:solidFill>
                <a:prstDash val="solid"/>
              </a:ln>
              <a:effectLst/>
            </c:spPr>
            <c:trendlineType val="linear"/>
            <c:intercept val="0"/>
            <c:dispRSqr val="1"/>
            <c:dispEq val="1"/>
            <c:trendlineLbl>
              <c:layout>
                <c:manualLayout>
                  <c:x val="-3.7091828057678584E-2"/>
                  <c:y val="0.27000038497306939"/>
                </c:manualLayout>
              </c:layout>
              <c:tx>
                <c:rich>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u="sng" baseline="0"/>
                  </a:p>
                  <a:p>
                    <a:pPr>
                      <a:defRPr/>
                    </a:pPr>
                    <a:r>
                      <a:rPr lang="en-US" baseline="0"/>
                      <a:t>y = 1.0177x</a:t>
                    </a:r>
                    <a:br>
                      <a:rPr lang="en-US" baseline="0"/>
                    </a:br>
                    <a:r>
                      <a:rPr lang="en-US" baseline="0"/>
                      <a:t>R² = 0.8563</a:t>
                    </a:r>
                    <a:endParaRPr lang="en-US"/>
                  </a:p>
                </c:rich>
              </c:tx>
              <c:numFmt formatCode="General" sourceLinked="0"/>
              <c:spPr>
                <a:noFill/>
                <a:ln w="3175">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'estimates new'!$AU$19:$AU$54</c:f>
              <c:numCache>
                <c:formatCode>General</c:formatCode>
                <c:ptCount val="36"/>
                <c:pt idx="0">
                  <c:v>0.27</c:v>
                </c:pt>
                <c:pt idx="1">
                  <c:v>0.23</c:v>
                </c:pt>
                <c:pt idx="2">
                  <c:v>0.28000000000000003</c:v>
                </c:pt>
                <c:pt idx="3">
                  <c:v>0.18</c:v>
                </c:pt>
                <c:pt idx="4">
                  <c:v>0.25</c:v>
                </c:pt>
                <c:pt idx="5">
                  <c:v>0.28000000000000003</c:v>
                </c:pt>
                <c:pt idx="6">
                  <c:v>0.2</c:v>
                </c:pt>
                <c:pt idx="7">
                  <c:v>0.26</c:v>
                </c:pt>
                <c:pt idx="8">
                  <c:v>0.28000000000000003</c:v>
                </c:pt>
                <c:pt idx="9">
                  <c:v>0.14000000000000001</c:v>
                </c:pt>
                <c:pt idx="10">
                  <c:v>0.18</c:v>
                </c:pt>
                <c:pt idx="11">
                  <c:v>0.20500000000000002</c:v>
                </c:pt>
                <c:pt idx="12">
                  <c:v>0.17</c:v>
                </c:pt>
                <c:pt idx="13">
                  <c:v>0.22</c:v>
                </c:pt>
                <c:pt idx="14">
                  <c:v>0.31</c:v>
                </c:pt>
                <c:pt idx="15">
                  <c:v>0.11</c:v>
                </c:pt>
                <c:pt idx="16">
                  <c:v>0.15</c:v>
                </c:pt>
                <c:pt idx="17">
                  <c:v>0.15</c:v>
                </c:pt>
                <c:pt idx="18">
                  <c:v>0.21</c:v>
                </c:pt>
                <c:pt idx="19">
                  <c:v>0.21</c:v>
                </c:pt>
                <c:pt idx="20">
                  <c:v>0.24</c:v>
                </c:pt>
                <c:pt idx="21">
                  <c:v>0.09</c:v>
                </c:pt>
                <c:pt idx="22">
                  <c:v>0.28000000000000003</c:v>
                </c:pt>
                <c:pt idx="23">
                  <c:v>0.24</c:v>
                </c:pt>
                <c:pt idx="24">
                  <c:v>0.23</c:v>
                </c:pt>
                <c:pt idx="25">
                  <c:v>0.23</c:v>
                </c:pt>
                <c:pt idx="26">
                  <c:v>0.2</c:v>
                </c:pt>
                <c:pt idx="27">
                  <c:v>0.42</c:v>
                </c:pt>
                <c:pt idx="28">
                  <c:v>0.27</c:v>
                </c:pt>
                <c:pt idx="29">
                  <c:v>0.25</c:v>
                </c:pt>
                <c:pt idx="30">
                  <c:v>7.2999999999999995E-2</c:v>
                </c:pt>
                <c:pt idx="31">
                  <c:v>0.2</c:v>
                </c:pt>
                <c:pt idx="32">
                  <c:v>0.27500000000000002</c:v>
                </c:pt>
                <c:pt idx="33">
                  <c:v>0</c:v>
                </c:pt>
                <c:pt idx="34">
                  <c:v>0</c:v>
                </c:pt>
                <c:pt idx="35">
                  <c:v>0.02</c:v>
                </c:pt>
              </c:numCache>
            </c:numRef>
          </c:xVal>
          <c:yVal>
            <c:numRef>
              <c:f>'estimates new'!$AW$19:$AW$54</c:f>
              <c:numCache>
                <c:formatCode>General</c:formatCode>
                <c:ptCount val="36"/>
                <c:pt idx="0">
                  <c:v>0.24</c:v>
                </c:pt>
                <c:pt idx="1">
                  <c:v>0.25</c:v>
                </c:pt>
                <c:pt idx="2">
                  <c:v>0.19</c:v>
                </c:pt>
                <c:pt idx="3">
                  <c:v>0.15</c:v>
                </c:pt>
                <c:pt idx="4">
                  <c:v>0.18</c:v>
                </c:pt>
                <c:pt idx="5">
                  <c:v>0.24</c:v>
                </c:pt>
                <c:pt idx="6">
                  <c:v>0.16</c:v>
                </c:pt>
                <c:pt idx="7">
                  <c:v>0.23</c:v>
                </c:pt>
                <c:pt idx="8">
                  <c:v>0.27</c:v>
                </c:pt>
                <c:pt idx="9">
                  <c:v>0.19</c:v>
                </c:pt>
                <c:pt idx="10">
                  <c:v>0.21</c:v>
                </c:pt>
                <c:pt idx="11">
                  <c:v>0.20500000000000002</c:v>
                </c:pt>
                <c:pt idx="12">
                  <c:v>0.21</c:v>
                </c:pt>
                <c:pt idx="13">
                  <c:v>0.17</c:v>
                </c:pt>
                <c:pt idx="14">
                  <c:v>0.2</c:v>
                </c:pt>
                <c:pt idx="15">
                  <c:v>0.15</c:v>
                </c:pt>
                <c:pt idx="16">
                  <c:v>0.15</c:v>
                </c:pt>
                <c:pt idx="17">
                  <c:v>0.25</c:v>
                </c:pt>
                <c:pt idx="18">
                  <c:v>0.19</c:v>
                </c:pt>
                <c:pt idx="19">
                  <c:v>0.21</c:v>
                </c:pt>
                <c:pt idx="20">
                  <c:v>0.15</c:v>
                </c:pt>
                <c:pt idx="21">
                  <c:v>0.28999999999999998</c:v>
                </c:pt>
                <c:pt idx="22">
                  <c:v>0.35000000000000003</c:v>
                </c:pt>
                <c:pt idx="23">
                  <c:v>0.42</c:v>
                </c:pt>
                <c:pt idx="24">
                  <c:v>0.39</c:v>
                </c:pt>
                <c:pt idx="25">
                  <c:v>0.32</c:v>
                </c:pt>
                <c:pt idx="26">
                  <c:v>0.33</c:v>
                </c:pt>
                <c:pt idx="27">
                  <c:v>0.42</c:v>
                </c:pt>
                <c:pt idx="28">
                  <c:v>0.22</c:v>
                </c:pt>
                <c:pt idx="29">
                  <c:v>0.18</c:v>
                </c:pt>
                <c:pt idx="30">
                  <c:v>7.2999999999999995E-2</c:v>
                </c:pt>
                <c:pt idx="31">
                  <c:v>0.26</c:v>
                </c:pt>
                <c:pt idx="32">
                  <c:v>0.27500000000000002</c:v>
                </c:pt>
                <c:pt idx="33">
                  <c:v>0.32</c:v>
                </c:pt>
                <c:pt idx="34">
                  <c:v>0.14000000000000001</c:v>
                </c:pt>
                <c:pt idx="35">
                  <c:v>0.11</c:v>
                </c:pt>
              </c:numCache>
            </c:numRef>
          </c:yVal>
          <c:smooth val="0"/>
          <c:extLst>
            <c:ext xmlns:c16="http://schemas.microsoft.com/office/drawing/2014/chart" uri="{C3380CC4-5D6E-409C-BE32-E72D297353CC}">
              <c16:uniqueId val="{00000001-EBC0-4E94-86B0-A2517C5F7331}"/>
            </c:ext>
          </c:extLst>
        </c:ser>
        <c:ser>
          <c:idx val="1"/>
          <c:order val="1"/>
          <c:tx>
            <c:v>0.81 ± 0.02 mm thickness</c:v>
          </c:tx>
          <c:spPr>
            <a:ln w="25400" cap="rnd">
              <a:noFill/>
              <a:round/>
            </a:ln>
            <a:effectLst/>
          </c:spPr>
          <c:marker>
            <c:symbol val="circle"/>
            <c:size val="5"/>
            <c:spPr>
              <a:solidFill>
                <a:srgbClr val="00B050"/>
              </a:solidFill>
              <a:ln w="9525">
                <a:solidFill>
                  <a:srgbClr val="00B050"/>
                </a:solidFill>
              </a:ln>
              <a:effectLst/>
            </c:spPr>
          </c:marker>
          <c:xVal>
            <c:numRef>
              <c:f>'estimates new'!$AZ$61:$AZ$69</c:f>
              <c:numCache>
                <c:formatCode>General</c:formatCode>
                <c:ptCount val="9"/>
                <c:pt idx="0">
                  <c:v>0.27</c:v>
                </c:pt>
                <c:pt idx="1">
                  <c:v>0.23</c:v>
                </c:pt>
                <c:pt idx="2">
                  <c:v>0.28000000000000003</c:v>
                </c:pt>
                <c:pt idx="3">
                  <c:v>0.18</c:v>
                </c:pt>
                <c:pt idx="4">
                  <c:v>0.25</c:v>
                </c:pt>
                <c:pt idx="5">
                  <c:v>0.28000000000000003</c:v>
                </c:pt>
                <c:pt idx="6">
                  <c:v>0.2</c:v>
                </c:pt>
                <c:pt idx="7">
                  <c:v>0.26</c:v>
                </c:pt>
                <c:pt idx="8">
                  <c:v>0.28000000000000003</c:v>
                </c:pt>
              </c:numCache>
            </c:numRef>
          </c:xVal>
          <c:yVal>
            <c:numRef>
              <c:f>'estimates new'!$BB$61:$BB$69</c:f>
              <c:numCache>
                <c:formatCode>General</c:formatCode>
                <c:ptCount val="9"/>
                <c:pt idx="0">
                  <c:v>0.24</c:v>
                </c:pt>
                <c:pt idx="1">
                  <c:v>0.25</c:v>
                </c:pt>
                <c:pt idx="2">
                  <c:v>0.19</c:v>
                </c:pt>
                <c:pt idx="3">
                  <c:v>0.15</c:v>
                </c:pt>
                <c:pt idx="4">
                  <c:v>0.18</c:v>
                </c:pt>
                <c:pt idx="5">
                  <c:v>0.24</c:v>
                </c:pt>
                <c:pt idx="6">
                  <c:v>0.16</c:v>
                </c:pt>
                <c:pt idx="7">
                  <c:v>0.23</c:v>
                </c:pt>
                <c:pt idx="8">
                  <c:v>0.27</c:v>
                </c:pt>
              </c:numCache>
            </c:numRef>
          </c:yVal>
          <c:smooth val="0"/>
          <c:extLst>
            <c:ext xmlns:c16="http://schemas.microsoft.com/office/drawing/2014/chart" uri="{C3380CC4-5D6E-409C-BE32-E72D297353CC}">
              <c16:uniqueId val="{00000004-EBC0-4E94-86B0-A2517C5F7331}"/>
            </c:ext>
          </c:extLst>
        </c:ser>
        <c:ser>
          <c:idx val="2"/>
          <c:order val="2"/>
          <c:tx>
            <c:v>0.44 ± 0.03 mm thickness</c:v>
          </c:tx>
          <c:spPr>
            <a:ln w="25400" cap="rnd">
              <a:noFill/>
              <a:round/>
            </a:ln>
            <a:effectLst/>
          </c:spPr>
          <c:marker>
            <c:symbol val="circle"/>
            <c:size val="5"/>
            <c:spPr>
              <a:solidFill>
                <a:schemeClr val="accent1"/>
              </a:solidFill>
              <a:ln w="12700">
                <a:solidFill>
                  <a:schemeClr val="accent1"/>
                </a:solidFill>
              </a:ln>
              <a:effectLst/>
            </c:spPr>
          </c:marker>
          <c:xVal>
            <c:numRef>
              <c:f>'estimates new'!$AZ$72:$AZ$74</c:f>
              <c:numCache>
                <c:formatCode>General</c:formatCode>
                <c:ptCount val="3"/>
                <c:pt idx="0">
                  <c:v>0.14000000000000001</c:v>
                </c:pt>
                <c:pt idx="1">
                  <c:v>0.18</c:v>
                </c:pt>
                <c:pt idx="2">
                  <c:v>0.20500000000000002</c:v>
                </c:pt>
              </c:numCache>
            </c:numRef>
          </c:xVal>
          <c:yVal>
            <c:numRef>
              <c:f>'estimates new'!$BB$72:$BB$74</c:f>
              <c:numCache>
                <c:formatCode>General</c:formatCode>
                <c:ptCount val="3"/>
                <c:pt idx="0">
                  <c:v>0.19</c:v>
                </c:pt>
                <c:pt idx="1">
                  <c:v>0.21</c:v>
                </c:pt>
                <c:pt idx="2">
                  <c:v>0.20500000000000002</c:v>
                </c:pt>
              </c:numCache>
            </c:numRef>
          </c:yVal>
          <c:smooth val="0"/>
          <c:extLst>
            <c:ext xmlns:c16="http://schemas.microsoft.com/office/drawing/2014/chart" uri="{C3380CC4-5D6E-409C-BE32-E72D297353CC}">
              <c16:uniqueId val="{00000005-EBC0-4E94-86B0-A2517C5F7331}"/>
            </c:ext>
          </c:extLst>
        </c:ser>
        <c:ser>
          <c:idx val="3"/>
          <c:order val="3"/>
          <c:tx>
            <c:v>0.58 ± 0.06 mm thickness</c:v>
          </c:tx>
          <c:spPr>
            <a:ln w="25400" cap="rnd">
              <a:noFill/>
              <a:round/>
            </a:ln>
            <a:effectLst/>
          </c:spPr>
          <c:marker>
            <c:symbol val="circle"/>
            <c:size val="5"/>
            <c:spPr>
              <a:solidFill>
                <a:srgbClr val="FF0000"/>
              </a:solidFill>
              <a:ln w="9525">
                <a:solidFill>
                  <a:srgbClr val="FF0000"/>
                </a:solidFill>
              </a:ln>
              <a:effectLst/>
            </c:spPr>
          </c:marker>
          <c:xVal>
            <c:numRef>
              <c:f>'estimates new'!$AZ$77:$AZ$86</c:f>
              <c:numCache>
                <c:formatCode>General</c:formatCode>
                <c:ptCount val="10"/>
                <c:pt idx="0">
                  <c:v>0.17</c:v>
                </c:pt>
                <c:pt idx="1">
                  <c:v>0.22</c:v>
                </c:pt>
                <c:pt idx="2">
                  <c:v>0.31</c:v>
                </c:pt>
                <c:pt idx="3">
                  <c:v>0.11</c:v>
                </c:pt>
                <c:pt idx="4">
                  <c:v>0.15</c:v>
                </c:pt>
                <c:pt idx="5">
                  <c:v>0.15</c:v>
                </c:pt>
                <c:pt idx="6">
                  <c:v>0.21</c:v>
                </c:pt>
                <c:pt idx="7">
                  <c:v>0.24</c:v>
                </c:pt>
                <c:pt idx="8">
                  <c:v>0.25</c:v>
                </c:pt>
                <c:pt idx="9">
                  <c:v>0.27500000000000002</c:v>
                </c:pt>
              </c:numCache>
            </c:numRef>
          </c:xVal>
          <c:yVal>
            <c:numRef>
              <c:f>'estimates new'!$BB$77:$BB$86</c:f>
              <c:numCache>
                <c:formatCode>General</c:formatCode>
                <c:ptCount val="10"/>
                <c:pt idx="0">
                  <c:v>0.21</c:v>
                </c:pt>
                <c:pt idx="1">
                  <c:v>0.17</c:v>
                </c:pt>
                <c:pt idx="2">
                  <c:v>0.2</c:v>
                </c:pt>
                <c:pt idx="3">
                  <c:v>0.15</c:v>
                </c:pt>
                <c:pt idx="4">
                  <c:v>0.15</c:v>
                </c:pt>
                <c:pt idx="5">
                  <c:v>0.25</c:v>
                </c:pt>
                <c:pt idx="6">
                  <c:v>0.21</c:v>
                </c:pt>
                <c:pt idx="7">
                  <c:v>0.15</c:v>
                </c:pt>
                <c:pt idx="8">
                  <c:v>0.18</c:v>
                </c:pt>
                <c:pt idx="9">
                  <c:v>0.27500000000000002</c:v>
                </c:pt>
              </c:numCache>
            </c:numRef>
          </c:yVal>
          <c:smooth val="0"/>
          <c:extLst>
            <c:ext xmlns:c16="http://schemas.microsoft.com/office/drawing/2014/chart" uri="{C3380CC4-5D6E-409C-BE32-E72D297353CC}">
              <c16:uniqueId val="{00000006-EBC0-4E94-86B0-A2517C5F7331}"/>
            </c:ext>
          </c:extLst>
        </c:ser>
        <c:ser>
          <c:idx val="4"/>
          <c:order val="4"/>
          <c:tx>
            <c:v>0.69 ± 0.03 mm thickness</c:v>
          </c:tx>
          <c:spPr>
            <a:ln w="25400" cap="rnd">
              <a:noFill/>
              <a:round/>
            </a:ln>
            <a:effectLst/>
          </c:spPr>
          <c:marker>
            <c:symbol val="circle"/>
            <c:size val="5"/>
            <c:spPr>
              <a:solidFill>
                <a:schemeClr val="tx1"/>
              </a:solidFill>
              <a:ln w="9525">
                <a:solidFill>
                  <a:schemeClr val="tx1"/>
                </a:solidFill>
              </a:ln>
              <a:effectLst/>
            </c:spPr>
          </c:marker>
          <c:xVal>
            <c:numRef>
              <c:f>'estimates new'!$AZ$89:$AZ$92</c:f>
              <c:numCache>
                <c:formatCode>General</c:formatCode>
                <c:ptCount val="4"/>
                <c:pt idx="0">
                  <c:v>0.21</c:v>
                </c:pt>
                <c:pt idx="1">
                  <c:v>0.27</c:v>
                </c:pt>
                <c:pt idx="2">
                  <c:v>7.2999999999999995E-2</c:v>
                </c:pt>
                <c:pt idx="3">
                  <c:v>0.2</c:v>
                </c:pt>
              </c:numCache>
            </c:numRef>
          </c:xVal>
          <c:yVal>
            <c:numRef>
              <c:f>'estimates new'!$BB$89:$BB$92</c:f>
              <c:numCache>
                <c:formatCode>General</c:formatCode>
                <c:ptCount val="4"/>
                <c:pt idx="0">
                  <c:v>0.19</c:v>
                </c:pt>
                <c:pt idx="1">
                  <c:v>0.22</c:v>
                </c:pt>
                <c:pt idx="2">
                  <c:v>7.2999999999999995E-2</c:v>
                </c:pt>
                <c:pt idx="3">
                  <c:v>0.26</c:v>
                </c:pt>
              </c:numCache>
            </c:numRef>
          </c:yVal>
          <c:smooth val="0"/>
          <c:extLst>
            <c:ext xmlns:c16="http://schemas.microsoft.com/office/drawing/2014/chart" uri="{C3380CC4-5D6E-409C-BE32-E72D297353CC}">
              <c16:uniqueId val="{00000007-EBC0-4E94-86B0-A2517C5F7331}"/>
            </c:ext>
          </c:extLst>
        </c:ser>
        <c:ser>
          <c:idx val="5"/>
          <c:order val="5"/>
          <c:tx>
            <c:v>1.50 ± 0.07 mm thickness</c:v>
          </c:tx>
          <c:spPr>
            <a:ln w="25400" cap="rnd">
              <a:noFill/>
              <a:round/>
            </a:ln>
            <a:effectLst/>
          </c:spPr>
          <c:marker>
            <c:symbol val="circle"/>
            <c:size val="5"/>
            <c:spPr>
              <a:solidFill>
                <a:schemeClr val="accent4"/>
              </a:solidFill>
              <a:ln w="9525">
                <a:solidFill>
                  <a:schemeClr val="accent4"/>
                </a:solidFill>
              </a:ln>
              <a:effectLst/>
            </c:spPr>
          </c:marker>
          <c:xVal>
            <c:numRef>
              <c:f>'estimates new'!$AZ$95:$AZ$103</c:f>
              <c:numCache>
                <c:formatCode>General</c:formatCode>
                <c:ptCount val="9"/>
                <c:pt idx="0">
                  <c:v>0.09</c:v>
                </c:pt>
                <c:pt idx="1">
                  <c:v>0.28000000000000003</c:v>
                </c:pt>
                <c:pt idx="2">
                  <c:v>0.24</c:v>
                </c:pt>
                <c:pt idx="3">
                  <c:v>0.23</c:v>
                </c:pt>
                <c:pt idx="4">
                  <c:v>0.23</c:v>
                </c:pt>
                <c:pt idx="5">
                  <c:v>0.2</c:v>
                </c:pt>
                <c:pt idx="6">
                  <c:v>0</c:v>
                </c:pt>
                <c:pt idx="7">
                  <c:v>0</c:v>
                </c:pt>
                <c:pt idx="8">
                  <c:v>0.02</c:v>
                </c:pt>
              </c:numCache>
            </c:numRef>
          </c:xVal>
          <c:yVal>
            <c:numRef>
              <c:f>'estimates new'!$BB$95:$BB$103</c:f>
              <c:numCache>
                <c:formatCode>General</c:formatCode>
                <c:ptCount val="9"/>
                <c:pt idx="0">
                  <c:v>0.28999999999999998</c:v>
                </c:pt>
                <c:pt idx="1">
                  <c:v>0.35000000000000003</c:v>
                </c:pt>
                <c:pt idx="2">
                  <c:v>0.42</c:v>
                </c:pt>
                <c:pt idx="3">
                  <c:v>0.39</c:v>
                </c:pt>
                <c:pt idx="4">
                  <c:v>0.32</c:v>
                </c:pt>
                <c:pt idx="5">
                  <c:v>0.33</c:v>
                </c:pt>
                <c:pt idx="6">
                  <c:v>0.32</c:v>
                </c:pt>
                <c:pt idx="7">
                  <c:v>0.14000000000000001</c:v>
                </c:pt>
                <c:pt idx="8">
                  <c:v>0.11</c:v>
                </c:pt>
              </c:numCache>
            </c:numRef>
          </c:yVal>
          <c:smooth val="0"/>
          <c:extLst>
            <c:ext xmlns:c16="http://schemas.microsoft.com/office/drawing/2014/chart" uri="{C3380CC4-5D6E-409C-BE32-E72D297353CC}">
              <c16:uniqueId val="{00000008-EBC0-4E94-86B0-A2517C5F7331}"/>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Top</a:t>
                </a:r>
                <a:r>
                  <a:rPr lang="en-GB" sz="1600" baseline="0"/>
                  <a:t> surface thickness \ mm</a:t>
                </a:r>
                <a:endParaRPr lang="en-GB" sz="1600"/>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Bottom</a:t>
                </a:r>
                <a:r>
                  <a:rPr lang="en-GB" sz="1600" baseline="0"/>
                  <a:t> surface thickness \ mm</a:t>
                </a:r>
                <a:endParaRPr lang="en-GB" sz="1600"/>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legend>
      <c:legendPos val="t"/>
      <c:legendEntry>
        <c:idx val="0"/>
        <c:delete val="1"/>
      </c:legendEntry>
      <c:legendEntry>
        <c:idx val="6"/>
        <c:delete val="1"/>
      </c:legendEntry>
      <c:layout>
        <c:manualLayout>
          <c:xMode val="edge"/>
          <c:yMode val="edge"/>
          <c:x val="9.3343118152291099E-2"/>
          <c:y val="7.0383583515701661E-2"/>
          <c:w val="0.25877579085255992"/>
          <c:h val="0.26059594935046954"/>
        </c:manualLayout>
      </c:layout>
      <c:overlay val="0"/>
      <c:spPr>
        <a:noFill/>
        <a:ln w="0">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PERPENDICULAR CUTS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noFill/>
              <a:ln w="9525">
                <a:noFill/>
              </a:ln>
              <a:effectLst/>
            </c:spPr>
          </c:marker>
          <c:trendline>
            <c:spPr>
              <a:ln w="19050" cap="rnd">
                <a:solidFill>
                  <a:schemeClr val="tx1"/>
                </a:solidFill>
                <a:prstDash val="lgDash"/>
              </a:ln>
              <a:effectLst/>
            </c:spPr>
            <c:trendlineType val="linear"/>
            <c:intercept val="0"/>
            <c:dispRSqr val="1"/>
            <c:dispEq val="1"/>
            <c:trendlineLbl>
              <c:layout>
                <c:manualLayout>
                  <c:x val="6.3534272935631811E-2"/>
                  <c:y val="0.14078438460847603"/>
                </c:manualLayout>
              </c:layout>
              <c:tx>
                <c:rich>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200" u="sng" baseline="0"/>
                      <a:t>Linear regression line:</a:t>
                    </a:r>
                  </a:p>
                  <a:p>
                    <a:pPr>
                      <a:defRPr sz="1200"/>
                    </a:pPr>
                    <a:r>
                      <a:rPr lang="en-US" sz="1200" baseline="0"/>
                      <a:t>y = 0.4396x</a:t>
                    </a:r>
                    <a:br>
                      <a:rPr lang="en-US" sz="1200" baseline="0"/>
                    </a:br>
                    <a:r>
                      <a:rPr lang="en-US" sz="1200" baseline="0"/>
                      <a:t>R² = 0.616</a:t>
                    </a:r>
                    <a:endParaRPr lang="en-US" sz="1200"/>
                  </a:p>
                </c:rich>
              </c:tx>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'estimates new'!$AW$3:$AW$14</c:f>
              <c:numCache>
                <c:formatCode>General</c:formatCode>
                <c:ptCount val="12"/>
                <c:pt idx="0">
                  <c:v>0.27</c:v>
                </c:pt>
                <c:pt idx="1">
                  <c:v>0.26</c:v>
                </c:pt>
                <c:pt idx="2">
                  <c:v>0.31</c:v>
                </c:pt>
                <c:pt idx="3">
                  <c:v>0.13</c:v>
                </c:pt>
                <c:pt idx="4">
                  <c:v>0.23</c:v>
                </c:pt>
                <c:pt idx="5">
                  <c:v>0.27</c:v>
                </c:pt>
                <c:pt idx="6">
                  <c:v>0.27</c:v>
                </c:pt>
                <c:pt idx="7">
                  <c:v>0.2</c:v>
                </c:pt>
                <c:pt idx="8">
                  <c:v>0.2</c:v>
                </c:pt>
                <c:pt idx="9">
                  <c:v>0.42</c:v>
                </c:pt>
                <c:pt idx="10">
                  <c:v>0.28000000000000003</c:v>
                </c:pt>
                <c:pt idx="11">
                  <c:v>1.1000000000000001</c:v>
                </c:pt>
              </c:numCache>
            </c:numRef>
          </c:xVal>
          <c:yVal>
            <c:numRef>
              <c:f>'estimates new'!$AY$3:$AY$14</c:f>
              <c:numCache>
                <c:formatCode>General</c:formatCode>
                <c:ptCount val="12"/>
                <c:pt idx="0">
                  <c:v>0.21</c:v>
                </c:pt>
                <c:pt idx="1">
                  <c:v>0.25</c:v>
                </c:pt>
                <c:pt idx="2">
                  <c:v>0.28999999999999998</c:v>
                </c:pt>
                <c:pt idx="3">
                  <c:v>0.09</c:v>
                </c:pt>
                <c:pt idx="4">
                  <c:v>0.19</c:v>
                </c:pt>
                <c:pt idx="5">
                  <c:v>0.13</c:v>
                </c:pt>
                <c:pt idx="6">
                  <c:v>0.18</c:v>
                </c:pt>
                <c:pt idx="7">
                  <c:v>0.24</c:v>
                </c:pt>
                <c:pt idx="8">
                  <c:v>0.21</c:v>
                </c:pt>
                <c:pt idx="9">
                  <c:v>0.37</c:v>
                </c:pt>
                <c:pt idx="10">
                  <c:v>0.26</c:v>
                </c:pt>
                <c:pt idx="11">
                  <c:v>0.19</c:v>
                </c:pt>
              </c:numCache>
            </c:numRef>
          </c:yVal>
          <c:smooth val="0"/>
          <c:extLst>
            <c:ext xmlns:c16="http://schemas.microsoft.com/office/drawing/2014/chart" uri="{C3380CC4-5D6E-409C-BE32-E72D297353CC}">
              <c16:uniqueId val="{00000001-DCA4-4DA7-8914-7A759B28E4BD}"/>
            </c:ext>
          </c:extLst>
        </c:ser>
        <c:ser>
          <c:idx val="1"/>
          <c:order val="1"/>
          <c:tx>
            <c:v>0.80 ± 0.02 mm thickness</c:v>
          </c:tx>
          <c:spPr>
            <a:ln w="25400" cap="rnd">
              <a:noFill/>
              <a:round/>
            </a:ln>
            <a:effectLst/>
          </c:spPr>
          <c:marker>
            <c:symbol val="circle"/>
            <c:size val="5"/>
            <c:spPr>
              <a:solidFill>
                <a:srgbClr val="FF0000"/>
              </a:solidFill>
              <a:ln w="25400">
                <a:solidFill>
                  <a:srgbClr val="FF0000"/>
                </a:solidFill>
              </a:ln>
              <a:effectLst/>
            </c:spPr>
          </c:marker>
          <c:xVal>
            <c:numRef>
              <c:f>'estimates new'!$BD$21:$BD$23</c:f>
              <c:numCache>
                <c:formatCode>General</c:formatCode>
                <c:ptCount val="3"/>
                <c:pt idx="0">
                  <c:v>0.27</c:v>
                </c:pt>
                <c:pt idx="1">
                  <c:v>0.26</c:v>
                </c:pt>
                <c:pt idx="2">
                  <c:v>0.31</c:v>
                </c:pt>
              </c:numCache>
            </c:numRef>
          </c:xVal>
          <c:yVal>
            <c:numRef>
              <c:f>'estimates new'!$BF$21:$BF$23</c:f>
              <c:numCache>
                <c:formatCode>General</c:formatCode>
                <c:ptCount val="3"/>
                <c:pt idx="0">
                  <c:v>0.21</c:v>
                </c:pt>
                <c:pt idx="1">
                  <c:v>0.25</c:v>
                </c:pt>
                <c:pt idx="2">
                  <c:v>0.28999999999999998</c:v>
                </c:pt>
              </c:numCache>
            </c:numRef>
          </c:yVal>
          <c:smooth val="0"/>
          <c:extLst>
            <c:ext xmlns:c16="http://schemas.microsoft.com/office/drawing/2014/chart" uri="{C3380CC4-5D6E-409C-BE32-E72D297353CC}">
              <c16:uniqueId val="{00000003-DCA4-4DA7-8914-7A759B28E4BD}"/>
            </c:ext>
          </c:extLst>
        </c:ser>
        <c:ser>
          <c:idx val="2"/>
          <c:order val="2"/>
          <c:tx>
            <c:v>0.43 mm thickness</c:v>
          </c:tx>
          <c:spPr>
            <a:ln w="25400" cap="rnd">
              <a:noFill/>
              <a:round/>
            </a:ln>
            <a:effectLst/>
          </c:spPr>
          <c:marker>
            <c:symbol val="circle"/>
            <c:size val="5"/>
            <c:spPr>
              <a:solidFill>
                <a:srgbClr val="00B0F0"/>
              </a:solidFill>
              <a:ln w="25400">
                <a:solidFill>
                  <a:srgbClr val="00B0F0"/>
                </a:solidFill>
              </a:ln>
              <a:effectLst/>
            </c:spPr>
          </c:marker>
          <c:xVal>
            <c:numRef>
              <c:f>'estimates new'!$BD$25</c:f>
              <c:numCache>
                <c:formatCode>General</c:formatCode>
                <c:ptCount val="1"/>
                <c:pt idx="0">
                  <c:v>0.13</c:v>
                </c:pt>
              </c:numCache>
            </c:numRef>
          </c:xVal>
          <c:yVal>
            <c:numRef>
              <c:f>'estimates new'!$BF$25</c:f>
              <c:numCache>
                <c:formatCode>General</c:formatCode>
                <c:ptCount val="1"/>
                <c:pt idx="0">
                  <c:v>0.09</c:v>
                </c:pt>
              </c:numCache>
            </c:numRef>
          </c:yVal>
          <c:smooth val="0"/>
          <c:extLst>
            <c:ext xmlns:c16="http://schemas.microsoft.com/office/drawing/2014/chart" uri="{C3380CC4-5D6E-409C-BE32-E72D297353CC}">
              <c16:uniqueId val="{00000004-DCA4-4DA7-8914-7A759B28E4BD}"/>
            </c:ext>
          </c:extLst>
        </c:ser>
        <c:ser>
          <c:idx val="3"/>
          <c:order val="3"/>
          <c:tx>
            <c:v>0.65 mm thickness</c:v>
          </c:tx>
          <c:spPr>
            <a:ln w="25400" cap="rnd">
              <a:noFill/>
              <a:round/>
            </a:ln>
            <a:effectLst/>
          </c:spPr>
          <c:marker>
            <c:symbol val="circle"/>
            <c:size val="5"/>
            <c:spPr>
              <a:solidFill>
                <a:srgbClr val="00B050"/>
              </a:solidFill>
              <a:ln w="25400">
                <a:solidFill>
                  <a:srgbClr val="00B050"/>
                </a:solidFill>
              </a:ln>
              <a:effectLst/>
            </c:spPr>
          </c:marker>
          <c:xVal>
            <c:numRef>
              <c:f>'estimates new'!$BD$27</c:f>
              <c:numCache>
                <c:formatCode>General</c:formatCode>
                <c:ptCount val="1"/>
                <c:pt idx="0">
                  <c:v>0.23</c:v>
                </c:pt>
              </c:numCache>
            </c:numRef>
          </c:xVal>
          <c:yVal>
            <c:numRef>
              <c:f>'estimates new'!$BF$27</c:f>
              <c:numCache>
                <c:formatCode>General</c:formatCode>
                <c:ptCount val="1"/>
                <c:pt idx="0">
                  <c:v>0.19</c:v>
                </c:pt>
              </c:numCache>
            </c:numRef>
          </c:yVal>
          <c:smooth val="0"/>
          <c:extLst>
            <c:ext xmlns:c16="http://schemas.microsoft.com/office/drawing/2014/chart" uri="{C3380CC4-5D6E-409C-BE32-E72D297353CC}">
              <c16:uniqueId val="{00000005-DCA4-4DA7-8914-7A759B28E4BD}"/>
            </c:ext>
          </c:extLst>
        </c:ser>
        <c:ser>
          <c:idx val="4"/>
          <c:order val="4"/>
          <c:tx>
            <c:v>0.57 ± 0.03 mm thickness</c:v>
          </c:tx>
          <c:spPr>
            <a:ln w="25400" cap="rnd">
              <a:noFill/>
              <a:round/>
            </a:ln>
            <a:effectLst/>
          </c:spPr>
          <c:marker>
            <c:symbol val="circle"/>
            <c:size val="5"/>
            <c:spPr>
              <a:solidFill>
                <a:schemeClr val="tx1"/>
              </a:solidFill>
              <a:ln w="25400">
                <a:solidFill>
                  <a:schemeClr val="tx1"/>
                </a:solidFill>
              </a:ln>
              <a:effectLst/>
            </c:spPr>
          </c:marker>
          <c:xVal>
            <c:numRef>
              <c:f>'estimates new'!$BD$29:$BD$32</c:f>
              <c:numCache>
                <c:formatCode>General</c:formatCode>
                <c:ptCount val="4"/>
                <c:pt idx="0">
                  <c:v>0.27</c:v>
                </c:pt>
                <c:pt idx="1">
                  <c:v>0.27</c:v>
                </c:pt>
                <c:pt idx="2">
                  <c:v>0.2</c:v>
                </c:pt>
                <c:pt idx="3">
                  <c:v>0.2</c:v>
                </c:pt>
              </c:numCache>
            </c:numRef>
          </c:xVal>
          <c:yVal>
            <c:numRef>
              <c:f>'estimates new'!$BF$29:$BF$32</c:f>
              <c:numCache>
                <c:formatCode>General</c:formatCode>
                <c:ptCount val="4"/>
                <c:pt idx="0">
                  <c:v>0.13</c:v>
                </c:pt>
                <c:pt idx="1">
                  <c:v>0.18</c:v>
                </c:pt>
                <c:pt idx="2">
                  <c:v>0.24</c:v>
                </c:pt>
                <c:pt idx="3">
                  <c:v>0.21</c:v>
                </c:pt>
              </c:numCache>
            </c:numRef>
          </c:yVal>
          <c:smooth val="0"/>
          <c:extLst>
            <c:ext xmlns:c16="http://schemas.microsoft.com/office/drawing/2014/chart" uri="{C3380CC4-5D6E-409C-BE32-E72D297353CC}">
              <c16:uniqueId val="{00000006-DCA4-4DA7-8914-7A759B28E4BD}"/>
            </c:ext>
          </c:extLst>
        </c:ser>
        <c:ser>
          <c:idx val="5"/>
          <c:order val="5"/>
          <c:tx>
            <c:v>1.45 ± 0.02 mm thickness</c:v>
          </c:tx>
          <c:spPr>
            <a:ln w="25400" cap="rnd">
              <a:noFill/>
              <a:round/>
            </a:ln>
            <a:effectLst/>
          </c:spPr>
          <c:marker>
            <c:symbol val="circle"/>
            <c:size val="5"/>
            <c:spPr>
              <a:solidFill>
                <a:schemeClr val="accent4"/>
              </a:solidFill>
              <a:ln w="25400">
                <a:solidFill>
                  <a:schemeClr val="accent4"/>
                </a:solidFill>
              </a:ln>
              <a:effectLst/>
            </c:spPr>
          </c:marker>
          <c:xVal>
            <c:numRef>
              <c:f>'estimates new'!$BD$34:$BD$36</c:f>
              <c:numCache>
                <c:formatCode>General</c:formatCode>
                <c:ptCount val="3"/>
                <c:pt idx="0">
                  <c:v>0.42</c:v>
                </c:pt>
                <c:pt idx="1">
                  <c:v>0.28000000000000003</c:v>
                </c:pt>
                <c:pt idx="2">
                  <c:v>1.1000000000000001</c:v>
                </c:pt>
              </c:numCache>
            </c:numRef>
          </c:xVal>
          <c:yVal>
            <c:numRef>
              <c:f>'estimates new'!$BF$34:$BF$36</c:f>
              <c:numCache>
                <c:formatCode>General</c:formatCode>
                <c:ptCount val="3"/>
                <c:pt idx="0">
                  <c:v>0.37</c:v>
                </c:pt>
                <c:pt idx="1">
                  <c:v>0.26</c:v>
                </c:pt>
                <c:pt idx="2">
                  <c:v>0.19</c:v>
                </c:pt>
              </c:numCache>
            </c:numRef>
          </c:yVal>
          <c:smooth val="0"/>
          <c:extLst>
            <c:ext xmlns:c16="http://schemas.microsoft.com/office/drawing/2014/chart" uri="{C3380CC4-5D6E-409C-BE32-E72D297353CC}">
              <c16:uniqueId val="{00000007-DCA4-4DA7-8914-7A759B28E4BD}"/>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Top skin</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Bottom skin</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legend>
      <c:legendPos val="t"/>
      <c:legendEntry>
        <c:idx val="0"/>
        <c:delete val="1"/>
      </c:legendEntry>
      <c:legendEntry>
        <c:idx val="6"/>
        <c:delete val="1"/>
      </c:legendEntry>
      <c:layout>
        <c:manualLayout>
          <c:xMode val="edge"/>
          <c:yMode val="edge"/>
          <c:x val="9.3362546986558714E-2"/>
          <c:y val="8.2115409824857974E-2"/>
          <c:w val="0.30057639657192819"/>
          <c:h val="0.28291336128506817"/>
        </c:manualLayout>
      </c:layout>
      <c:overlay val="0"/>
      <c:spPr>
        <a:noFill/>
        <a:ln w="3175">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OPTIMAL</a:t>
            </a:r>
            <a:r>
              <a:rPr lang="en-GB" baseline="0">
                <a:solidFill>
                  <a:sysClr val="windowText" lastClr="000000"/>
                </a:solidFill>
              </a:rPr>
              <a:t> PSI VS THICKNESS</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2"/>
          <c:order val="0"/>
          <c:spPr>
            <a:ln w="25400" cap="rnd">
              <a:noFill/>
              <a:round/>
            </a:ln>
            <a:effectLst/>
          </c:spPr>
          <c:marker>
            <c:symbol val="diamond"/>
            <c:size val="5"/>
            <c:spPr>
              <a:solidFill>
                <a:schemeClr val="tx1"/>
              </a:solidFill>
              <a:ln w="25400">
                <a:solidFill>
                  <a:schemeClr val="tx1"/>
                </a:solidFill>
              </a:ln>
              <a:effectLst/>
            </c:spPr>
          </c:marker>
          <c:errBars>
            <c:errDir val="x"/>
            <c:errBarType val="both"/>
            <c:errValType val="cust"/>
            <c:noEndCap val="0"/>
            <c:plus>
              <c:numRef>
                <c:f>'NEW MODELLING FOR SHEAR RATES'!$B$220:$B$224</c:f>
                <c:numCache>
                  <c:formatCode>General</c:formatCode>
                  <c:ptCount val="5"/>
                  <c:pt idx="0">
                    <c:v>6.1395801521312812E-2</c:v>
                  </c:pt>
                  <c:pt idx="1">
                    <c:v>7.333296231104619E-2</c:v>
                  </c:pt>
                  <c:pt idx="2">
                    <c:v>4.9117206760971255E-2</c:v>
                  </c:pt>
                  <c:pt idx="3">
                    <c:v>2.3118150893017941E-2</c:v>
                  </c:pt>
                  <c:pt idx="4">
                    <c:v>6.1468257299118666E-2</c:v>
                  </c:pt>
                </c:numCache>
              </c:numRef>
            </c:plus>
            <c:minus>
              <c:numRef>
                <c:f>'NEW MODELLING FOR SHEAR RATES'!$B$220:$B$224</c:f>
                <c:numCache>
                  <c:formatCode>General</c:formatCode>
                  <c:ptCount val="5"/>
                  <c:pt idx="0">
                    <c:v>6.1395801521312812E-2</c:v>
                  </c:pt>
                  <c:pt idx="1">
                    <c:v>7.333296231104619E-2</c:v>
                  </c:pt>
                  <c:pt idx="2">
                    <c:v>4.9117206760971255E-2</c:v>
                  </c:pt>
                  <c:pt idx="3">
                    <c:v>2.3118150893017941E-2</c:v>
                  </c:pt>
                  <c:pt idx="4">
                    <c:v>6.1468257299118666E-2</c:v>
                  </c:pt>
                </c:numCache>
              </c:numRef>
            </c:minus>
            <c:spPr>
              <a:noFill/>
              <a:ln w="9525" cap="flat" cmpd="sng" algn="ctr">
                <a:solidFill>
                  <a:schemeClr val="tx1">
                    <a:lumMod val="65000"/>
                    <a:lumOff val="35000"/>
                  </a:schemeClr>
                </a:solidFill>
                <a:round/>
              </a:ln>
              <a:effectLst/>
            </c:spPr>
          </c:errBars>
          <c:errBars>
            <c:errDir val="y"/>
            <c:errBarType val="both"/>
            <c:errValType val="cust"/>
            <c:noEndCap val="0"/>
            <c:plus>
              <c:numRef>
                <c:f>'NEW MODELLING FOR SHEAR RATES'!$D$220:$D$224</c:f>
                <c:numCache>
                  <c:formatCode>General</c:formatCode>
                  <c:ptCount val="5"/>
                  <c:pt idx="0">
                    <c:v>12.191178597729882</c:v>
                  </c:pt>
                  <c:pt idx="1">
                    <c:v>16.52116104311121</c:v>
                  </c:pt>
                  <c:pt idx="2">
                    <c:v>13.985875334627556</c:v>
                  </c:pt>
                  <c:pt idx="3">
                    <c:v>14.506145186330743</c:v>
                  </c:pt>
                  <c:pt idx="4">
                    <c:v>34.77505521050665</c:v>
                  </c:pt>
                </c:numCache>
              </c:numRef>
            </c:plus>
            <c:minus>
              <c:numRef>
                <c:f>'NEW MODELLING FOR SHEAR RATES'!$D$220:$D$224</c:f>
                <c:numCache>
                  <c:formatCode>General</c:formatCode>
                  <c:ptCount val="5"/>
                  <c:pt idx="0">
                    <c:v>12.191178597729882</c:v>
                  </c:pt>
                  <c:pt idx="1">
                    <c:v>16.52116104311121</c:v>
                  </c:pt>
                  <c:pt idx="2">
                    <c:v>13.985875334627556</c:v>
                  </c:pt>
                  <c:pt idx="3">
                    <c:v>14.506145186330743</c:v>
                  </c:pt>
                  <c:pt idx="4">
                    <c:v>34.77505521050665</c:v>
                  </c:pt>
                </c:numCache>
              </c:numRef>
            </c:minus>
            <c:spPr>
              <a:noFill/>
              <a:ln w="9525" cap="flat" cmpd="sng" algn="ctr">
                <a:solidFill>
                  <a:schemeClr val="tx1">
                    <a:lumMod val="65000"/>
                    <a:lumOff val="35000"/>
                  </a:schemeClr>
                </a:solidFill>
                <a:round/>
              </a:ln>
              <a:effectLst/>
            </c:spPr>
          </c:errBars>
          <c:xVal>
            <c:numRef>
              <c:f>'NEW MODELLING FOR SHEAR RATES'!$A$220:$A$224</c:f>
              <c:numCache>
                <c:formatCode>General</c:formatCode>
                <c:ptCount val="5"/>
                <c:pt idx="0">
                  <c:v>0.51777777777777778</c:v>
                </c:pt>
                <c:pt idx="1">
                  <c:v>0.59333333333333338</c:v>
                </c:pt>
                <c:pt idx="2">
                  <c:v>0.65125</c:v>
                </c:pt>
                <c:pt idx="3">
                  <c:v>0.81407407407407406</c:v>
                </c:pt>
                <c:pt idx="4">
                  <c:v>1.4946296296296298</c:v>
                </c:pt>
              </c:numCache>
            </c:numRef>
          </c:xVal>
          <c:yVal>
            <c:numRef>
              <c:f>'NEW MODELLING FOR SHEAR RATES'!$C$220:$C$224</c:f>
              <c:numCache>
                <c:formatCode>General</c:formatCode>
                <c:ptCount val="5"/>
                <c:pt idx="0">
                  <c:v>37.080351736919418</c:v>
                </c:pt>
                <c:pt idx="1">
                  <c:v>40.550489011149814</c:v>
                </c:pt>
                <c:pt idx="2">
                  <c:v>27.043129263243504</c:v>
                </c:pt>
                <c:pt idx="3">
                  <c:v>38.995251656490041</c:v>
                </c:pt>
                <c:pt idx="4">
                  <c:v>67.876309127793675</c:v>
                </c:pt>
              </c:numCache>
            </c:numRef>
          </c:yVal>
          <c:smooth val="0"/>
          <c:extLst>
            <c:ext xmlns:c16="http://schemas.microsoft.com/office/drawing/2014/chart" uri="{C3380CC4-5D6E-409C-BE32-E72D297353CC}">
              <c16:uniqueId val="{00000002-3D40-47AE-BFBD-B8D77AEF70AB}"/>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THICKNESS</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OPTIMAL</a:t>
                </a:r>
                <a:r>
                  <a:rPr lang="en-GB" sz="1600" baseline="0">
                    <a:solidFill>
                      <a:schemeClr val="tx1"/>
                    </a:solidFill>
                  </a:rPr>
                  <a:t> SHEAR/STRETCH RATIO</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OPTIMAL</a:t>
            </a:r>
            <a:r>
              <a:rPr lang="en-GB" baseline="0">
                <a:solidFill>
                  <a:sysClr val="windowText" lastClr="000000"/>
                </a:solidFill>
              </a:rPr>
              <a:t> PSI VS INJECTION PT</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2"/>
          <c:order val="0"/>
          <c:spPr>
            <a:ln w="25400" cap="rnd">
              <a:noFill/>
              <a:round/>
            </a:ln>
            <a:effectLst/>
          </c:spPr>
          <c:marker>
            <c:symbol val="diamond"/>
            <c:size val="5"/>
            <c:spPr>
              <a:solidFill>
                <a:schemeClr val="tx1"/>
              </a:solidFill>
              <a:ln w="25400">
                <a:solidFill>
                  <a:schemeClr val="tx1"/>
                </a:solidFill>
              </a:ln>
              <a:effectLst/>
            </c:spPr>
          </c:marker>
          <c:errBars>
            <c:errDir val="x"/>
            <c:errBarType val="both"/>
            <c:errValType val="cust"/>
            <c:noEndCap val="0"/>
            <c:plus>
              <c:numRef>
                <c:f>'NEW MODELLING FOR SHEAR RATES'!$B$220:$B$224</c:f>
                <c:numCache>
                  <c:formatCode>General</c:formatCode>
                  <c:ptCount val="5"/>
                  <c:pt idx="0">
                    <c:v>6.1395801521312812E-2</c:v>
                  </c:pt>
                  <c:pt idx="1">
                    <c:v>7.333296231104619E-2</c:v>
                  </c:pt>
                  <c:pt idx="2">
                    <c:v>4.9117206760971255E-2</c:v>
                  </c:pt>
                  <c:pt idx="3">
                    <c:v>2.3118150893017941E-2</c:v>
                  </c:pt>
                  <c:pt idx="4">
                    <c:v>6.1468257299118666E-2</c:v>
                  </c:pt>
                </c:numCache>
              </c:numRef>
            </c:plus>
            <c:minus>
              <c:numRef>
                <c:f>'NEW MODELLING FOR SHEAR RATES'!$B$220:$B$224</c:f>
                <c:numCache>
                  <c:formatCode>General</c:formatCode>
                  <c:ptCount val="5"/>
                  <c:pt idx="0">
                    <c:v>6.1395801521312812E-2</c:v>
                  </c:pt>
                  <c:pt idx="1">
                    <c:v>7.333296231104619E-2</c:v>
                  </c:pt>
                  <c:pt idx="2">
                    <c:v>4.9117206760971255E-2</c:v>
                  </c:pt>
                  <c:pt idx="3">
                    <c:v>2.3118150893017941E-2</c:v>
                  </c:pt>
                  <c:pt idx="4">
                    <c:v>6.1468257299118666E-2</c:v>
                  </c:pt>
                </c:numCache>
              </c:numRef>
            </c:minus>
            <c:spPr>
              <a:noFill/>
              <a:ln w="9525" cap="flat" cmpd="sng" algn="ctr">
                <a:solidFill>
                  <a:schemeClr val="tx1">
                    <a:lumMod val="65000"/>
                    <a:lumOff val="35000"/>
                  </a:schemeClr>
                </a:solidFill>
                <a:round/>
              </a:ln>
              <a:effectLst/>
            </c:spPr>
          </c:errBars>
          <c:errBars>
            <c:errDir val="y"/>
            <c:errBarType val="both"/>
            <c:errValType val="cust"/>
            <c:noEndCap val="0"/>
            <c:plus>
              <c:numRef>
                <c:f>'NEW MODELLING FOR SHEAR RATES'!$E$234:$E$236</c:f>
                <c:numCache>
                  <c:formatCode>General</c:formatCode>
                  <c:ptCount val="3"/>
                  <c:pt idx="0">
                    <c:v>8.5972461299518965</c:v>
                  </c:pt>
                  <c:pt idx="1">
                    <c:v>14.323341654043272</c:v>
                  </c:pt>
                  <c:pt idx="2">
                    <c:v>37.707864867818657</c:v>
                  </c:pt>
                </c:numCache>
              </c:numRef>
            </c:plus>
            <c:minus>
              <c:numRef>
                <c:f>'NEW MODELLING FOR SHEAR RATES'!$E$234:$E$236</c:f>
                <c:numCache>
                  <c:formatCode>General</c:formatCode>
                  <c:ptCount val="3"/>
                  <c:pt idx="0">
                    <c:v>8.5972461299518965</c:v>
                  </c:pt>
                  <c:pt idx="1">
                    <c:v>14.323341654043272</c:v>
                  </c:pt>
                  <c:pt idx="2">
                    <c:v>37.707864867818657</c:v>
                  </c:pt>
                </c:numCache>
              </c:numRef>
            </c:minus>
            <c:spPr>
              <a:noFill/>
              <a:ln w="9525" cap="flat" cmpd="sng" algn="ctr">
                <a:solidFill>
                  <a:schemeClr val="tx1">
                    <a:lumMod val="65000"/>
                    <a:lumOff val="35000"/>
                  </a:schemeClr>
                </a:solidFill>
                <a:round/>
              </a:ln>
              <a:effectLst/>
            </c:spPr>
          </c:errBars>
          <c:xVal>
            <c:numRef>
              <c:f>'NEW MODELLING FOR SHEAR RATES'!$C$234:$C$236</c:f>
              <c:numCache>
                <c:formatCode>General</c:formatCode>
                <c:ptCount val="3"/>
                <c:pt idx="0">
                  <c:v>12</c:v>
                </c:pt>
                <c:pt idx="1">
                  <c:v>27</c:v>
                </c:pt>
                <c:pt idx="2">
                  <c:v>42</c:v>
                </c:pt>
              </c:numCache>
            </c:numRef>
          </c:xVal>
          <c:yVal>
            <c:numRef>
              <c:f>'NEW MODELLING FOR SHEAR RATES'!$D$234:$D$236</c:f>
              <c:numCache>
                <c:formatCode>General</c:formatCode>
                <c:ptCount val="3"/>
                <c:pt idx="0">
                  <c:v>26.241787077457531</c:v>
                </c:pt>
                <c:pt idx="1">
                  <c:v>52.491294892355668</c:v>
                </c:pt>
                <c:pt idx="2">
                  <c:v>58.315180276618122</c:v>
                </c:pt>
              </c:numCache>
            </c:numRef>
          </c:yVal>
          <c:smooth val="0"/>
          <c:extLst>
            <c:ext xmlns:c16="http://schemas.microsoft.com/office/drawing/2014/chart" uri="{C3380CC4-5D6E-409C-BE32-E72D297353CC}">
              <c16:uniqueId val="{00000000-B42D-40DF-8AA1-C07EAC473469}"/>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INJECTION</a:t>
                </a:r>
                <a:r>
                  <a:rPr lang="en-GB" sz="1600" baseline="0">
                    <a:solidFill>
                      <a:schemeClr val="tx1"/>
                    </a:solidFill>
                  </a:rPr>
                  <a:t> PT DISTANCE</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OPTIMAL</a:t>
                </a:r>
                <a:r>
                  <a:rPr lang="en-GB" sz="1600" baseline="0">
                    <a:solidFill>
                      <a:schemeClr val="tx1"/>
                    </a:solidFill>
                  </a:rPr>
                  <a:t> SHEAR/STRETCH RATIO</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OPTIMAL</a:t>
            </a:r>
            <a:r>
              <a:rPr lang="en-GB" baseline="0">
                <a:solidFill>
                  <a:sysClr val="windowText" lastClr="000000"/>
                </a:solidFill>
              </a:rPr>
              <a:t> PSI VS ANNEALING TIME</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2"/>
          <c:order val="0"/>
          <c:spPr>
            <a:ln w="25400" cap="rnd">
              <a:noFill/>
              <a:round/>
            </a:ln>
            <a:effectLst/>
          </c:spPr>
          <c:marker>
            <c:symbol val="diamond"/>
            <c:size val="5"/>
            <c:spPr>
              <a:solidFill>
                <a:schemeClr val="tx1"/>
              </a:solidFill>
              <a:ln w="25400">
                <a:solidFill>
                  <a:schemeClr val="tx1"/>
                </a:solidFill>
              </a:ln>
              <a:effectLst/>
            </c:spPr>
          </c:marker>
          <c:errBars>
            <c:errDir val="x"/>
            <c:errBarType val="both"/>
            <c:errValType val="cust"/>
            <c:noEndCap val="0"/>
            <c:plus>
              <c:numRef>
                <c:f>'NEW MODELLING FOR SHEAR RATES'!$B$220:$B$224</c:f>
                <c:numCache>
                  <c:formatCode>General</c:formatCode>
                  <c:ptCount val="5"/>
                  <c:pt idx="0">
                    <c:v>6.1395801521312812E-2</c:v>
                  </c:pt>
                  <c:pt idx="1">
                    <c:v>7.333296231104619E-2</c:v>
                  </c:pt>
                  <c:pt idx="2">
                    <c:v>4.9117206760971255E-2</c:v>
                  </c:pt>
                  <c:pt idx="3">
                    <c:v>2.3118150893017941E-2</c:v>
                  </c:pt>
                  <c:pt idx="4">
                    <c:v>6.1468257299118666E-2</c:v>
                  </c:pt>
                </c:numCache>
              </c:numRef>
            </c:plus>
            <c:minus>
              <c:numRef>
                <c:f>'NEW MODELLING FOR SHEAR RATES'!$B$220:$B$224</c:f>
                <c:numCache>
                  <c:formatCode>General</c:formatCode>
                  <c:ptCount val="5"/>
                  <c:pt idx="0">
                    <c:v>6.1395801521312812E-2</c:v>
                  </c:pt>
                  <c:pt idx="1">
                    <c:v>7.333296231104619E-2</c:v>
                  </c:pt>
                  <c:pt idx="2">
                    <c:v>4.9117206760971255E-2</c:v>
                  </c:pt>
                  <c:pt idx="3">
                    <c:v>2.3118150893017941E-2</c:v>
                  </c:pt>
                  <c:pt idx="4">
                    <c:v>6.1468257299118666E-2</c:v>
                  </c:pt>
                </c:numCache>
              </c:numRef>
            </c:minus>
            <c:spPr>
              <a:noFill/>
              <a:ln w="9525" cap="flat" cmpd="sng" algn="ctr">
                <a:solidFill>
                  <a:schemeClr val="tx1">
                    <a:lumMod val="65000"/>
                    <a:lumOff val="35000"/>
                  </a:schemeClr>
                </a:solidFill>
                <a:round/>
              </a:ln>
              <a:effectLst/>
            </c:spPr>
          </c:errBars>
          <c:errBars>
            <c:errDir val="y"/>
            <c:errBarType val="both"/>
            <c:errValType val="cust"/>
            <c:noEndCap val="0"/>
            <c:plus>
              <c:numRef>
                <c:f>'NEW MODELLING FOR SHEAR RATES'!$C$286:$C$288</c:f>
                <c:numCache>
                  <c:formatCode>General</c:formatCode>
                  <c:ptCount val="3"/>
                  <c:pt idx="0">
                    <c:v>15.918820925530872</c:v>
                  </c:pt>
                  <c:pt idx="1">
                    <c:v>12.553020943286457</c:v>
                  </c:pt>
                  <c:pt idx="2">
                    <c:v>25.650028188950305</c:v>
                  </c:pt>
                </c:numCache>
              </c:numRef>
            </c:plus>
            <c:minus>
              <c:numRef>
                <c:f>'NEW MODELLING FOR SHEAR RATES'!$C$286:$C$288</c:f>
                <c:numCache>
                  <c:formatCode>General</c:formatCode>
                  <c:ptCount val="3"/>
                  <c:pt idx="0">
                    <c:v>15.918820925530872</c:v>
                  </c:pt>
                  <c:pt idx="1">
                    <c:v>12.553020943286457</c:v>
                  </c:pt>
                  <c:pt idx="2">
                    <c:v>25.650028188950305</c:v>
                  </c:pt>
                </c:numCache>
              </c:numRef>
            </c:minus>
            <c:spPr>
              <a:noFill/>
              <a:ln w="9525" cap="flat" cmpd="sng" algn="ctr">
                <a:solidFill>
                  <a:schemeClr val="tx1">
                    <a:lumMod val="65000"/>
                    <a:lumOff val="35000"/>
                  </a:schemeClr>
                </a:solidFill>
                <a:round/>
              </a:ln>
              <a:effectLst/>
            </c:spPr>
          </c:errBars>
          <c:xVal>
            <c:numRef>
              <c:f>'NEW MODELLING FOR SHEAR RATES'!$A$286:$A$288</c:f>
              <c:numCache>
                <c:formatCode>General</c:formatCode>
                <c:ptCount val="3"/>
                <c:pt idx="0">
                  <c:v>0</c:v>
                </c:pt>
                <c:pt idx="1">
                  <c:v>30</c:v>
                </c:pt>
                <c:pt idx="2">
                  <c:v>60</c:v>
                </c:pt>
              </c:numCache>
            </c:numRef>
          </c:xVal>
          <c:yVal>
            <c:numRef>
              <c:f>'NEW MODELLING FOR SHEAR RATES'!$B$286:$B$288</c:f>
              <c:numCache>
                <c:formatCode>General</c:formatCode>
                <c:ptCount val="3"/>
                <c:pt idx="0">
                  <c:v>37.84975485873548</c:v>
                </c:pt>
                <c:pt idx="1">
                  <c:v>34.734080287235457</c:v>
                </c:pt>
                <c:pt idx="2">
                  <c:v>56.770240190200838</c:v>
                </c:pt>
              </c:numCache>
            </c:numRef>
          </c:yVal>
          <c:smooth val="0"/>
          <c:extLst>
            <c:ext xmlns:c16="http://schemas.microsoft.com/office/drawing/2014/chart" uri="{C3380CC4-5D6E-409C-BE32-E72D297353CC}">
              <c16:uniqueId val="{00000000-9BD1-41B8-B09F-302E91CF13A4}"/>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ANNEALING</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OPTIMAL</a:t>
                </a:r>
                <a:r>
                  <a:rPr lang="en-GB" sz="1600" baseline="0">
                    <a:solidFill>
                      <a:schemeClr val="tx1"/>
                    </a:solidFill>
                  </a:rPr>
                  <a:t> SHEAR/STRETCH RATIO</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PREDICTIONS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3"/>
          <c:order val="0"/>
          <c:tx>
            <c:v>experimental values</c:v>
          </c:tx>
          <c:spPr>
            <a:ln w="25400" cap="rnd">
              <a:noFill/>
              <a:round/>
            </a:ln>
            <a:effectLst/>
          </c:spPr>
          <c:marker>
            <c:symbol val="circle"/>
            <c:size val="5"/>
            <c:spPr>
              <a:solidFill>
                <a:schemeClr val="tx1"/>
              </a:solidFill>
              <a:ln w="25400">
                <a:solidFill>
                  <a:schemeClr val="tx1"/>
                </a:solidFill>
              </a:ln>
              <a:effectLst/>
            </c:spPr>
          </c:marker>
          <c:xVal>
            <c:numRef>
              <c:f>'NEW MODELLING FOR SHEAR RATES'!$F$307:$F$342</c:f>
              <c:numCache>
                <c:formatCode>General</c:formatCode>
                <c:ptCount val="36"/>
                <c:pt idx="0">
                  <c:v>0.84</c:v>
                </c:pt>
                <c:pt idx="1">
                  <c:v>0.82</c:v>
                </c:pt>
                <c:pt idx="2">
                  <c:v>0.83</c:v>
                </c:pt>
                <c:pt idx="3">
                  <c:v>0.47</c:v>
                </c:pt>
                <c:pt idx="4">
                  <c:v>0.6</c:v>
                </c:pt>
                <c:pt idx="5">
                  <c:v>0.6</c:v>
                </c:pt>
                <c:pt idx="6">
                  <c:v>0.68</c:v>
                </c:pt>
                <c:pt idx="7">
                  <c:v>1.47</c:v>
                </c:pt>
                <c:pt idx="8">
                  <c:v>1.47</c:v>
                </c:pt>
                <c:pt idx="9">
                  <c:v>0.84</c:v>
                </c:pt>
                <c:pt idx="10">
                  <c:v>0.73</c:v>
                </c:pt>
                <c:pt idx="11">
                  <c:v>1.67</c:v>
                </c:pt>
                <c:pt idx="12">
                  <c:v>0.81</c:v>
                </c:pt>
                <c:pt idx="13">
                  <c:v>0.77</c:v>
                </c:pt>
                <c:pt idx="14">
                  <c:v>0.83</c:v>
                </c:pt>
                <c:pt idx="15">
                  <c:v>0.44</c:v>
                </c:pt>
                <c:pt idx="16">
                  <c:v>0.56999999999999995</c:v>
                </c:pt>
                <c:pt idx="17">
                  <c:v>0.57999999999999996</c:v>
                </c:pt>
                <c:pt idx="18">
                  <c:v>0.61</c:v>
                </c:pt>
                <c:pt idx="19">
                  <c:v>1.51</c:v>
                </c:pt>
                <c:pt idx="20">
                  <c:v>1.5</c:v>
                </c:pt>
                <c:pt idx="21">
                  <c:v>0.7</c:v>
                </c:pt>
                <c:pt idx="22">
                  <c:v>0.66</c:v>
                </c:pt>
                <c:pt idx="23">
                  <c:v>1.46</c:v>
                </c:pt>
                <c:pt idx="24">
                  <c:v>0.8</c:v>
                </c:pt>
                <c:pt idx="25">
                  <c:v>0.81</c:v>
                </c:pt>
                <c:pt idx="26">
                  <c:v>0.8</c:v>
                </c:pt>
                <c:pt idx="27">
                  <c:v>0.41</c:v>
                </c:pt>
                <c:pt idx="28">
                  <c:v>0.54</c:v>
                </c:pt>
                <c:pt idx="29">
                  <c:v>0.55000000000000004</c:v>
                </c:pt>
                <c:pt idx="30">
                  <c:v>0.55000000000000004</c:v>
                </c:pt>
                <c:pt idx="31">
                  <c:v>1.46</c:v>
                </c:pt>
                <c:pt idx="32">
                  <c:v>1.48</c:v>
                </c:pt>
                <c:pt idx="33">
                  <c:v>0.63</c:v>
                </c:pt>
                <c:pt idx="34">
                  <c:v>0.55000000000000004</c:v>
                </c:pt>
                <c:pt idx="35">
                  <c:v>1.49</c:v>
                </c:pt>
              </c:numCache>
            </c:numRef>
          </c:xVal>
          <c:yVal>
            <c:numRef>
              <c:f>'NEW MODELLING FOR SHEAR RATES'!$D$307:$D$342</c:f>
              <c:numCache>
                <c:formatCode>General</c:formatCode>
                <c:ptCount val="36"/>
                <c:pt idx="0">
                  <c:v>0.39285714285714285</c:v>
                </c:pt>
                <c:pt idx="1">
                  <c:v>0.59756097560975607</c:v>
                </c:pt>
                <c:pt idx="2">
                  <c:v>0.5662650602409639</c:v>
                </c:pt>
                <c:pt idx="3">
                  <c:v>0.2978723404255319</c:v>
                </c:pt>
                <c:pt idx="4">
                  <c:v>0.36666666666666664</c:v>
                </c:pt>
                <c:pt idx="5">
                  <c:v>0.56666666666666665</c:v>
                </c:pt>
                <c:pt idx="6">
                  <c:v>0.41176470588235292</c:v>
                </c:pt>
                <c:pt idx="7">
                  <c:v>0.74149659863945583</c:v>
                </c:pt>
                <c:pt idx="8">
                  <c:v>0.57823129251700678</c:v>
                </c:pt>
                <c:pt idx="9">
                  <c:v>0</c:v>
                </c:pt>
                <c:pt idx="10">
                  <c:v>0.8</c:v>
                </c:pt>
                <c:pt idx="11">
                  <c:v>0.80838323353293418</c:v>
                </c:pt>
                <c:pt idx="12">
                  <c:v>0.40740740740740738</c:v>
                </c:pt>
                <c:pt idx="13">
                  <c:v>0.44155844155844154</c:v>
                </c:pt>
                <c:pt idx="14">
                  <c:v>0.40963855421686746</c:v>
                </c:pt>
                <c:pt idx="15">
                  <c:v>0.11363636363636363</c:v>
                </c:pt>
                <c:pt idx="16">
                  <c:v>0.31578947368421051</c:v>
                </c:pt>
                <c:pt idx="17">
                  <c:v>0.48275862068965519</c:v>
                </c:pt>
                <c:pt idx="18">
                  <c:v>0.31147540983606559</c:v>
                </c:pt>
                <c:pt idx="19">
                  <c:v>0.58278145695364236</c:v>
                </c:pt>
                <c:pt idx="20">
                  <c:v>0.6333333333333333</c:v>
                </c:pt>
                <c:pt idx="21">
                  <c:v>0.3</c:v>
                </c:pt>
                <c:pt idx="22">
                  <c:v>0.30303030303030304</c:v>
                </c:pt>
                <c:pt idx="23">
                  <c:v>0.90410958904109584</c:v>
                </c:pt>
                <c:pt idx="24">
                  <c:v>0.41249999999999998</c:v>
                </c:pt>
                <c:pt idx="25">
                  <c:v>0.35802469135802467</c:v>
                </c:pt>
                <c:pt idx="26">
                  <c:v>0.3125</c:v>
                </c:pt>
                <c:pt idx="27">
                  <c:v>0</c:v>
                </c:pt>
                <c:pt idx="28">
                  <c:v>5.5555555555555552E-2</c:v>
                </c:pt>
                <c:pt idx="29">
                  <c:v>0.27272727272727271</c:v>
                </c:pt>
                <c:pt idx="30">
                  <c:v>0.29090909090909089</c:v>
                </c:pt>
                <c:pt idx="31">
                  <c:v>0.54794520547945202</c:v>
                </c:pt>
                <c:pt idx="32">
                  <c:v>0.64189189189189189</c:v>
                </c:pt>
                <c:pt idx="33">
                  <c:v>0.31746031746031744</c:v>
                </c:pt>
                <c:pt idx="34">
                  <c:v>0</c:v>
                </c:pt>
                <c:pt idx="35">
                  <c:v>0.91275167785234901</c:v>
                </c:pt>
              </c:numCache>
            </c:numRef>
          </c:yVal>
          <c:smooth val="0"/>
          <c:extLst>
            <c:ext xmlns:c16="http://schemas.microsoft.com/office/drawing/2014/chart" uri="{C3380CC4-5D6E-409C-BE32-E72D297353CC}">
              <c16:uniqueId val="{00000004-46BA-4154-8629-4E9593122BB9}"/>
            </c:ext>
          </c:extLst>
        </c:ser>
        <c:ser>
          <c:idx val="0"/>
          <c:order val="1"/>
          <c:tx>
            <c:v>predictions using critical parameter of 30</c:v>
          </c:tx>
          <c:spPr>
            <a:ln w="25400" cap="rnd">
              <a:noFill/>
              <a:round/>
            </a:ln>
            <a:effectLst/>
          </c:spPr>
          <c:marker>
            <c:symbol val="circle"/>
            <c:size val="5"/>
            <c:spPr>
              <a:solidFill>
                <a:srgbClr val="FF0000"/>
              </a:solidFill>
              <a:ln w="25400">
                <a:solidFill>
                  <a:srgbClr val="FF0000"/>
                </a:solidFill>
              </a:ln>
              <a:effectLst/>
            </c:spPr>
          </c:marker>
          <c:xVal>
            <c:numRef>
              <c:f>'NEW MODELLING FOR SHEAR RATES'!$F$307:$F$342</c:f>
              <c:numCache>
                <c:formatCode>General</c:formatCode>
                <c:ptCount val="36"/>
                <c:pt idx="0">
                  <c:v>0.84</c:v>
                </c:pt>
                <c:pt idx="1">
                  <c:v>0.82</c:v>
                </c:pt>
                <c:pt idx="2">
                  <c:v>0.83</c:v>
                </c:pt>
                <c:pt idx="3">
                  <c:v>0.47</c:v>
                </c:pt>
                <c:pt idx="4">
                  <c:v>0.6</c:v>
                </c:pt>
                <c:pt idx="5">
                  <c:v>0.6</c:v>
                </c:pt>
                <c:pt idx="6">
                  <c:v>0.68</c:v>
                </c:pt>
                <c:pt idx="7">
                  <c:v>1.47</c:v>
                </c:pt>
                <c:pt idx="8">
                  <c:v>1.47</c:v>
                </c:pt>
                <c:pt idx="9">
                  <c:v>0.84</c:v>
                </c:pt>
                <c:pt idx="10">
                  <c:v>0.73</c:v>
                </c:pt>
                <c:pt idx="11">
                  <c:v>1.67</c:v>
                </c:pt>
                <c:pt idx="12">
                  <c:v>0.81</c:v>
                </c:pt>
                <c:pt idx="13">
                  <c:v>0.77</c:v>
                </c:pt>
                <c:pt idx="14">
                  <c:v>0.83</c:v>
                </c:pt>
                <c:pt idx="15">
                  <c:v>0.44</c:v>
                </c:pt>
                <c:pt idx="16">
                  <c:v>0.56999999999999995</c:v>
                </c:pt>
                <c:pt idx="17">
                  <c:v>0.57999999999999996</c:v>
                </c:pt>
                <c:pt idx="18">
                  <c:v>0.61</c:v>
                </c:pt>
                <c:pt idx="19">
                  <c:v>1.51</c:v>
                </c:pt>
                <c:pt idx="20">
                  <c:v>1.5</c:v>
                </c:pt>
                <c:pt idx="21">
                  <c:v>0.7</c:v>
                </c:pt>
                <c:pt idx="22">
                  <c:v>0.66</c:v>
                </c:pt>
                <c:pt idx="23">
                  <c:v>1.46</c:v>
                </c:pt>
                <c:pt idx="24">
                  <c:v>0.8</c:v>
                </c:pt>
                <c:pt idx="25">
                  <c:v>0.81</c:v>
                </c:pt>
                <c:pt idx="26">
                  <c:v>0.8</c:v>
                </c:pt>
                <c:pt idx="27">
                  <c:v>0.41</c:v>
                </c:pt>
                <c:pt idx="28">
                  <c:v>0.54</c:v>
                </c:pt>
                <c:pt idx="29">
                  <c:v>0.55000000000000004</c:v>
                </c:pt>
                <c:pt idx="30">
                  <c:v>0.55000000000000004</c:v>
                </c:pt>
                <c:pt idx="31">
                  <c:v>1.46</c:v>
                </c:pt>
                <c:pt idx="32">
                  <c:v>1.48</c:v>
                </c:pt>
                <c:pt idx="33">
                  <c:v>0.63</c:v>
                </c:pt>
                <c:pt idx="34">
                  <c:v>0.55000000000000004</c:v>
                </c:pt>
                <c:pt idx="35">
                  <c:v>1.49</c:v>
                </c:pt>
              </c:numCache>
            </c:numRef>
          </c:xVal>
          <c:yVal>
            <c:numRef>
              <c:f>'NEW MODELLING FOR SHEAR RATES'!$M$307:$M$342</c:f>
              <c:numCache>
                <c:formatCode>General</c:formatCode>
                <c:ptCount val="36"/>
                <c:pt idx="0">
                  <c:v>0.53218296088635131</c:v>
                </c:pt>
                <c:pt idx="1">
                  <c:v>0.52500893595578502</c:v>
                </c:pt>
                <c:pt idx="2">
                  <c:v>0.52862014170813765</c:v>
                </c:pt>
                <c:pt idx="3">
                  <c:v>0.36122045825242083</c:v>
                </c:pt>
                <c:pt idx="4">
                  <c:v>0.43155950029049023</c:v>
                </c:pt>
                <c:pt idx="5">
                  <c:v>0.43155950029049023</c:v>
                </c:pt>
                <c:pt idx="6">
                  <c:v>0.46889463316264884</c:v>
                </c:pt>
                <c:pt idx="7">
                  <c:v>0.68666794164534195</c:v>
                </c:pt>
                <c:pt idx="8">
                  <c:v>0.68666794164534195</c:v>
                </c:pt>
                <c:pt idx="9">
                  <c:v>0.53218296088635131</c:v>
                </c:pt>
                <c:pt idx="10">
                  <c:v>0.49019236633297397</c:v>
                </c:pt>
                <c:pt idx="11">
                  <c:v>0.71707897002144394</c:v>
                </c:pt>
                <c:pt idx="12">
                  <c:v>0.29121322116769571</c:v>
                </c:pt>
                <c:pt idx="13">
                  <c:v>0.27894769400127845</c:v>
                </c:pt>
                <c:pt idx="14">
                  <c:v>0.29724613578147269</c:v>
                </c:pt>
                <c:pt idx="15">
                  <c:v>0.16797150778820097</c:v>
                </c:pt>
                <c:pt idx="16">
                  <c:v>0.21369212239394686</c:v>
                </c:pt>
                <c:pt idx="17">
                  <c:v>0.21710601492531603</c:v>
                </c:pt>
                <c:pt idx="18">
                  <c:v>0.22725495218423952</c:v>
                </c:pt>
                <c:pt idx="19">
                  <c:v>0.46495025033062626</c:v>
                </c:pt>
                <c:pt idx="20">
                  <c:v>0.46295956743654321</c:v>
                </c:pt>
                <c:pt idx="21">
                  <c:v>0.25684528356801367</c:v>
                </c:pt>
                <c:pt idx="22">
                  <c:v>0.24385480500914677</c:v>
                </c:pt>
                <c:pt idx="23">
                  <c:v>0.45487160351710471</c:v>
                </c:pt>
                <c:pt idx="24">
                  <c:v>0.19439582885491163</c:v>
                </c:pt>
                <c:pt idx="25">
                  <c:v>0.19664580168403911</c:v>
                </c:pt>
                <c:pt idx="26">
                  <c:v>0.19439582885491163</c:v>
                </c:pt>
                <c:pt idx="27">
                  <c:v>0.10245379258131079</c:v>
                </c:pt>
                <c:pt idx="28">
                  <c:v>0.13392467528022728</c:v>
                </c:pt>
                <c:pt idx="29">
                  <c:v>0.13631503905658016</c:v>
                </c:pt>
                <c:pt idx="30">
                  <c:v>0.13631503905658016</c:v>
                </c:pt>
                <c:pt idx="31">
                  <c:v>0.32883631005319658</c:v>
                </c:pt>
                <c:pt idx="32">
                  <c:v>0.33244820375305895</c:v>
                </c:pt>
                <c:pt idx="33">
                  <c:v>0.15526365687219582</c:v>
                </c:pt>
                <c:pt idx="34">
                  <c:v>0.13631503905658016</c:v>
                </c:pt>
                <c:pt idx="35">
                  <c:v>0.33424397961482416</c:v>
                </c:pt>
              </c:numCache>
            </c:numRef>
          </c:yVal>
          <c:smooth val="0"/>
          <c:extLst>
            <c:ext xmlns:c16="http://schemas.microsoft.com/office/drawing/2014/chart" uri="{C3380CC4-5D6E-409C-BE32-E72D297353CC}">
              <c16:uniqueId val="{00000006-46BA-4154-8629-4E9593122BB9}"/>
            </c:ext>
          </c:extLst>
        </c:ser>
        <c:ser>
          <c:idx val="1"/>
          <c:order val="2"/>
          <c:tx>
            <c:v>predictions using optimised critical parameter 0f 39</c:v>
          </c:tx>
          <c:spPr>
            <a:ln w="25400" cap="rnd">
              <a:noFill/>
              <a:round/>
            </a:ln>
            <a:effectLst/>
          </c:spPr>
          <c:marker>
            <c:symbol val="circle"/>
            <c:size val="5"/>
            <c:spPr>
              <a:solidFill>
                <a:srgbClr val="00B050"/>
              </a:solidFill>
              <a:ln w="25400">
                <a:solidFill>
                  <a:srgbClr val="00B050"/>
                </a:solidFill>
              </a:ln>
              <a:effectLst/>
            </c:spPr>
          </c:marker>
          <c:xVal>
            <c:numRef>
              <c:f>'NEW MODELLING FOR SHEAR RATES'!$F$2:$F$37</c:f>
              <c:numCache>
                <c:formatCode>General</c:formatCode>
                <c:ptCount val="36"/>
                <c:pt idx="0">
                  <c:v>0.84</c:v>
                </c:pt>
                <c:pt idx="1">
                  <c:v>0.82</c:v>
                </c:pt>
                <c:pt idx="2">
                  <c:v>0.83</c:v>
                </c:pt>
                <c:pt idx="3">
                  <c:v>0.47</c:v>
                </c:pt>
                <c:pt idx="4">
                  <c:v>0.6</c:v>
                </c:pt>
                <c:pt idx="5">
                  <c:v>0.6</c:v>
                </c:pt>
                <c:pt idx="6">
                  <c:v>0.68</c:v>
                </c:pt>
                <c:pt idx="7">
                  <c:v>1.47</c:v>
                </c:pt>
                <c:pt idx="8">
                  <c:v>1.47</c:v>
                </c:pt>
                <c:pt idx="9">
                  <c:v>0.84</c:v>
                </c:pt>
                <c:pt idx="10">
                  <c:v>0.73</c:v>
                </c:pt>
                <c:pt idx="11">
                  <c:v>1.67</c:v>
                </c:pt>
                <c:pt idx="12">
                  <c:v>0.81</c:v>
                </c:pt>
                <c:pt idx="13">
                  <c:v>0.77</c:v>
                </c:pt>
                <c:pt idx="14">
                  <c:v>0.83</c:v>
                </c:pt>
                <c:pt idx="15">
                  <c:v>0.44</c:v>
                </c:pt>
                <c:pt idx="16">
                  <c:v>0.56999999999999995</c:v>
                </c:pt>
                <c:pt idx="17">
                  <c:v>0.57999999999999996</c:v>
                </c:pt>
                <c:pt idx="18">
                  <c:v>0.61</c:v>
                </c:pt>
                <c:pt idx="19">
                  <c:v>1.51</c:v>
                </c:pt>
                <c:pt idx="20">
                  <c:v>1.5</c:v>
                </c:pt>
                <c:pt idx="21">
                  <c:v>0.7</c:v>
                </c:pt>
                <c:pt idx="22">
                  <c:v>0.66</c:v>
                </c:pt>
                <c:pt idx="23">
                  <c:v>1.46</c:v>
                </c:pt>
                <c:pt idx="24">
                  <c:v>0.8</c:v>
                </c:pt>
                <c:pt idx="25">
                  <c:v>0.81</c:v>
                </c:pt>
                <c:pt idx="26">
                  <c:v>0.8</c:v>
                </c:pt>
                <c:pt idx="27">
                  <c:v>0.41</c:v>
                </c:pt>
                <c:pt idx="28">
                  <c:v>0.54</c:v>
                </c:pt>
                <c:pt idx="29">
                  <c:v>0.55000000000000004</c:v>
                </c:pt>
                <c:pt idx="30">
                  <c:v>0.55000000000000004</c:v>
                </c:pt>
                <c:pt idx="31">
                  <c:v>1.46</c:v>
                </c:pt>
                <c:pt idx="32">
                  <c:v>1.48</c:v>
                </c:pt>
                <c:pt idx="33">
                  <c:v>0.63</c:v>
                </c:pt>
                <c:pt idx="34">
                  <c:v>0.55000000000000004</c:v>
                </c:pt>
                <c:pt idx="35">
                  <c:v>1.49</c:v>
                </c:pt>
              </c:numCache>
            </c:numRef>
          </c:xVal>
          <c:yVal>
            <c:numRef>
              <c:f>'NEW MODELLING FOR SHEAR RATES'!$M$2:$M$37</c:f>
              <c:numCache>
                <c:formatCode>General</c:formatCode>
                <c:ptCount val="36"/>
                <c:pt idx="0">
                  <c:v>0.64089082069841463</c:v>
                </c:pt>
                <c:pt idx="1">
                  <c:v>0.63440858380484011</c:v>
                </c:pt>
                <c:pt idx="2">
                  <c:v>0.63767704093468813</c:v>
                </c:pt>
                <c:pt idx="3">
                  <c:v>0.47261909204832481</c:v>
                </c:pt>
                <c:pt idx="4">
                  <c:v>0.54560740694085552</c:v>
                </c:pt>
                <c:pt idx="5">
                  <c:v>0.54560740694085552</c:v>
                </c:pt>
                <c:pt idx="6">
                  <c:v>0.58211071504305023</c:v>
                </c:pt>
                <c:pt idx="7">
                  <c:v>0.77123271841161134</c:v>
                </c:pt>
                <c:pt idx="8">
                  <c:v>0.77123271841161134</c:v>
                </c:pt>
                <c:pt idx="9">
                  <c:v>0.64089082069841463</c:v>
                </c:pt>
                <c:pt idx="10">
                  <c:v>0.60230518403969224</c:v>
                </c:pt>
                <c:pt idx="11">
                  <c:v>0.79515111079382139</c:v>
                </c:pt>
                <c:pt idx="12">
                  <c:v>0.39382769526119982</c:v>
                </c:pt>
                <c:pt idx="13">
                  <c:v>0.37934211035056631</c:v>
                </c:pt>
                <c:pt idx="14">
                  <c:v>0.40087633598812267</c:v>
                </c:pt>
                <c:pt idx="15">
                  <c:v>0.2387678158999883</c:v>
                </c:pt>
                <c:pt idx="16">
                  <c:v>0.29873932029901551</c:v>
                </c:pt>
                <c:pt idx="17">
                  <c:v>0.30310366958665469</c:v>
                </c:pt>
                <c:pt idx="18">
                  <c:v>0.31598261098125163</c:v>
                </c:pt>
                <c:pt idx="19">
                  <c:v>0.57832189531525147</c:v>
                </c:pt>
                <c:pt idx="20">
                  <c:v>0.57640380503917654</c:v>
                </c:pt>
                <c:pt idx="21">
                  <c:v>0.35270994976326386</c:v>
                </c:pt>
                <c:pt idx="22">
                  <c:v>0.33673755105160408</c:v>
                </c:pt>
                <c:pt idx="23">
                  <c:v>0.56856947491007859</c:v>
                </c:pt>
                <c:pt idx="24">
                  <c:v>0.27376992483975765</c:v>
                </c:pt>
                <c:pt idx="25">
                  <c:v>0.27670749384057791</c:v>
                </c:pt>
                <c:pt idx="26">
                  <c:v>0.27376992483975765</c:v>
                </c:pt>
                <c:pt idx="27">
                  <c:v>0.14833766430775003</c:v>
                </c:pt>
                <c:pt idx="28">
                  <c:v>0.19237428912729543</c:v>
                </c:pt>
                <c:pt idx="29">
                  <c:v>0.19567608190369065</c:v>
                </c:pt>
                <c:pt idx="30">
                  <c:v>0.19567608190369065</c:v>
                </c:pt>
                <c:pt idx="31">
                  <c:v>0.43697751914309979</c:v>
                </c:pt>
                <c:pt idx="32">
                  <c:v>0.44102016248251419</c:v>
                </c:pt>
                <c:pt idx="33">
                  <c:v>0.22161534276832243</c:v>
                </c:pt>
                <c:pt idx="34">
                  <c:v>0.19567608190369065</c:v>
                </c:pt>
                <c:pt idx="35">
                  <c:v>0.44302371186039757</c:v>
                </c:pt>
              </c:numCache>
            </c:numRef>
          </c:yVal>
          <c:smooth val="0"/>
          <c:extLst>
            <c:ext xmlns:c16="http://schemas.microsoft.com/office/drawing/2014/chart" uri="{C3380CC4-5D6E-409C-BE32-E72D297353CC}">
              <c16:uniqueId val="{00000007-46BA-4154-8629-4E9593122BB9}"/>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Sample</a:t>
                </a:r>
                <a:r>
                  <a:rPr lang="en-GB" baseline="0"/>
                  <a:t> thickness</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skin</a:t>
                </a:r>
                <a:r>
                  <a:rPr lang="en-GB" baseline="0"/>
                  <a:t>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legend>
      <c:legendPos val="t"/>
      <c:layout>
        <c:manualLayout>
          <c:xMode val="edge"/>
          <c:yMode val="edge"/>
          <c:x val="9.3362546986558714E-2"/>
          <c:y val="8.2115409824857974E-2"/>
          <c:w val="0.2290081661228357"/>
          <c:h val="0.23809107225966869"/>
        </c:manualLayout>
      </c:layout>
      <c:overlay val="0"/>
      <c:spPr>
        <a:noFill/>
        <a:ln w="3175">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Simple</a:t>
            </a:r>
            <a:r>
              <a:rPr lang="en-GB" baseline="0"/>
              <a:t> newtonian constitutive model prediction of core fraction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bg1"/>
              </a:solidFill>
              <a:ln w="25400">
                <a:solidFill>
                  <a:schemeClr val="bg1"/>
                </a:solidFill>
              </a:ln>
              <a:effectLst/>
            </c:spPr>
          </c:marker>
          <c:trendline>
            <c:spPr>
              <a:ln w="12700" cap="rnd">
                <a:solidFill>
                  <a:schemeClr val="tx1"/>
                </a:solidFill>
                <a:prstDash val="solid"/>
              </a:ln>
              <a:effectLst/>
            </c:spPr>
            <c:trendlineType val="linear"/>
            <c:forward val="0.25"/>
            <c:backward val="0.10100000000000001"/>
            <c:intercept val="0"/>
            <c:dispRSqr val="1"/>
            <c:dispEq val="1"/>
            <c:trendlineLbl>
              <c:layout>
                <c:manualLayout>
                  <c:x val="5.8429288027266935E-2"/>
                  <c:y val="0.263690923477244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RATES'!$M$307:$M$342</c:f>
              <c:numCache>
                <c:formatCode>General</c:formatCode>
                <c:ptCount val="36"/>
                <c:pt idx="0">
                  <c:v>0.53218296088635131</c:v>
                </c:pt>
                <c:pt idx="1">
                  <c:v>0.52500893595578502</c:v>
                </c:pt>
                <c:pt idx="2">
                  <c:v>0.52862014170813765</c:v>
                </c:pt>
                <c:pt idx="3">
                  <c:v>0.36122045825242083</c:v>
                </c:pt>
                <c:pt idx="4">
                  <c:v>0.43155950029049023</c:v>
                </c:pt>
                <c:pt idx="5">
                  <c:v>0.43155950029049023</c:v>
                </c:pt>
                <c:pt idx="6">
                  <c:v>0.46889463316264884</c:v>
                </c:pt>
                <c:pt idx="7">
                  <c:v>0.68666794164534195</c:v>
                </c:pt>
                <c:pt idx="8">
                  <c:v>0.68666794164534195</c:v>
                </c:pt>
                <c:pt idx="9">
                  <c:v>0.53218296088635131</c:v>
                </c:pt>
                <c:pt idx="10">
                  <c:v>0.49019236633297397</c:v>
                </c:pt>
                <c:pt idx="11">
                  <c:v>0.71707897002144394</c:v>
                </c:pt>
                <c:pt idx="12">
                  <c:v>0.29121322116769571</c:v>
                </c:pt>
                <c:pt idx="13">
                  <c:v>0.27894769400127845</c:v>
                </c:pt>
                <c:pt idx="14">
                  <c:v>0.29724613578147269</c:v>
                </c:pt>
                <c:pt idx="15">
                  <c:v>0.16797150778820097</c:v>
                </c:pt>
                <c:pt idx="16">
                  <c:v>0.21369212239394686</c:v>
                </c:pt>
                <c:pt idx="17">
                  <c:v>0.21710601492531603</c:v>
                </c:pt>
                <c:pt idx="18">
                  <c:v>0.22725495218423952</c:v>
                </c:pt>
                <c:pt idx="19">
                  <c:v>0.46495025033062626</c:v>
                </c:pt>
                <c:pt idx="20">
                  <c:v>0.46295956743654321</c:v>
                </c:pt>
                <c:pt idx="21">
                  <c:v>0.25684528356801367</c:v>
                </c:pt>
                <c:pt idx="22">
                  <c:v>0.24385480500914677</c:v>
                </c:pt>
                <c:pt idx="23">
                  <c:v>0.45487160351710471</c:v>
                </c:pt>
                <c:pt idx="24">
                  <c:v>0.19439582885491163</c:v>
                </c:pt>
                <c:pt idx="25">
                  <c:v>0.19664580168403911</c:v>
                </c:pt>
                <c:pt idx="26">
                  <c:v>0.19439582885491163</c:v>
                </c:pt>
                <c:pt idx="27">
                  <c:v>0.10245379258131079</c:v>
                </c:pt>
                <c:pt idx="28">
                  <c:v>0.13392467528022728</c:v>
                </c:pt>
                <c:pt idx="29">
                  <c:v>0.13631503905658016</c:v>
                </c:pt>
                <c:pt idx="30">
                  <c:v>0.13631503905658016</c:v>
                </c:pt>
                <c:pt idx="31">
                  <c:v>0.32883631005319658</c:v>
                </c:pt>
                <c:pt idx="32">
                  <c:v>0.33244820375305895</c:v>
                </c:pt>
                <c:pt idx="33">
                  <c:v>0.15526365687219582</c:v>
                </c:pt>
                <c:pt idx="34">
                  <c:v>0.13631503905658016</c:v>
                </c:pt>
                <c:pt idx="35">
                  <c:v>0.33424397961482416</c:v>
                </c:pt>
              </c:numCache>
            </c:numRef>
          </c:xVal>
          <c:yVal>
            <c:numRef>
              <c:f>'NEW MODELLING FOR SHEAR RATES'!$D$307:$D$342</c:f>
              <c:numCache>
                <c:formatCode>General</c:formatCode>
                <c:ptCount val="36"/>
                <c:pt idx="0">
                  <c:v>0.39285714285714285</c:v>
                </c:pt>
                <c:pt idx="1">
                  <c:v>0.59756097560975607</c:v>
                </c:pt>
                <c:pt idx="2">
                  <c:v>0.5662650602409639</c:v>
                </c:pt>
                <c:pt idx="3">
                  <c:v>0.2978723404255319</c:v>
                </c:pt>
                <c:pt idx="4">
                  <c:v>0.36666666666666664</c:v>
                </c:pt>
                <c:pt idx="5">
                  <c:v>0.56666666666666665</c:v>
                </c:pt>
                <c:pt idx="6">
                  <c:v>0.41176470588235292</c:v>
                </c:pt>
                <c:pt idx="7">
                  <c:v>0.74149659863945583</c:v>
                </c:pt>
                <c:pt idx="8">
                  <c:v>0.57823129251700678</c:v>
                </c:pt>
                <c:pt idx="9">
                  <c:v>0</c:v>
                </c:pt>
                <c:pt idx="10">
                  <c:v>0.8</c:v>
                </c:pt>
                <c:pt idx="11">
                  <c:v>0.80838323353293418</c:v>
                </c:pt>
                <c:pt idx="12">
                  <c:v>0.40740740740740738</c:v>
                </c:pt>
                <c:pt idx="13">
                  <c:v>0.44155844155844154</c:v>
                </c:pt>
                <c:pt idx="14">
                  <c:v>0.40963855421686746</c:v>
                </c:pt>
                <c:pt idx="15">
                  <c:v>0.11363636363636363</c:v>
                </c:pt>
                <c:pt idx="16">
                  <c:v>0.31578947368421051</c:v>
                </c:pt>
                <c:pt idx="17">
                  <c:v>0.48275862068965519</c:v>
                </c:pt>
                <c:pt idx="18">
                  <c:v>0.31147540983606559</c:v>
                </c:pt>
                <c:pt idx="19">
                  <c:v>0.58278145695364236</c:v>
                </c:pt>
                <c:pt idx="20">
                  <c:v>0.6333333333333333</c:v>
                </c:pt>
                <c:pt idx="21">
                  <c:v>0.3</c:v>
                </c:pt>
                <c:pt idx="22">
                  <c:v>0.30303030303030304</c:v>
                </c:pt>
                <c:pt idx="23">
                  <c:v>0.90410958904109584</c:v>
                </c:pt>
                <c:pt idx="24">
                  <c:v>0.41249999999999998</c:v>
                </c:pt>
                <c:pt idx="25">
                  <c:v>0.35802469135802467</c:v>
                </c:pt>
                <c:pt idx="26">
                  <c:v>0.3125</c:v>
                </c:pt>
                <c:pt idx="27">
                  <c:v>0</c:v>
                </c:pt>
                <c:pt idx="28">
                  <c:v>5.5555555555555552E-2</c:v>
                </c:pt>
                <c:pt idx="29">
                  <c:v>0.27272727272727271</c:v>
                </c:pt>
                <c:pt idx="30">
                  <c:v>0.29090909090909089</c:v>
                </c:pt>
                <c:pt idx="31">
                  <c:v>0.54794520547945202</c:v>
                </c:pt>
                <c:pt idx="32">
                  <c:v>0.64189189189189189</c:v>
                </c:pt>
                <c:pt idx="33">
                  <c:v>0.31746031746031744</c:v>
                </c:pt>
                <c:pt idx="34">
                  <c:v>0</c:v>
                </c:pt>
                <c:pt idx="35">
                  <c:v>0.91275167785234901</c:v>
                </c:pt>
              </c:numCache>
            </c:numRef>
          </c:yVal>
          <c:smooth val="0"/>
          <c:extLst>
            <c:ext xmlns:c16="http://schemas.microsoft.com/office/drawing/2014/chart" uri="{C3380CC4-5D6E-409C-BE32-E72D297353CC}">
              <c16:uniqueId val="{00000002-F256-4184-A396-8DA39AB85BC3}"/>
            </c:ext>
          </c:extLst>
        </c:ser>
        <c:ser>
          <c:idx val="0"/>
          <c:order val="1"/>
          <c:tx>
            <c:v>0.81 ± 0.02 mm thickness</c:v>
          </c:tx>
          <c:spPr>
            <a:ln w="25400" cap="rnd">
              <a:noFill/>
              <a:round/>
            </a:ln>
            <a:effectLst/>
          </c:spPr>
          <c:marker>
            <c:symbol val="circle"/>
            <c:size val="5"/>
            <c:spPr>
              <a:solidFill>
                <a:srgbClr val="00B050"/>
              </a:solidFill>
              <a:ln w="12700">
                <a:solidFill>
                  <a:srgbClr val="00B050"/>
                </a:solidFill>
              </a:ln>
              <a:effectLst/>
            </c:spPr>
          </c:marker>
          <c:xVal>
            <c:numRef>
              <c:f>'NEW MODELLING FOR SHEAR RATES'!$M$382:$M$391</c:f>
              <c:numCache>
                <c:formatCode>General</c:formatCode>
                <c:ptCount val="10"/>
                <c:pt idx="0">
                  <c:v>0.53218296088635131</c:v>
                </c:pt>
                <c:pt idx="1">
                  <c:v>0.52500893595578502</c:v>
                </c:pt>
                <c:pt idx="2">
                  <c:v>0.52862014170813765</c:v>
                </c:pt>
                <c:pt idx="3">
                  <c:v>0.53218296088635131</c:v>
                </c:pt>
                <c:pt idx="4">
                  <c:v>0.29121322116769571</c:v>
                </c:pt>
                <c:pt idx="5">
                  <c:v>0.27894769400127845</c:v>
                </c:pt>
                <c:pt idx="6">
                  <c:v>0.29724613578147269</c:v>
                </c:pt>
                <c:pt idx="7">
                  <c:v>0.19439582885491163</c:v>
                </c:pt>
                <c:pt idx="8">
                  <c:v>0.19664580168403911</c:v>
                </c:pt>
                <c:pt idx="9">
                  <c:v>0.19439582885491163</c:v>
                </c:pt>
              </c:numCache>
            </c:numRef>
          </c:xVal>
          <c:yVal>
            <c:numRef>
              <c:f>'NEW MODELLING FOR SHEAR RATES'!$L$382:$L$391</c:f>
              <c:numCache>
                <c:formatCode>General</c:formatCode>
                <c:ptCount val="10"/>
                <c:pt idx="0">
                  <c:v>0.39285714285714285</c:v>
                </c:pt>
                <c:pt idx="1">
                  <c:v>0.59756097560975607</c:v>
                </c:pt>
                <c:pt idx="2">
                  <c:v>0.5662650602409639</c:v>
                </c:pt>
                <c:pt idx="3">
                  <c:v>0</c:v>
                </c:pt>
                <c:pt idx="4">
                  <c:v>0.40740740740740738</c:v>
                </c:pt>
                <c:pt idx="5">
                  <c:v>0.44155844155844154</c:v>
                </c:pt>
                <c:pt idx="6">
                  <c:v>0.40963855421686746</c:v>
                </c:pt>
                <c:pt idx="7">
                  <c:v>0.41249999999999998</c:v>
                </c:pt>
                <c:pt idx="8">
                  <c:v>0.35802469135802467</c:v>
                </c:pt>
                <c:pt idx="9">
                  <c:v>0.3125</c:v>
                </c:pt>
              </c:numCache>
            </c:numRef>
          </c:yVal>
          <c:smooth val="0"/>
          <c:extLst>
            <c:ext xmlns:c16="http://schemas.microsoft.com/office/drawing/2014/chart" uri="{C3380CC4-5D6E-409C-BE32-E72D297353CC}">
              <c16:uniqueId val="{00000004-E1FA-4FEF-BA87-4E6E384A0EC7}"/>
            </c:ext>
          </c:extLst>
        </c:ser>
        <c:ser>
          <c:idx val="2"/>
          <c:order val="2"/>
          <c:tx>
            <c:v>0.44 ± 0.03 mm thickness</c:v>
          </c:tx>
          <c:spPr>
            <a:ln w="25400" cap="rnd">
              <a:noFill/>
              <a:round/>
            </a:ln>
            <a:effectLst/>
          </c:spPr>
          <c:marker>
            <c:symbol val="circle"/>
            <c:size val="5"/>
            <c:spPr>
              <a:solidFill>
                <a:schemeClr val="accent1"/>
              </a:solidFill>
              <a:ln w="12700">
                <a:solidFill>
                  <a:schemeClr val="accent1"/>
                </a:solidFill>
              </a:ln>
              <a:effectLst/>
            </c:spPr>
          </c:marker>
          <c:xVal>
            <c:numRef>
              <c:f>'NEW MODELLING FOR SHEAR RATES'!$P$382:$P$384</c:f>
              <c:numCache>
                <c:formatCode>General</c:formatCode>
                <c:ptCount val="3"/>
                <c:pt idx="0">
                  <c:v>0.36122045825242083</c:v>
                </c:pt>
                <c:pt idx="1">
                  <c:v>0.16797150778820097</c:v>
                </c:pt>
                <c:pt idx="2">
                  <c:v>0.10245379258131079</c:v>
                </c:pt>
              </c:numCache>
            </c:numRef>
          </c:xVal>
          <c:yVal>
            <c:numRef>
              <c:f>'NEW MODELLING FOR SHEAR RATES'!$O$382:$O$384</c:f>
              <c:numCache>
                <c:formatCode>General</c:formatCode>
                <c:ptCount val="3"/>
                <c:pt idx="0">
                  <c:v>0.2978723404255319</c:v>
                </c:pt>
                <c:pt idx="1">
                  <c:v>0.11363636363636363</c:v>
                </c:pt>
                <c:pt idx="2">
                  <c:v>0</c:v>
                </c:pt>
              </c:numCache>
            </c:numRef>
          </c:yVal>
          <c:smooth val="0"/>
          <c:extLst>
            <c:ext xmlns:c16="http://schemas.microsoft.com/office/drawing/2014/chart" uri="{C3380CC4-5D6E-409C-BE32-E72D297353CC}">
              <c16:uniqueId val="{00000005-E1FA-4FEF-BA87-4E6E384A0EC7}"/>
            </c:ext>
          </c:extLst>
        </c:ser>
        <c:ser>
          <c:idx val="3"/>
          <c:order val="3"/>
          <c:tx>
            <c:v>0.58 ± 0.06 mm thickness</c:v>
          </c:tx>
          <c:spPr>
            <a:ln w="25400" cap="rnd">
              <a:noFill/>
              <a:round/>
            </a:ln>
            <a:effectLst/>
          </c:spPr>
          <c:marker>
            <c:symbol val="circle"/>
            <c:size val="5"/>
            <c:spPr>
              <a:solidFill>
                <a:srgbClr val="FF0000"/>
              </a:solidFill>
              <a:ln w="9525">
                <a:solidFill>
                  <a:srgbClr val="FF0000"/>
                </a:solidFill>
              </a:ln>
              <a:effectLst/>
            </c:spPr>
          </c:marker>
          <c:xVal>
            <c:numRef>
              <c:f>'NEW MODELLING FOR SHEAR RATES'!$J$382:$J$391</c:f>
              <c:numCache>
                <c:formatCode>General</c:formatCode>
                <c:ptCount val="10"/>
                <c:pt idx="0">
                  <c:v>0.43155950029049023</c:v>
                </c:pt>
                <c:pt idx="1">
                  <c:v>0.43155950029049023</c:v>
                </c:pt>
                <c:pt idx="2">
                  <c:v>0.21369212239394686</c:v>
                </c:pt>
                <c:pt idx="3">
                  <c:v>0.21710601492531603</c:v>
                </c:pt>
                <c:pt idx="4">
                  <c:v>0.22725495218423952</c:v>
                </c:pt>
                <c:pt idx="5">
                  <c:v>0.13392467528022728</c:v>
                </c:pt>
                <c:pt idx="6">
                  <c:v>0.13631503905658016</c:v>
                </c:pt>
                <c:pt idx="7">
                  <c:v>0.13631503905658016</c:v>
                </c:pt>
                <c:pt idx="8">
                  <c:v>0.13631503905658016</c:v>
                </c:pt>
                <c:pt idx="9">
                  <c:v>0.15526365687219582</c:v>
                </c:pt>
              </c:numCache>
            </c:numRef>
          </c:xVal>
          <c:yVal>
            <c:numRef>
              <c:f>'NEW MODELLING FOR SHEAR RATES'!$I$382:$I$391</c:f>
              <c:numCache>
                <c:formatCode>General</c:formatCode>
                <c:ptCount val="10"/>
                <c:pt idx="0">
                  <c:v>0.36666666666666664</c:v>
                </c:pt>
                <c:pt idx="1">
                  <c:v>0.56666666666666665</c:v>
                </c:pt>
                <c:pt idx="2">
                  <c:v>0.31578947368421051</c:v>
                </c:pt>
                <c:pt idx="3">
                  <c:v>0.48275862068965519</c:v>
                </c:pt>
                <c:pt idx="4">
                  <c:v>0.31147540983606559</c:v>
                </c:pt>
                <c:pt idx="5">
                  <c:v>5.5555555555555552E-2</c:v>
                </c:pt>
                <c:pt idx="6">
                  <c:v>0.27272727272727271</c:v>
                </c:pt>
                <c:pt idx="7">
                  <c:v>0.29090909090909089</c:v>
                </c:pt>
                <c:pt idx="8">
                  <c:v>0</c:v>
                </c:pt>
                <c:pt idx="9">
                  <c:v>0.31746031746031744</c:v>
                </c:pt>
              </c:numCache>
            </c:numRef>
          </c:yVal>
          <c:smooth val="0"/>
          <c:extLst>
            <c:ext xmlns:c16="http://schemas.microsoft.com/office/drawing/2014/chart" uri="{C3380CC4-5D6E-409C-BE32-E72D297353CC}">
              <c16:uniqueId val="{00000006-E1FA-4FEF-BA87-4E6E384A0EC7}"/>
            </c:ext>
          </c:extLst>
        </c:ser>
        <c:ser>
          <c:idx val="4"/>
          <c:order val="4"/>
          <c:tx>
            <c:v>0.69 ± 0.03 mm thickness</c:v>
          </c:tx>
          <c:spPr>
            <a:ln w="25400" cap="rnd">
              <a:noFill/>
              <a:round/>
            </a:ln>
            <a:effectLst/>
          </c:spPr>
          <c:marker>
            <c:symbol val="circle"/>
            <c:size val="5"/>
            <c:spPr>
              <a:solidFill>
                <a:schemeClr val="tx1"/>
              </a:solidFill>
              <a:ln w="9525">
                <a:solidFill>
                  <a:schemeClr val="tx1"/>
                </a:solidFill>
              </a:ln>
              <a:effectLst/>
            </c:spPr>
          </c:marker>
          <c:xVal>
            <c:numRef>
              <c:f>'NEW MODELLING FOR SHEAR RATES'!$J$396:$J$399</c:f>
              <c:numCache>
                <c:formatCode>General</c:formatCode>
                <c:ptCount val="4"/>
                <c:pt idx="0">
                  <c:v>0.46889463316264884</c:v>
                </c:pt>
                <c:pt idx="1">
                  <c:v>0.49019236633297397</c:v>
                </c:pt>
                <c:pt idx="2">
                  <c:v>0.25684528356801367</c:v>
                </c:pt>
                <c:pt idx="3">
                  <c:v>0.24385480500914677</c:v>
                </c:pt>
              </c:numCache>
            </c:numRef>
          </c:xVal>
          <c:yVal>
            <c:numRef>
              <c:f>'NEW MODELLING FOR SHEAR RATES'!$I$396:$I$399</c:f>
              <c:numCache>
                <c:formatCode>General</c:formatCode>
                <c:ptCount val="4"/>
                <c:pt idx="0">
                  <c:v>0.41176470588235292</c:v>
                </c:pt>
                <c:pt idx="1">
                  <c:v>0.8</c:v>
                </c:pt>
                <c:pt idx="2">
                  <c:v>0.3</c:v>
                </c:pt>
                <c:pt idx="3">
                  <c:v>0.30303030303030304</c:v>
                </c:pt>
              </c:numCache>
            </c:numRef>
          </c:yVal>
          <c:smooth val="0"/>
          <c:extLst>
            <c:ext xmlns:c16="http://schemas.microsoft.com/office/drawing/2014/chart" uri="{C3380CC4-5D6E-409C-BE32-E72D297353CC}">
              <c16:uniqueId val="{00000007-E1FA-4FEF-BA87-4E6E384A0EC7}"/>
            </c:ext>
          </c:extLst>
        </c:ser>
        <c:ser>
          <c:idx val="5"/>
          <c:order val="5"/>
          <c:tx>
            <c:v>1.50 ± 0.07 mm thickness</c:v>
          </c:tx>
          <c:spPr>
            <a:ln w="25400" cap="rnd">
              <a:noFill/>
              <a:round/>
            </a:ln>
            <a:effectLst/>
          </c:spPr>
          <c:marker>
            <c:symbol val="circle"/>
            <c:size val="5"/>
            <c:spPr>
              <a:solidFill>
                <a:schemeClr val="accent4"/>
              </a:solidFill>
              <a:ln w="9525">
                <a:solidFill>
                  <a:schemeClr val="accent4"/>
                </a:solidFill>
              </a:ln>
              <a:effectLst/>
            </c:spPr>
          </c:marker>
          <c:xVal>
            <c:numRef>
              <c:f>'NEW MODELLING FOR SHEAR RATES'!$M$396:$M$404</c:f>
              <c:numCache>
                <c:formatCode>General</c:formatCode>
                <c:ptCount val="9"/>
                <c:pt idx="0">
                  <c:v>0.68666794164534195</c:v>
                </c:pt>
                <c:pt idx="1">
                  <c:v>0.68666794164534195</c:v>
                </c:pt>
                <c:pt idx="2">
                  <c:v>0.71707897002144394</c:v>
                </c:pt>
                <c:pt idx="3">
                  <c:v>0.46495025033062626</c:v>
                </c:pt>
                <c:pt idx="4">
                  <c:v>0.46295956743654321</c:v>
                </c:pt>
                <c:pt idx="5">
                  <c:v>0.45487160351710471</c:v>
                </c:pt>
                <c:pt idx="6">
                  <c:v>0.32883631005319658</c:v>
                </c:pt>
                <c:pt idx="7">
                  <c:v>0.33244820375305895</c:v>
                </c:pt>
                <c:pt idx="8">
                  <c:v>0.33424397961482416</c:v>
                </c:pt>
              </c:numCache>
            </c:numRef>
          </c:xVal>
          <c:yVal>
            <c:numRef>
              <c:f>'NEW MODELLING FOR SHEAR RATES'!$L$396:$L$404</c:f>
              <c:numCache>
                <c:formatCode>General</c:formatCode>
                <c:ptCount val="9"/>
                <c:pt idx="0">
                  <c:v>0.74149659863945583</c:v>
                </c:pt>
                <c:pt idx="1">
                  <c:v>0.57823129251700678</c:v>
                </c:pt>
                <c:pt idx="2">
                  <c:v>0.80838323353293418</c:v>
                </c:pt>
                <c:pt idx="3">
                  <c:v>0.58278145695364236</c:v>
                </c:pt>
                <c:pt idx="4">
                  <c:v>0.6333333333333333</c:v>
                </c:pt>
                <c:pt idx="5">
                  <c:v>0.90410958904109584</c:v>
                </c:pt>
                <c:pt idx="6">
                  <c:v>0.54794520547945202</c:v>
                </c:pt>
                <c:pt idx="7">
                  <c:v>0.64189189189189189</c:v>
                </c:pt>
                <c:pt idx="8">
                  <c:v>0.91275167785234901</c:v>
                </c:pt>
              </c:numCache>
            </c:numRef>
          </c:yVal>
          <c:smooth val="0"/>
          <c:extLst>
            <c:ext xmlns:c16="http://schemas.microsoft.com/office/drawing/2014/chart" uri="{C3380CC4-5D6E-409C-BE32-E72D297353CC}">
              <c16:uniqueId val="{00000008-E1FA-4FEF-BA87-4E6E384A0EC7}"/>
            </c:ext>
          </c:extLst>
        </c:ser>
        <c:dLbls>
          <c:showLegendKey val="0"/>
          <c:showVal val="0"/>
          <c:showCatName val="0"/>
          <c:showSerName val="0"/>
          <c:showPercent val="0"/>
          <c:showBubbleSize val="0"/>
        </c:dLbls>
        <c:axId val="650972416"/>
        <c:axId val="650974712"/>
      </c:scatterChart>
      <c:valAx>
        <c:axId val="650972416"/>
        <c:scaling>
          <c:orientation val="minMax"/>
          <c:max val="1"/>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a:t>
                </a:r>
                <a:r>
                  <a:rPr lang="el-GR" i="1" baseline="0"/>
                  <a:t>ψ</a:t>
                </a:r>
                <a:r>
                  <a:rPr lang="el-GR" baseline="0"/>
                  <a:t> = 30</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baseline="0"/>
                  <a:t>Experimentally measured core fractions</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legend>
      <c:legendPos val="t"/>
      <c:legendEntry>
        <c:idx val="0"/>
        <c:delete val="1"/>
      </c:legendEntry>
      <c:legendEntry>
        <c:idx val="6"/>
        <c:delete val="1"/>
      </c:legendEntry>
      <c:layout>
        <c:manualLayout>
          <c:xMode val="edge"/>
          <c:yMode val="edge"/>
          <c:x val="0.1047591492548296"/>
          <c:y val="0.11053051644296816"/>
          <c:w val="0.23231836518530272"/>
          <c:h val="0.27168609745872274"/>
        </c:manualLayout>
      </c:layout>
      <c:overlay val="0"/>
      <c:spPr>
        <a:noFill/>
        <a:ln w="6350">
          <a:solidFill>
            <a:schemeClr val="tx1"/>
          </a:solid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(optimised for MSE case)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RATES'!$M$2:$M$37</c:f>
              <c:numCache>
                <c:formatCode>General</c:formatCode>
                <c:ptCount val="36"/>
                <c:pt idx="0">
                  <c:v>0.64089082069841463</c:v>
                </c:pt>
                <c:pt idx="1">
                  <c:v>0.63440858380484011</c:v>
                </c:pt>
                <c:pt idx="2">
                  <c:v>0.63767704093468813</c:v>
                </c:pt>
                <c:pt idx="3">
                  <c:v>0.47261909204832481</c:v>
                </c:pt>
                <c:pt idx="4">
                  <c:v>0.54560740694085552</c:v>
                </c:pt>
                <c:pt idx="5">
                  <c:v>0.54560740694085552</c:v>
                </c:pt>
                <c:pt idx="6">
                  <c:v>0.58211071504305023</c:v>
                </c:pt>
                <c:pt idx="7">
                  <c:v>0.77123271841161134</c:v>
                </c:pt>
                <c:pt idx="8">
                  <c:v>0.77123271841161134</c:v>
                </c:pt>
                <c:pt idx="9">
                  <c:v>0.64089082069841463</c:v>
                </c:pt>
                <c:pt idx="10">
                  <c:v>0.60230518403969224</c:v>
                </c:pt>
                <c:pt idx="11">
                  <c:v>0.79515111079382139</c:v>
                </c:pt>
                <c:pt idx="12">
                  <c:v>0.39382769526119982</c:v>
                </c:pt>
                <c:pt idx="13">
                  <c:v>0.37934211035056631</c:v>
                </c:pt>
                <c:pt idx="14">
                  <c:v>0.40087633598812267</c:v>
                </c:pt>
                <c:pt idx="15">
                  <c:v>0.2387678158999883</c:v>
                </c:pt>
                <c:pt idx="16">
                  <c:v>0.29873932029901551</c:v>
                </c:pt>
                <c:pt idx="17">
                  <c:v>0.30310366958665469</c:v>
                </c:pt>
                <c:pt idx="18">
                  <c:v>0.31598261098125163</c:v>
                </c:pt>
                <c:pt idx="19">
                  <c:v>0.57832189531525147</c:v>
                </c:pt>
                <c:pt idx="20">
                  <c:v>0.57640380503917654</c:v>
                </c:pt>
                <c:pt idx="21">
                  <c:v>0.35270994976326386</c:v>
                </c:pt>
                <c:pt idx="22">
                  <c:v>0.33673755105160408</c:v>
                </c:pt>
                <c:pt idx="23">
                  <c:v>0.56856947491007859</c:v>
                </c:pt>
                <c:pt idx="24">
                  <c:v>0.27376992483975765</c:v>
                </c:pt>
                <c:pt idx="25">
                  <c:v>0.27670749384057791</c:v>
                </c:pt>
                <c:pt idx="26">
                  <c:v>0.27376992483975765</c:v>
                </c:pt>
                <c:pt idx="27">
                  <c:v>0.14833766430775003</c:v>
                </c:pt>
                <c:pt idx="28">
                  <c:v>0.19237428912729543</c:v>
                </c:pt>
                <c:pt idx="29">
                  <c:v>0.19567608190369065</c:v>
                </c:pt>
                <c:pt idx="30">
                  <c:v>0.19567608190369065</c:v>
                </c:pt>
                <c:pt idx="31">
                  <c:v>0.43697751914309979</c:v>
                </c:pt>
                <c:pt idx="32">
                  <c:v>0.44102016248251419</c:v>
                </c:pt>
                <c:pt idx="33">
                  <c:v>0.22161534276832243</c:v>
                </c:pt>
                <c:pt idx="34">
                  <c:v>0.19567608190369065</c:v>
                </c:pt>
                <c:pt idx="35">
                  <c:v>0.44302371186039757</c:v>
                </c:pt>
              </c:numCache>
            </c:numRef>
          </c:xVal>
          <c:yVal>
            <c:numRef>
              <c:f>'NEW MODELLING FOR SHEAR RATES'!$D$307:$D$342</c:f>
              <c:numCache>
                <c:formatCode>General</c:formatCode>
                <c:ptCount val="36"/>
                <c:pt idx="0">
                  <c:v>0.39285714285714285</c:v>
                </c:pt>
                <c:pt idx="1">
                  <c:v>0.59756097560975607</c:v>
                </c:pt>
                <c:pt idx="2">
                  <c:v>0.5662650602409639</c:v>
                </c:pt>
                <c:pt idx="3">
                  <c:v>0.2978723404255319</c:v>
                </c:pt>
                <c:pt idx="4">
                  <c:v>0.36666666666666664</c:v>
                </c:pt>
                <c:pt idx="5">
                  <c:v>0.56666666666666665</c:v>
                </c:pt>
                <c:pt idx="6">
                  <c:v>0.41176470588235292</c:v>
                </c:pt>
                <c:pt idx="7">
                  <c:v>0.74149659863945583</c:v>
                </c:pt>
                <c:pt idx="8">
                  <c:v>0.57823129251700678</c:v>
                </c:pt>
                <c:pt idx="9">
                  <c:v>0</c:v>
                </c:pt>
                <c:pt idx="10">
                  <c:v>0.8</c:v>
                </c:pt>
                <c:pt idx="11">
                  <c:v>0.80838323353293418</c:v>
                </c:pt>
                <c:pt idx="12">
                  <c:v>0.40740740740740738</c:v>
                </c:pt>
                <c:pt idx="13">
                  <c:v>0.44155844155844154</c:v>
                </c:pt>
                <c:pt idx="14">
                  <c:v>0.40963855421686746</c:v>
                </c:pt>
                <c:pt idx="15">
                  <c:v>0.11363636363636363</c:v>
                </c:pt>
                <c:pt idx="16">
                  <c:v>0.31578947368421051</c:v>
                </c:pt>
                <c:pt idx="17">
                  <c:v>0.48275862068965519</c:v>
                </c:pt>
                <c:pt idx="18">
                  <c:v>0.31147540983606559</c:v>
                </c:pt>
                <c:pt idx="19">
                  <c:v>0.58278145695364236</c:v>
                </c:pt>
                <c:pt idx="20">
                  <c:v>0.6333333333333333</c:v>
                </c:pt>
                <c:pt idx="21">
                  <c:v>0.3</c:v>
                </c:pt>
                <c:pt idx="22">
                  <c:v>0.30303030303030304</c:v>
                </c:pt>
                <c:pt idx="23">
                  <c:v>0.90410958904109584</c:v>
                </c:pt>
                <c:pt idx="24">
                  <c:v>0.41249999999999998</c:v>
                </c:pt>
                <c:pt idx="25">
                  <c:v>0.35802469135802467</c:v>
                </c:pt>
                <c:pt idx="26">
                  <c:v>0.3125</c:v>
                </c:pt>
                <c:pt idx="27">
                  <c:v>0</c:v>
                </c:pt>
                <c:pt idx="28">
                  <c:v>5.5555555555555552E-2</c:v>
                </c:pt>
                <c:pt idx="29">
                  <c:v>0.27272727272727271</c:v>
                </c:pt>
                <c:pt idx="30">
                  <c:v>0.29090909090909089</c:v>
                </c:pt>
                <c:pt idx="31">
                  <c:v>0.54794520547945202</c:v>
                </c:pt>
                <c:pt idx="32">
                  <c:v>0.64189189189189189</c:v>
                </c:pt>
                <c:pt idx="33">
                  <c:v>0.31746031746031744</c:v>
                </c:pt>
                <c:pt idx="34">
                  <c:v>0</c:v>
                </c:pt>
                <c:pt idx="35">
                  <c:v>0.91275167785234901</c:v>
                </c:pt>
              </c:numCache>
            </c:numRef>
          </c:yVal>
          <c:smooth val="0"/>
          <c:extLst>
            <c:ext xmlns:c16="http://schemas.microsoft.com/office/drawing/2014/chart" uri="{C3380CC4-5D6E-409C-BE32-E72D297353CC}">
              <c16:uniqueId val="{00000001-89FC-46A3-B0F4-E4869CEDC155}"/>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30 at 12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RATES'!$M$307:$M$319</c:f>
              <c:numCache>
                <c:formatCode>General</c:formatCode>
                <c:ptCount val="13"/>
                <c:pt idx="0">
                  <c:v>0.53218296088635131</c:v>
                </c:pt>
                <c:pt idx="1">
                  <c:v>0.52500893595578502</c:v>
                </c:pt>
                <c:pt idx="2">
                  <c:v>0.52862014170813765</c:v>
                </c:pt>
                <c:pt idx="3">
                  <c:v>0.36122045825242083</c:v>
                </c:pt>
                <c:pt idx="4">
                  <c:v>0.43155950029049023</c:v>
                </c:pt>
                <c:pt idx="5">
                  <c:v>0.43155950029049023</c:v>
                </c:pt>
                <c:pt idx="6">
                  <c:v>0.46889463316264884</c:v>
                </c:pt>
                <c:pt idx="7">
                  <c:v>0.68666794164534195</c:v>
                </c:pt>
                <c:pt idx="8">
                  <c:v>0.68666794164534195</c:v>
                </c:pt>
                <c:pt idx="9">
                  <c:v>0.53218296088635131</c:v>
                </c:pt>
                <c:pt idx="10">
                  <c:v>0.49019236633297397</c:v>
                </c:pt>
                <c:pt idx="11">
                  <c:v>0.71707897002144394</c:v>
                </c:pt>
                <c:pt idx="12">
                  <c:v>0.29121322116769571</c:v>
                </c:pt>
              </c:numCache>
            </c:numRef>
          </c:xVal>
          <c:yVal>
            <c:numRef>
              <c:f>'NEW MODELLING FOR SHEAR RATES'!$D$307:$D$318</c:f>
              <c:numCache>
                <c:formatCode>General</c:formatCode>
                <c:ptCount val="12"/>
                <c:pt idx="0">
                  <c:v>0.39285714285714285</c:v>
                </c:pt>
                <c:pt idx="1">
                  <c:v>0.59756097560975607</c:v>
                </c:pt>
                <c:pt idx="2">
                  <c:v>0.5662650602409639</c:v>
                </c:pt>
                <c:pt idx="3">
                  <c:v>0.2978723404255319</c:v>
                </c:pt>
                <c:pt idx="4">
                  <c:v>0.36666666666666664</c:v>
                </c:pt>
                <c:pt idx="5">
                  <c:v>0.56666666666666665</c:v>
                </c:pt>
                <c:pt idx="6">
                  <c:v>0.41176470588235292</c:v>
                </c:pt>
                <c:pt idx="7">
                  <c:v>0.74149659863945583</c:v>
                </c:pt>
                <c:pt idx="8">
                  <c:v>0.57823129251700678</c:v>
                </c:pt>
                <c:pt idx="9">
                  <c:v>0</c:v>
                </c:pt>
                <c:pt idx="10">
                  <c:v>0.8</c:v>
                </c:pt>
                <c:pt idx="11">
                  <c:v>0.80838323353293418</c:v>
                </c:pt>
              </c:numCache>
            </c:numRef>
          </c:yVal>
          <c:smooth val="0"/>
          <c:extLst>
            <c:ext xmlns:c16="http://schemas.microsoft.com/office/drawing/2014/chart" uri="{C3380CC4-5D6E-409C-BE32-E72D297353CC}">
              <c16:uniqueId val="{00000001-8BD0-4C5C-8F6C-0C911C1F7FE5}"/>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30</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30 at 27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RATES'!$M$319:$M$330</c:f>
              <c:numCache>
                <c:formatCode>General</c:formatCode>
                <c:ptCount val="12"/>
                <c:pt idx="0">
                  <c:v>0.29121322116769571</c:v>
                </c:pt>
                <c:pt idx="1">
                  <c:v>0.27894769400127845</c:v>
                </c:pt>
                <c:pt idx="2">
                  <c:v>0.29724613578147269</c:v>
                </c:pt>
                <c:pt idx="3">
                  <c:v>0.16797150778820097</c:v>
                </c:pt>
                <c:pt idx="4">
                  <c:v>0.21369212239394686</c:v>
                </c:pt>
                <c:pt idx="5">
                  <c:v>0.21710601492531603</c:v>
                </c:pt>
                <c:pt idx="6">
                  <c:v>0.22725495218423952</c:v>
                </c:pt>
                <c:pt idx="7">
                  <c:v>0.46495025033062626</c:v>
                </c:pt>
                <c:pt idx="8">
                  <c:v>0.46295956743654321</c:v>
                </c:pt>
                <c:pt idx="9">
                  <c:v>0.25684528356801367</c:v>
                </c:pt>
                <c:pt idx="10">
                  <c:v>0.24385480500914677</c:v>
                </c:pt>
                <c:pt idx="11">
                  <c:v>0.45487160351710471</c:v>
                </c:pt>
              </c:numCache>
            </c:numRef>
          </c:xVal>
          <c:yVal>
            <c:numRef>
              <c:f>'NEW MODELLING FOR SHEAR RATES'!$D$319:$D$330</c:f>
              <c:numCache>
                <c:formatCode>General</c:formatCode>
                <c:ptCount val="12"/>
                <c:pt idx="0">
                  <c:v>0.40740740740740738</c:v>
                </c:pt>
                <c:pt idx="1">
                  <c:v>0.44155844155844154</c:v>
                </c:pt>
                <c:pt idx="2">
                  <c:v>0.40963855421686746</c:v>
                </c:pt>
                <c:pt idx="3">
                  <c:v>0.11363636363636363</c:v>
                </c:pt>
                <c:pt idx="4">
                  <c:v>0.31578947368421051</c:v>
                </c:pt>
                <c:pt idx="5">
                  <c:v>0.48275862068965519</c:v>
                </c:pt>
                <c:pt idx="6">
                  <c:v>0.31147540983606559</c:v>
                </c:pt>
                <c:pt idx="7">
                  <c:v>0.58278145695364236</c:v>
                </c:pt>
                <c:pt idx="8">
                  <c:v>0.6333333333333333</c:v>
                </c:pt>
                <c:pt idx="9">
                  <c:v>0.3</c:v>
                </c:pt>
                <c:pt idx="10">
                  <c:v>0.30303030303030304</c:v>
                </c:pt>
                <c:pt idx="11">
                  <c:v>0.90410958904109584</c:v>
                </c:pt>
              </c:numCache>
            </c:numRef>
          </c:yVal>
          <c:smooth val="0"/>
          <c:extLst>
            <c:ext xmlns:c16="http://schemas.microsoft.com/office/drawing/2014/chart" uri="{C3380CC4-5D6E-409C-BE32-E72D297353CC}">
              <c16:uniqueId val="{00000001-C05F-410A-B53F-4BC484580DB3}"/>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30</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30 at 42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RATES'!$M$331:$M$342</c:f>
              <c:numCache>
                <c:formatCode>General</c:formatCode>
                <c:ptCount val="12"/>
                <c:pt idx="0">
                  <c:v>0.19439582885491163</c:v>
                </c:pt>
                <c:pt idx="1">
                  <c:v>0.19664580168403911</c:v>
                </c:pt>
                <c:pt idx="2">
                  <c:v>0.19439582885491163</c:v>
                </c:pt>
                <c:pt idx="3">
                  <c:v>0.10245379258131079</c:v>
                </c:pt>
                <c:pt idx="4">
                  <c:v>0.13392467528022728</c:v>
                </c:pt>
                <c:pt idx="5">
                  <c:v>0.13631503905658016</c:v>
                </c:pt>
                <c:pt idx="6">
                  <c:v>0.13631503905658016</c:v>
                </c:pt>
                <c:pt idx="7">
                  <c:v>0.32883631005319658</c:v>
                </c:pt>
                <c:pt idx="8">
                  <c:v>0.33244820375305895</c:v>
                </c:pt>
                <c:pt idx="9">
                  <c:v>0.15526365687219582</c:v>
                </c:pt>
                <c:pt idx="10">
                  <c:v>0.13631503905658016</c:v>
                </c:pt>
                <c:pt idx="11">
                  <c:v>0.33424397961482416</c:v>
                </c:pt>
              </c:numCache>
            </c:numRef>
          </c:xVal>
          <c:yVal>
            <c:numRef>
              <c:f>'NEW MODELLING FOR SHEAR RATES'!$D$331:$D$342</c:f>
              <c:numCache>
                <c:formatCode>General</c:formatCode>
                <c:ptCount val="12"/>
                <c:pt idx="0">
                  <c:v>0.41249999999999998</c:v>
                </c:pt>
                <c:pt idx="1">
                  <c:v>0.35802469135802467</c:v>
                </c:pt>
                <c:pt idx="2">
                  <c:v>0.3125</c:v>
                </c:pt>
                <c:pt idx="3">
                  <c:v>0</c:v>
                </c:pt>
                <c:pt idx="4">
                  <c:v>5.5555555555555552E-2</c:v>
                </c:pt>
                <c:pt idx="5">
                  <c:v>0.27272727272727271</c:v>
                </c:pt>
                <c:pt idx="6">
                  <c:v>0.29090909090909089</c:v>
                </c:pt>
                <c:pt idx="7">
                  <c:v>0.54794520547945202</c:v>
                </c:pt>
                <c:pt idx="8">
                  <c:v>0.64189189189189189</c:v>
                </c:pt>
                <c:pt idx="9">
                  <c:v>0.31746031746031744</c:v>
                </c:pt>
                <c:pt idx="10">
                  <c:v>0</c:v>
                </c:pt>
                <c:pt idx="11">
                  <c:v>0.91275167785234901</c:v>
                </c:pt>
              </c:numCache>
            </c:numRef>
          </c:yVal>
          <c:smooth val="0"/>
          <c:extLst>
            <c:ext xmlns:c16="http://schemas.microsoft.com/office/drawing/2014/chart" uri="{C3380CC4-5D6E-409C-BE32-E72D297353CC}">
              <c16:uniqueId val="{00000001-939F-4EAD-B26E-75FD15E2280B}"/>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200"/>
                  <a:t>predicted</a:t>
                </a:r>
                <a:r>
                  <a:rPr lang="en-GB" sz="1200" baseline="0"/>
                  <a:t> core fraction for psi = 30</a:t>
                </a:r>
                <a:endParaRPr lang="en-GB" sz="1200"/>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200"/>
                  <a:t>experimental</a:t>
                </a:r>
                <a:r>
                  <a:rPr lang="en-GB" sz="1200" baseline="0"/>
                  <a:t> core fraction</a:t>
                </a:r>
                <a:endParaRPr lang="en-GB" sz="1200"/>
              </a:p>
            </c:rich>
          </c:tx>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at 12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RATES'!$M$2:$M$13</c:f>
              <c:numCache>
                <c:formatCode>General</c:formatCode>
                <c:ptCount val="12"/>
                <c:pt idx="0">
                  <c:v>0.64089082069841463</c:v>
                </c:pt>
                <c:pt idx="1">
                  <c:v>0.63440858380484011</c:v>
                </c:pt>
                <c:pt idx="2">
                  <c:v>0.63767704093468813</c:v>
                </c:pt>
                <c:pt idx="3">
                  <c:v>0.47261909204832481</c:v>
                </c:pt>
                <c:pt idx="4">
                  <c:v>0.54560740694085552</c:v>
                </c:pt>
                <c:pt idx="5">
                  <c:v>0.54560740694085552</c:v>
                </c:pt>
                <c:pt idx="6">
                  <c:v>0.58211071504305023</c:v>
                </c:pt>
                <c:pt idx="7">
                  <c:v>0.77123271841161134</c:v>
                </c:pt>
                <c:pt idx="8">
                  <c:v>0.77123271841161134</c:v>
                </c:pt>
                <c:pt idx="9">
                  <c:v>0.64089082069841463</c:v>
                </c:pt>
                <c:pt idx="10">
                  <c:v>0.60230518403969224</c:v>
                </c:pt>
                <c:pt idx="11">
                  <c:v>0.79515111079382139</c:v>
                </c:pt>
              </c:numCache>
            </c:numRef>
          </c:xVal>
          <c:yVal>
            <c:numRef>
              <c:f>'NEW MODELLING FOR SHEAR RATES'!$D$307:$D$318</c:f>
              <c:numCache>
                <c:formatCode>General</c:formatCode>
                <c:ptCount val="12"/>
                <c:pt idx="0">
                  <c:v>0.39285714285714285</c:v>
                </c:pt>
                <c:pt idx="1">
                  <c:v>0.59756097560975607</c:v>
                </c:pt>
                <c:pt idx="2">
                  <c:v>0.5662650602409639</c:v>
                </c:pt>
                <c:pt idx="3">
                  <c:v>0.2978723404255319</c:v>
                </c:pt>
                <c:pt idx="4">
                  <c:v>0.36666666666666664</c:v>
                </c:pt>
                <c:pt idx="5">
                  <c:v>0.56666666666666665</c:v>
                </c:pt>
                <c:pt idx="6">
                  <c:v>0.41176470588235292</c:v>
                </c:pt>
                <c:pt idx="7">
                  <c:v>0.74149659863945583</c:v>
                </c:pt>
                <c:pt idx="8">
                  <c:v>0.57823129251700678</c:v>
                </c:pt>
                <c:pt idx="9">
                  <c:v>0</c:v>
                </c:pt>
                <c:pt idx="10">
                  <c:v>0.8</c:v>
                </c:pt>
                <c:pt idx="11">
                  <c:v>0.80838323353293418</c:v>
                </c:pt>
              </c:numCache>
            </c:numRef>
          </c:yVal>
          <c:smooth val="0"/>
          <c:extLst>
            <c:ext xmlns:c16="http://schemas.microsoft.com/office/drawing/2014/chart" uri="{C3380CC4-5D6E-409C-BE32-E72D297353CC}">
              <c16:uniqueId val="{00000001-3372-43E1-8919-F1D2EFA2EFF6}"/>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at 27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RATES'!$M$14:$M$25</c:f>
              <c:numCache>
                <c:formatCode>General</c:formatCode>
                <c:ptCount val="12"/>
                <c:pt idx="0">
                  <c:v>0.39382769526119982</c:v>
                </c:pt>
                <c:pt idx="1">
                  <c:v>0.37934211035056631</c:v>
                </c:pt>
                <c:pt idx="2">
                  <c:v>0.40087633598812267</c:v>
                </c:pt>
                <c:pt idx="3">
                  <c:v>0.2387678158999883</c:v>
                </c:pt>
                <c:pt idx="4">
                  <c:v>0.29873932029901551</c:v>
                </c:pt>
                <c:pt idx="5">
                  <c:v>0.30310366958665469</c:v>
                </c:pt>
                <c:pt idx="6">
                  <c:v>0.31598261098125163</c:v>
                </c:pt>
                <c:pt idx="7">
                  <c:v>0.57832189531525147</c:v>
                </c:pt>
                <c:pt idx="8">
                  <c:v>0.57640380503917654</c:v>
                </c:pt>
                <c:pt idx="9">
                  <c:v>0.35270994976326386</c:v>
                </c:pt>
                <c:pt idx="10">
                  <c:v>0.33673755105160408</c:v>
                </c:pt>
                <c:pt idx="11">
                  <c:v>0.56856947491007859</c:v>
                </c:pt>
              </c:numCache>
            </c:numRef>
          </c:xVal>
          <c:yVal>
            <c:numRef>
              <c:f>'NEW MODELLING FOR SHEAR RATES'!$D$319:$D$330</c:f>
              <c:numCache>
                <c:formatCode>General</c:formatCode>
                <c:ptCount val="12"/>
                <c:pt idx="0">
                  <c:v>0.40740740740740738</c:v>
                </c:pt>
                <c:pt idx="1">
                  <c:v>0.44155844155844154</c:v>
                </c:pt>
                <c:pt idx="2">
                  <c:v>0.40963855421686746</c:v>
                </c:pt>
                <c:pt idx="3">
                  <c:v>0.11363636363636363</c:v>
                </c:pt>
                <c:pt idx="4">
                  <c:v>0.31578947368421051</c:v>
                </c:pt>
                <c:pt idx="5">
                  <c:v>0.48275862068965519</c:v>
                </c:pt>
                <c:pt idx="6">
                  <c:v>0.31147540983606559</c:v>
                </c:pt>
                <c:pt idx="7">
                  <c:v>0.58278145695364236</c:v>
                </c:pt>
                <c:pt idx="8">
                  <c:v>0.6333333333333333</c:v>
                </c:pt>
                <c:pt idx="9">
                  <c:v>0.3</c:v>
                </c:pt>
                <c:pt idx="10">
                  <c:v>0.30303030303030304</c:v>
                </c:pt>
                <c:pt idx="11">
                  <c:v>0.90410958904109584</c:v>
                </c:pt>
              </c:numCache>
            </c:numRef>
          </c:yVal>
          <c:smooth val="0"/>
          <c:extLst>
            <c:ext xmlns:c16="http://schemas.microsoft.com/office/drawing/2014/chart" uri="{C3380CC4-5D6E-409C-BE32-E72D297353CC}">
              <c16:uniqueId val="{00000001-5437-4CA6-B75C-EA06E1D51C76}"/>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at 42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RATES'!$M$26:$M$37</c:f>
              <c:numCache>
                <c:formatCode>General</c:formatCode>
                <c:ptCount val="12"/>
                <c:pt idx="0">
                  <c:v>0.27376992483975765</c:v>
                </c:pt>
                <c:pt idx="1">
                  <c:v>0.27670749384057791</c:v>
                </c:pt>
                <c:pt idx="2">
                  <c:v>0.27376992483975765</c:v>
                </c:pt>
                <c:pt idx="3">
                  <c:v>0.14833766430775003</c:v>
                </c:pt>
                <c:pt idx="4">
                  <c:v>0.19237428912729543</c:v>
                </c:pt>
                <c:pt idx="5">
                  <c:v>0.19567608190369065</c:v>
                </c:pt>
                <c:pt idx="6">
                  <c:v>0.19567608190369065</c:v>
                </c:pt>
                <c:pt idx="7">
                  <c:v>0.43697751914309979</c:v>
                </c:pt>
                <c:pt idx="8">
                  <c:v>0.44102016248251419</c:v>
                </c:pt>
                <c:pt idx="9">
                  <c:v>0.22161534276832243</c:v>
                </c:pt>
                <c:pt idx="10">
                  <c:v>0.19567608190369065</c:v>
                </c:pt>
                <c:pt idx="11">
                  <c:v>0.44302371186039757</c:v>
                </c:pt>
              </c:numCache>
            </c:numRef>
          </c:xVal>
          <c:yVal>
            <c:numRef>
              <c:f>'NEW MODELLING FOR SHEAR RATES'!$D$331:$D$342</c:f>
              <c:numCache>
                <c:formatCode>General</c:formatCode>
                <c:ptCount val="12"/>
                <c:pt idx="0">
                  <c:v>0.41249999999999998</c:v>
                </c:pt>
                <c:pt idx="1">
                  <c:v>0.35802469135802467</c:v>
                </c:pt>
                <c:pt idx="2">
                  <c:v>0.3125</c:v>
                </c:pt>
                <c:pt idx="3">
                  <c:v>0</c:v>
                </c:pt>
                <c:pt idx="4">
                  <c:v>5.5555555555555552E-2</c:v>
                </c:pt>
                <c:pt idx="5">
                  <c:v>0.27272727272727271</c:v>
                </c:pt>
                <c:pt idx="6">
                  <c:v>0.29090909090909089</c:v>
                </c:pt>
                <c:pt idx="7">
                  <c:v>0.54794520547945202</c:v>
                </c:pt>
                <c:pt idx="8">
                  <c:v>0.64189189189189189</c:v>
                </c:pt>
                <c:pt idx="9">
                  <c:v>0.31746031746031744</c:v>
                </c:pt>
                <c:pt idx="10">
                  <c:v>0</c:v>
                </c:pt>
                <c:pt idx="11">
                  <c:v>0.91275167785234901</c:v>
                </c:pt>
              </c:numCache>
            </c:numRef>
          </c:yVal>
          <c:smooth val="0"/>
          <c:extLst>
            <c:ext xmlns:c16="http://schemas.microsoft.com/office/drawing/2014/chart" uri="{C3380CC4-5D6E-409C-BE32-E72D297353CC}">
              <c16:uniqueId val="{00000001-9CAB-4D5D-B45B-BD75D3D1DEE0}"/>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30 for 0.82 +/- 0.02 mm sample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RATES'!$BH$360:$BH$369</c:f>
              <c:numCache>
                <c:formatCode>General</c:formatCode>
                <c:ptCount val="10"/>
                <c:pt idx="0">
                  <c:v>0.53218296088635131</c:v>
                </c:pt>
                <c:pt idx="1">
                  <c:v>0.52500893595578502</c:v>
                </c:pt>
                <c:pt idx="2">
                  <c:v>0.52862014170813765</c:v>
                </c:pt>
                <c:pt idx="3">
                  <c:v>0.53218296088635131</c:v>
                </c:pt>
                <c:pt idx="4">
                  <c:v>0.29121322116769571</c:v>
                </c:pt>
                <c:pt idx="5">
                  <c:v>0.27894769400127845</c:v>
                </c:pt>
                <c:pt idx="6">
                  <c:v>0.29724613578147269</c:v>
                </c:pt>
                <c:pt idx="7">
                  <c:v>0.19439582885491163</c:v>
                </c:pt>
                <c:pt idx="8">
                  <c:v>0.19664580168403911</c:v>
                </c:pt>
                <c:pt idx="9">
                  <c:v>0.19439582885491163</c:v>
                </c:pt>
              </c:numCache>
            </c:numRef>
          </c:xVal>
          <c:yVal>
            <c:numRef>
              <c:f>'NEW MODELLING FOR SHEAR RATES'!$BG$360:$BG$369</c:f>
              <c:numCache>
                <c:formatCode>General</c:formatCode>
                <c:ptCount val="10"/>
                <c:pt idx="0">
                  <c:v>0.39285714285714285</c:v>
                </c:pt>
                <c:pt idx="1">
                  <c:v>0.59756097560975607</c:v>
                </c:pt>
                <c:pt idx="2">
                  <c:v>0.5662650602409639</c:v>
                </c:pt>
                <c:pt idx="3">
                  <c:v>0</c:v>
                </c:pt>
                <c:pt idx="4">
                  <c:v>0.40740740740740738</c:v>
                </c:pt>
                <c:pt idx="5">
                  <c:v>0.44155844155844154</c:v>
                </c:pt>
                <c:pt idx="6">
                  <c:v>0.40963855421686746</c:v>
                </c:pt>
                <c:pt idx="7">
                  <c:v>0.41249999999999998</c:v>
                </c:pt>
                <c:pt idx="8">
                  <c:v>0.35802469135802467</c:v>
                </c:pt>
                <c:pt idx="9">
                  <c:v>0.3125</c:v>
                </c:pt>
              </c:numCache>
            </c:numRef>
          </c:yVal>
          <c:smooth val="0"/>
          <c:extLst>
            <c:ext xmlns:c16="http://schemas.microsoft.com/office/drawing/2014/chart" uri="{C3380CC4-5D6E-409C-BE32-E72D297353CC}">
              <c16:uniqueId val="{00000001-B44C-4833-95AC-943315427362}"/>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30</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30 for 0.52 +/- 0.06 mm sample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RATES'!$BH$371:$BH$379</c:f>
              <c:numCache>
                <c:formatCode>General</c:formatCode>
                <c:ptCount val="9"/>
                <c:pt idx="0">
                  <c:v>0.36122045825242083</c:v>
                </c:pt>
                <c:pt idx="1">
                  <c:v>0.16797150778820097</c:v>
                </c:pt>
                <c:pt idx="2">
                  <c:v>0.21369212239394686</c:v>
                </c:pt>
                <c:pt idx="3">
                  <c:v>0.21710601492531603</c:v>
                </c:pt>
                <c:pt idx="4">
                  <c:v>0.10245379258131079</c:v>
                </c:pt>
                <c:pt idx="5">
                  <c:v>0.13392467528022728</c:v>
                </c:pt>
                <c:pt idx="6">
                  <c:v>0.13631503905658016</c:v>
                </c:pt>
                <c:pt idx="7">
                  <c:v>0.13631503905658016</c:v>
                </c:pt>
                <c:pt idx="8">
                  <c:v>0.13631503905658016</c:v>
                </c:pt>
              </c:numCache>
            </c:numRef>
          </c:xVal>
          <c:yVal>
            <c:numRef>
              <c:f>'NEW MODELLING FOR SHEAR RATES'!$BG$371:$BG$379</c:f>
              <c:numCache>
                <c:formatCode>General</c:formatCode>
                <c:ptCount val="9"/>
                <c:pt idx="0">
                  <c:v>0.2978723404255319</c:v>
                </c:pt>
                <c:pt idx="1">
                  <c:v>0.11363636363636363</c:v>
                </c:pt>
                <c:pt idx="2">
                  <c:v>0.31578947368421051</c:v>
                </c:pt>
                <c:pt idx="3">
                  <c:v>0.48275862068965519</c:v>
                </c:pt>
                <c:pt idx="4">
                  <c:v>0</c:v>
                </c:pt>
                <c:pt idx="5">
                  <c:v>5.5555555555555552E-2</c:v>
                </c:pt>
                <c:pt idx="6">
                  <c:v>0.27272727272727271</c:v>
                </c:pt>
                <c:pt idx="7">
                  <c:v>0.29090909090909089</c:v>
                </c:pt>
                <c:pt idx="8">
                  <c:v>0</c:v>
                </c:pt>
              </c:numCache>
            </c:numRef>
          </c:yVal>
          <c:smooth val="0"/>
          <c:extLst>
            <c:ext xmlns:c16="http://schemas.microsoft.com/office/drawing/2014/chart" uri="{C3380CC4-5D6E-409C-BE32-E72D297353CC}">
              <c16:uniqueId val="{00000001-1F7F-4EB5-B57F-7E81B420FCA3}"/>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30</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30 for 0.65 +/- 0.05 mm sample thickness</a:t>
            </a:r>
            <a:endParaRPr lang="en-GB"/>
          </a:p>
        </c:rich>
      </c:tx>
      <c:layout>
        <c:manualLayout>
          <c:xMode val="edge"/>
          <c:yMode val="edge"/>
          <c:x val="0.10683989184616749"/>
          <c:y val="2.78666897060557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RATES'!$BH$381:$BH$388</c:f>
              <c:numCache>
                <c:formatCode>General</c:formatCode>
                <c:ptCount val="8"/>
                <c:pt idx="0">
                  <c:v>0.43155950029049023</c:v>
                </c:pt>
                <c:pt idx="1">
                  <c:v>0.43155950029049023</c:v>
                </c:pt>
                <c:pt idx="2">
                  <c:v>0.46889463316264884</c:v>
                </c:pt>
                <c:pt idx="3">
                  <c:v>0.49019236633297397</c:v>
                </c:pt>
                <c:pt idx="4">
                  <c:v>0.22725495218423952</c:v>
                </c:pt>
                <c:pt idx="5">
                  <c:v>0.25684528356801367</c:v>
                </c:pt>
                <c:pt idx="6">
                  <c:v>0.24385480500914677</c:v>
                </c:pt>
                <c:pt idx="7">
                  <c:v>0.15526365687219582</c:v>
                </c:pt>
              </c:numCache>
            </c:numRef>
          </c:xVal>
          <c:yVal>
            <c:numRef>
              <c:f>'NEW MODELLING FOR SHEAR RATES'!$BG$381:$BG$388</c:f>
              <c:numCache>
                <c:formatCode>General</c:formatCode>
                <c:ptCount val="8"/>
                <c:pt idx="0">
                  <c:v>0.36666666666666664</c:v>
                </c:pt>
                <c:pt idx="1">
                  <c:v>0.56666666666666665</c:v>
                </c:pt>
                <c:pt idx="2">
                  <c:v>0.41176470588235292</c:v>
                </c:pt>
                <c:pt idx="3">
                  <c:v>0.8</c:v>
                </c:pt>
                <c:pt idx="4">
                  <c:v>0.31147540983606559</c:v>
                </c:pt>
                <c:pt idx="5">
                  <c:v>0.3</c:v>
                </c:pt>
                <c:pt idx="6">
                  <c:v>0.30303030303030304</c:v>
                </c:pt>
                <c:pt idx="7">
                  <c:v>0.31746031746031744</c:v>
                </c:pt>
              </c:numCache>
            </c:numRef>
          </c:yVal>
          <c:smooth val="0"/>
          <c:extLst>
            <c:ext xmlns:c16="http://schemas.microsoft.com/office/drawing/2014/chart" uri="{C3380CC4-5D6E-409C-BE32-E72D297353CC}">
              <c16:uniqueId val="{00000001-466D-4CFB-AADC-254692703B4C}"/>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30</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30 for 1.5 +/- 0.07 mm sample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RATES'!$BH$390:$BH$398</c:f>
              <c:numCache>
                <c:formatCode>General</c:formatCode>
                <c:ptCount val="9"/>
                <c:pt idx="0">
                  <c:v>0.68666794164534195</c:v>
                </c:pt>
                <c:pt idx="1">
                  <c:v>0.68666794164534195</c:v>
                </c:pt>
                <c:pt idx="2">
                  <c:v>0.71707897002144394</c:v>
                </c:pt>
                <c:pt idx="3">
                  <c:v>0.46495025033062626</c:v>
                </c:pt>
                <c:pt idx="4">
                  <c:v>0.46295956743654321</c:v>
                </c:pt>
                <c:pt idx="5">
                  <c:v>0.45487160351710471</c:v>
                </c:pt>
                <c:pt idx="6">
                  <c:v>0.32883631005319658</c:v>
                </c:pt>
                <c:pt idx="7">
                  <c:v>0.33244820375305895</c:v>
                </c:pt>
                <c:pt idx="8">
                  <c:v>0.33424397961482416</c:v>
                </c:pt>
              </c:numCache>
            </c:numRef>
          </c:xVal>
          <c:yVal>
            <c:numRef>
              <c:f>'NEW MODELLING FOR SHEAR RATES'!$BG$390:$BG$398</c:f>
              <c:numCache>
                <c:formatCode>General</c:formatCode>
                <c:ptCount val="9"/>
                <c:pt idx="0">
                  <c:v>0.74149659863945583</c:v>
                </c:pt>
                <c:pt idx="1">
                  <c:v>0.57823129251700678</c:v>
                </c:pt>
                <c:pt idx="2">
                  <c:v>0.80838323353293418</c:v>
                </c:pt>
                <c:pt idx="3">
                  <c:v>0.58278145695364236</c:v>
                </c:pt>
                <c:pt idx="4">
                  <c:v>0.6333333333333333</c:v>
                </c:pt>
                <c:pt idx="5">
                  <c:v>0.90410958904109584</c:v>
                </c:pt>
                <c:pt idx="6">
                  <c:v>0.54794520547945202</c:v>
                </c:pt>
                <c:pt idx="7">
                  <c:v>0.64189189189189189</c:v>
                </c:pt>
                <c:pt idx="8">
                  <c:v>0.91275167785234901</c:v>
                </c:pt>
              </c:numCache>
            </c:numRef>
          </c:yVal>
          <c:smooth val="0"/>
          <c:extLst>
            <c:ext xmlns:c16="http://schemas.microsoft.com/office/drawing/2014/chart" uri="{C3380CC4-5D6E-409C-BE32-E72D297353CC}">
              <c16:uniqueId val="{00000001-E652-48F2-930D-EA3FC473A5C1}"/>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30</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for 0.82 +/- 0.02 mm sample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RATES'!$BI$360:$BI$369</c:f>
              <c:numCache>
                <c:formatCode>General</c:formatCode>
                <c:ptCount val="10"/>
                <c:pt idx="0">
                  <c:v>0.64089082069841463</c:v>
                </c:pt>
                <c:pt idx="1">
                  <c:v>0.63440858380484011</c:v>
                </c:pt>
                <c:pt idx="2">
                  <c:v>0.63767704093468813</c:v>
                </c:pt>
                <c:pt idx="3">
                  <c:v>0.64089082069841463</c:v>
                </c:pt>
                <c:pt idx="4">
                  <c:v>0.39382769526119982</c:v>
                </c:pt>
                <c:pt idx="5">
                  <c:v>0.37934211035056631</c:v>
                </c:pt>
                <c:pt idx="6">
                  <c:v>0.40087633598812267</c:v>
                </c:pt>
                <c:pt idx="7">
                  <c:v>0.27376992483975765</c:v>
                </c:pt>
                <c:pt idx="8">
                  <c:v>0.27670749384057791</c:v>
                </c:pt>
                <c:pt idx="9">
                  <c:v>0.27376992483975765</c:v>
                </c:pt>
              </c:numCache>
            </c:numRef>
          </c:xVal>
          <c:yVal>
            <c:numRef>
              <c:f>'NEW MODELLING FOR SHEAR RATES'!$BG$360:$BG$369</c:f>
              <c:numCache>
                <c:formatCode>General</c:formatCode>
                <c:ptCount val="10"/>
                <c:pt idx="0">
                  <c:v>0.39285714285714285</c:v>
                </c:pt>
                <c:pt idx="1">
                  <c:v>0.59756097560975607</c:v>
                </c:pt>
                <c:pt idx="2">
                  <c:v>0.5662650602409639</c:v>
                </c:pt>
                <c:pt idx="3">
                  <c:v>0</c:v>
                </c:pt>
                <c:pt idx="4">
                  <c:v>0.40740740740740738</c:v>
                </c:pt>
                <c:pt idx="5">
                  <c:v>0.44155844155844154</c:v>
                </c:pt>
                <c:pt idx="6">
                  <c:v>0.40963855421686746</c:v>
                </c:pt>
                <c:pt idx="7">
                  <c:v>0.41249999999999998</c:v>
                </c:pt>
                <c:pt idx="8">
                  <c:v>0.35802469135802467</c:v>
                </c:pt>
                <c:pt idx="9">
                  <c:v>0.3125</c:v>
                </c:pt>
              </c:numCache>
            </c:numRef>
          </c:yVal>
          <c:smooth val="0"/>
          <c:extLst>
            <c:ext xmlns:c16="http://schemas.microsoft.com/office/drawing/2014/chart" uri="{C3380CC4-5D6E-409C-BE32-E72D297353CC}">
              <c16:uniqueId val="{00000001-85C0-4450-81CD-4EEB244554EB}"/>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for 0.52 +/- 0.06 mm sample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RATES'!$BI$371:$BI$379</c:f>
              <c:numCache>
                <c:formatCode>General</c:formatCode>
                <c:ptCount val="9"/>
                <c:pt idx="0">
                  <c:v>0.47261909204832481</c:v>
                </c:pt>
                <c:pt idx="1">
                  <c:v>0.2387678158999883</c:v>
                </c:pt>
                <c:pt idx="2">
                  <c:v>0.29873932029901551</c:v>
                </c:pt>
                <c:pt idx="3">
                  <c:v>0.30310366958665469</c:v>
                </c:pt>
                <c:pt idx="4">
                  <c:v>0.14833766430775003</c:v>
                </c:pt>
                <c:pt idx="5">
                  <c:v>0.19237428912729543</c:v>
                </c:pt>
                <c:pt idx="6">
                  <c:v>0.19567608190369065</c:v>
                </c:pt>
                <c:pt idx="7">
                  <c:v>0.19567608190369065</c:v>
                </c:pt>
                <c:pt idx="8">
                  <c:v>0.19567608190369065</c:v>
                </c:pt>
              </c:numCache>
            </c:numRef>
          </c:xVal>
          <c:yVal>
            <c:numRef>
              <c:f>'NEW MODELLING FOR SHEAR RATES'!$BG$371:$BG$379</c:f>
              <c:numCache>
                <c:formatCode>General</c:formatCode>
                <c:ptCount val="9"/>
                <c:pt idx="0">
                  <c:v>0.2978723404255319</c:v>
                </c:pt>
                <c:pt idx="1">
                  <c:v>0.11363636363636363</c:v>
                </c:pt>
                <c:pt idx="2">
                  <c:v>0.31578947368421051</c:v>
                </c:pt>
                <c:pt idx="3">
                  <c:v>0.48275862068965519</c:v>
                </c:pt>
                <c:pt idx="4">
                  <c:v>0</c:v>
                </c:pt>
                <c:pt idx="5">
                  <c:v>5.5555555555555552E-2</c:v>
                </c:pt>
                <c:pt idx="6">
                  <c:v>0.27272727272727271</c:v>
                </c:pt>
                <c:pt idx="7">
                  <c:v>0.29090909090909089</c:v>
                </c:pt>
                <c:pt idx="8">
                  <c:v>0</c:v>
                </c:pt>
              </c:numCache>
            </c:numRef>
          </c:yVal>
          <c:smooth val="0"/>
          <c:extLst>
            <c:ext xmlns:c16="http://schemas.microsoft.com/office/drawing/2014/chart" uri="{C3380CC4-5D6E-409C-BE32-E72D297353CC}">
              <c16:uniqueId val="{00000001-129B-4B68-8F48-0FB00FF0E77B}"/>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for 0.65 +/- 0.05 mm sample thickness</a:t>
            </a:r>
            <a:endParaRPr lang="en-GB"/>
          </a:p>
        </c:rich>
      </c:tx>
      <c:layout>
        <c:manualLayout>
          <c:xMode val="edge"/>
          <c:yMode val="edge"/>
          <c:x val="0.10683989184616749"/>
          <c:y val="2.78666897060557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RATES'!$BI$381:$BI$388</c:f>
              <c:numCache>
                <c:formatCode>General</c:formatCode>
                <c:ptCount val="8"/>
                <c:pt idx="0">
                  <c:v>0.54560740694085552</c:v>
                </c:pt>
                <c:pt idx="1">
                  <c:v>0.54560740694085552</c:v>
                </c:pt>
                <c:pt idx="2">
                  <c:v>0.58211071504305023</c:v>
                </c:pt>
                <c:pt idx="3">
                  <c:v>0.60230518403969224</c:v>
                </c:pt>
                <c:pt idx="4">
                  <c:v>0.31598261098125163</c:v>
                </c:pt>
                <c:pt idx="5">
                  <c:v>0.35270994976326386</c:v>
                </c:pt>
                <c:pt idx="6">
                  <c:v>0.33673755105160408</c:v>
                </c:pt>
                <c:pt idx="7">
                  <c:v>0.22161534276832243</c:v>
                </c:pt>
              </c:numCache>
            </c:numRef>
          </c:xVal>
          <c:yVal>
            <c:numRef>
              <c:f>'NEW MODELLING FOR SHEAR RATES'!$BG$381:$BG$388</c:f>
              <c:numCache>
                <c:formatCode>General</c:formatCode>
                <c:ptCount val="8"/>
                <c:pt idx="0">
                  <c:v>0.36666666666666664</c:v>
                </c:pt>
                <c:pt idx="1">
                  <c:v>0.56666666666666665</c:v>
                </c:pt>
                <c:pt idx="2">
                  <c:v>0.41176470588235292</c:v>
                </c:pt>
                <c:pt idx="3">
                  <c:v>0.8</c:v>
                </c:pt>
                <c:pt idx="4">
                  <c:v>0.31147540983606559</c:v>
                </c:pt>
                <c:pt idx="5">
                  <c:v>0.3</c:v>
                </c:pt>
                <c:pt idx="6">
                  <c:v>0.30303030303030304</c:v>
                </c:pt>
                <c:pt idx="7">
                  <c:v>0.31746031746031744</c:v>
                </c:pt>
              </c:numCache>
            </c:numRef>
          </c:yVal>
          <c:smooth val="0"/>
          <c:extLst>
            <c:ext xmlns:c16="http://schemas.microsoft.com/office/drawing/2014/chart" uri="{C3380CC4-5D6E-409C-BE32-E72D297353CC}">
              <c16:uniqueId val="{00000001-08D8-4C39-8D61-987F4BE94779}"/>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for 1.5 +/- 0.07 mm sample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RATES'!$BI$390:$BI$398</c:f>
              <c:numCache>
                <c:formatCode>General</c:formatCode>
                <c:ptCount val="9"/>
                <c:pt idx="0">
                  <c:v>0.77123271841161134</c:v>
                </c:pt>
                <c:pt idx="1">
                  <c:v>0.77123271841161134</c:v>
                </c:pt>
                <c:pt idx="2">
                  <c:v>0.79515111079382139</c:v>
                </c:pt>
                <c:pt idx="3">
                  <c:v>0.57832189531525147</c:v>
                </c:pt>
                <c:pt idx="4">
                  <c:v>0.57640380503917654</c:v>
                </c:pt>
                <c:pt idx="5">
                  <c:v>0.56856947491007859</c:v>
                </c:pt>
                <c:pt idx="6">
                  <c:v>0.43697751914309979</c:v>
                </c:pt>
                <c:pt idx="7">
                  <c:v>0.44102016248251419</c:v>
                </c:pt>
                <c:pt idx="8">
                  <c:v>0.44302371186039757</c:v>
                </c:pt>
              </c:numCache>
            </c:numRef>
          </c:xVal>
          <c:yVal>
            <c:numRef>
              <c:f>'NEW MODELLING FOR SHEAR RATES'!$BG$390:$BG$398</c:f>
              <c:numCache>
                <c:formatCode>General</c:formatCode>
                <c:ptCount val="9"/>
                <c:pt idx="0">
                  <c:v>0.74149659863945583</c:v>
                </c:pt>
                <c:pt idx="1">
                  <c:v>0.57823129251700678</c:v>
                </c:pt>
                <c:pt idx="2">
                  <c:v>0.80838323353293418</c:v>
                </c:pt>
                <c:pt idx="3">
                  <c:v>0.58278145695364236</c:v>
                </c:pt>
                <c:pt idx="4">
                  <c:v>0.6333333333333333</c:v>
                </c:pt>
                <c:pt idx="5">
                  <c:v>0.90410958904109584</c:v>
                </c:pt>
                <c:pt idx="6">
                  <c:v>0.54794520547945202</c:v>
                </c:pt>
                <c:pt idx="7">
                  <c:v>0.64189189189189189</c:v>
                </c:pt>
                <c:pt idx="8">
                  <c:v>0.91275167785234901</c:v>
                </c:pt>
              </c:numCache>
            </c:numRef>
          </c:yVal>
          <c:smooth val="0"/>
          <c:extLst>
            <c:ext xmlns:c16="http://schemas.microsoft.com/office/drawing/2014/chart" uri="{C3380CC4-5D6E-409C-BE32-E72D297353CC}">
              <c16:uniqueId val="{00000001-967E-413A-9213-032C7987C924}"/>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GB"/>
              <a:t>SHEAR</a:t>
            </a:r>
            <a:r>
              <a:rPr lang="en-GB" baseline="0"/>
              <a:t> RATE POWER LAW MODEL REGRESSION FOR EXPERIMENTAL VS PREDICTIONS FOR PSI = 30</a:t>
            </a:r>
            <a:endParaRPr lang="en-GB"/>
          </a:p>
        </c:rich>
      </c:tx>
      <c:layout>
        <c:manualLayout>
          <c:xMode val="edge"/>
          <c:yMode val="edge"/>
          <c:x val="0.11926915539971102"/>
          <c:y val="2.1180485328761461E-2"/>
        </c:manualLayout>
      </c:layout>
      <c:overlay val="0"/>
      <c:spPr>
        <a:noFill/>
        <a:ln>
          <a:noFill/>
        </a:ln>
        <a:effectLst/>
      </c:spPr>
      <c:txPr>
        <a:bodyPr rot="0" spcFirstLastPara="1" vertOverflow="ellipsis" vert="horz" wrap="square" anchor="ctr" anchorCtr="1"/>
        <a:lstStyle/>
        <a:p>
          <a:pPr>
            <a:defRPr sz="144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0.10487205150066106"/>
          <c:y val="8.756591187931502E-2"/>
          <c:w val="0.85173432535790783"/>
          <c:h val="0.80358146039549239"/>
        </c:manualLayout>
      </c:layout>
      <c:scatterChart>
        <c:scatterStyle val="lineMarker"/>
        <c:varyColors val="0"/>
        <c:ser>
          <c:idx val="12"/>
          <c:order val="0"/>
          <c:spPr>
            <a:ln w="19050" cap="rnd">
              <a:noFill/>
              <a:round/>
            </a:ln>
            <a:effectLst/>
          </c:spPr>
          <c:marker>
            <c:symbol val="circle"/>
            <c:size val="5"/>
            <c:spPr>
              <a:solidFill>
                <a:schemeClr val="bg1"/>
              </a:solidFill>
              <a:ln w="25400">
                <a:solidFill>
                  <a:schemeClr val="bg1"/>
                </a:solidFill>
              </a:ln>
              <a:effectLst/>
            </c:spPr>
          </c:marker>
          <c:trendline>
            <c:spPr>
              <a:ln w="12700" cap="rnd">
                <a:solidFill>
                  <a:schemeClr val="tx1"/>
                </a:solidFill>
                <a:prstDash val="solid"/>
              </a:ln>
              <a:effectLst/>
            </c:spPr>
            <c:trendlineType val="linear"/>
            <c:forward val="0.24000000000000002"/>
            <c:intercept val="0"/>
            <c:dispRSqr val="1"/>
            <c:dispEq val="1"/>
            <c:trendlineLbl>
              <c:layout>
                <c:manualLayout>
                  <c:x val="2.7357066555738118E-2"/>
                  <c:y val="0.19064828389155719"/>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RATES'!$N$456:$N$491</c:f>
              <c:numCache>
                <c:formatCode>General</c:formatCode>
                <c:ptCount val="36"/>
                <c:pt idx="0">
                  <c:v>0.60855164260190664</c:v>
                </c:pt>
                <c:pt idx="1">
                  <c:v>0.60329144540243329</c:v>
                </c:pt>
                <c:pt idx="2">
                  <c:v>0.60593858288269908</c:v>
                </c:pt>
                <c:pt idx="3">
                  <c:v>0.48239409054343035</c:v>
                </c:pt>
                <c:pt idx="4">
                  <c:v>0.53485772014234712</c:v>
                </c:pt>
                <c:pt idx="5">
                  <c:v>0.53485772014234712</c:v>
                </c:pt>
                <c:pt idx="6">
                  <c:v>0.56224401803710056</c:v>
                </c:pt>
                <c:pt idx="7">
                  <c:v>0.72475510881641958</c:v>
                </c:pt>
                <c:pt idx="8">
                  <c:v>0.72475510881641958</c:v>
                </c:pt>
                <c:pt idx="9">
                  <c:v>0.60855164260190664</c:v>
                </c:pt>
                <c:pt idx="10">
                  <c:v>0.57781745899147885</c:v>
                </c:pt>
                <c:pt idx="11">
                  <c:v>0.74868130066164063</c:v>
                </c:pt>
                <c:pt idx="12">
                  <c:v>0.42777210537324339</c:v>
                </c:pt>
                <c:pt idx="13">
                  <c:v>0.41780973547420436</c:v>
                </c:pt>
                <c:pt idx="14">
                  <c:v>0.43262114656718914</c:v>
                </c:pt>
                <c:pt idx="15">
                  <c:v>0.31832952101777229</c:v>
                </c:pt>
                <c:pt idx="16">
                  <c:v>0.36182744367282355</c:v>
                </c:pt>
                <c:pt idx="17">
                  <c:v>0.36490873863733986</c:v>
                </c:pt>
                <c:pt idx="18">
                  <c:v>0.37395471069360359</c:v>
                </c:pt>
                <c:pt idx="19">
                  <c:v>0.55935763532609806</c:v>
                </c:pt>
                <c:pt idx="20">
                  <c:v>0.55790049178987888</c:v>
                </c:pt>
                <c:pt idx="21">
                  <c:v>0.39946401825701378</c:v>
                </c:pt>
                <c:pt idx="22">
                  <c:v>0.38841215658161649</c:v>
                </c:pt>
                <c:pt idx="23">
                  <c:v>0.55197674222898008</c:v>
                </c:pt>
                <c:pt idx="24">
                  <c:v>0.34401077174117123</c:v>
                </c:pt>
                <c:pt idx="25">
                  <c:v>0.34612542873095847</c:v>
                </c:pt>
                <c:pt idx="26">
                  <c:v>0.34401077174117123</c:v>
                </c:pt>
                <c:pt idx="27">
                  <c:v>-2.8732841270478902E-2</c:v>
                </c:pt>
                <c:pt idx="28">
                  <c:v>0.28240137765422224</c:v>
                </c:pt>
                <c:pt idx="29">
                  <c:v>0.28505093569568357</c:v>
                </c:pt>
                <c:pt idx="30">
                  <c:v>0.28505093569568357</c:v>
                </c:pt>
                <c:pt idx="31">
                  <c:v>0.45753438428999749</c:v>
                </c:pt>
                <c:pt idx="32">
                  <c:v>0.46033753570050184</c:v>
                </c:pt>
                <c:pt idx="33">
                  <c:v>0.30534441611364216</c:v>
                </c:pt>
                <c:pt idx="34">
                  <c:v>0.28505093569568357</c:v>
                </c:pt>
                <c:pt idx="35">
                  <c:v>0.46172812541281771</c:v>
                </c:pt>
              </c:numCache>
            </c:numRef>
          </c:xVal>
          <c:yVal>
            <c:numRef>
              <c:f>'NEW MODELLING FOR SHEAR RATES'!$D$456:$D$491</c:f>
              <c:numCache>
                <c:formatCode>General</c:formatCode>
                <c:ptCount val="36"/>
                <c:pt idx="0">
                  <c:v>0.39285714285714285</c:v>
                </c:pt>
                <c:pt idx="1">
                  <c:v>0.59756097560975607</c:v>
                </c:pt>
                <c:pt idx="2">
                  <c:v>0.5662650602409639</c:v>
                </c:pt>
                <c:pt idx="3">
                  <c:v>0.2978723404255319</c:v>
                </c:pt>
                <c:pt idx="4">
                  <c:v>0.36666666666666664</c:v>
                </c:pt>
                <c:pt idx="5">
                  <c:v>0.56666666666666665</c:v>
                </c:pt>
                <c:pt idx="6">
                  <c:v>0.41176470588235292</c:v>
                </c:pt>
                <c:pt idx="7">
                  <c:v>0.74149659863945583</c:v>
                </c:pt>
                <c:pt idx="8">
                  <c:v>0.57823129251700678</c:v>
                </c:pt>
                <c:pt idx="9">
                  <c:v>0</c:v>
                </c:pt>
                <c:pt idx="10">
                  <c:v>0.8</c:v>
                </c:pt>
                <c:pt idx="11">
                  <c:v>0.80838323353293418</c:v>
                </c:pt>
                <c:pt idx="12">
                  <c:v>0.40740740740740738</c:v>
                </c:pt>
                <c:pt idx="13">
                  <c:v>0.44155844155844154</c:v>
                </c:pt>
                <c:pt idx="14">
                  <c:v>0.40963855421686746</c:v>
                </c:pt>
                <c:pt idx="15">
                  <c:v>0.11363636363636363</c:v>
                </c:pt>
                <c:pt idx="16">
                  <c:v>0.31578947368421051</c:v>
                </c:pt>
                <c:pt idx="17">
                  <c:v>0.48275862068965519</c:v>
                </c:pt>
                <c:pt idx="18">
                  <c:v>0.31147540983606559</c:v>
                </c:pt>
                <c:pt idx="19">
                  <c:v>0.58278145695364236</c:v>
                </c:pt>
                <c:pt idx="20">
                  <c:v>0.6333333333333333</c:v>
                </c:pt>
                <c:pt idx="21">
                  <c:v>0.3</c:v>
                </c:pt>
                <c:pt idx="22">
                  <c:v>0.30303030303030304</c:v>
                </c:pt>
                <c:pt idx="23">
                  <c:v>0.90410958904109584</c:v>
                </c:pt>
                <c:pt idx="24">
                  <c:v>0.41249999999999998</c:v>
                </c:pt>
                <c:pt idx="25">
                  <c:v>0.35802469135802467</c:v>
                </c:pt>
                <c:pt idx="26">
                  <c:v>0.3125</c:v>
                </c:pt>
                <c:pt idx="27">
                  <c:v>0</c:v>
                </c:pt>
                <c:pt idx="28">
                  <c:v>5.5555555555555552E-2</c:v>
                </c:pt>
                <c:pt idx="29">
                  <c:v>0.27272727272727271</c:v>
                </c:pt>
                <c:pt idx="30">
                  <c:v>0.29090909090909089</c:v>
                </c:pt>
                <c:pt idx="31">
                  <c:v>0.54794520547945202</c:v>
                </c:pt>
                <c:pt idx="32">
                  <c:v>0.64189189189189189</c:v>
                </c:pt>
                <c:pt idx="33">
                  <c:v>0.31746031746031744</c:v>
                </c:pt>
                <c:pt idx="34">
                  <c:v>0</c:v>
                </c:pt>
                <c:pt idx="35">
                  <c:v>0.91275167785234901</c:v>
                </c:pt>
              </c:numCache>
            </c:numRef>
          </c:yVal>
          <c:smooth val="0"/>
          <c:extLst>
            <c:ext xmlns:c16="http://schemas.microsoft.com/office/drawing/2014/chart" uri="{C3380CC4-5D6E-409C-BE32-E72D297353CC}">
              <c16:uniqueId val="{0000000C-B571-41A0-8A01-8E412E85315F}"/>
            </c:ext>
          </c:extLst>
        </c:ser>
        <c:ser>
          <c:idx val="0"/>
          <c:order val="1"/>
          <c:tx>
            <c:v>0.81 ± 0.02 mm thickness</c:v>
          </c:tx>
          <c:spPr>
            <a:ln w="25400" cap="rnd">
              <a:noFill/>
              <a:round/>
            </a:ln>
            <a:effectLst/>
          </c:spPr>
          <c:marker>
            <c:symbol val="circle"/>
            <c:size val="5"/>
            <c:spPr>
              <a:solidFill>
                <a:srgbClr val="00B050"/>
              </a:solidFill>
              <a:ln w="12700">
                <a:solidFill>
                  <a:srgbClr val="00B050"/>
                </a:solidFill>
              </a:ln>
              <a:effectLst/>
            </c:spPr>
          </c:marker>
          <c:xVal>
            <c:numRef>
              <c:f>'NEW MODELLING FOR SHEAR RATES'!$S$466:$S$475</c:f>
              <c:numCache>
                <c:formatCode>General</c:formatCode>
                <c:ptCount val="10"/>
                <c:pt idx="0">
                  <c:v>0.60855164260190664</c:v>
                </c:pt>
                <c:pt idx="1">
                  <c:v>0.60329144540243329</c:v>
                </c:pt>
                <c:pt idx="2">
                  <c:v>0.60593858288269908</c:v>
                </c:pt>
                <c:pt idx="3">
                  <c:v>0.60855164260190664</c:v>
                </c:pt>
                <c:pt idx="4">
                  <c:v>0.42777210537324339</c:v>
                </c:pt>
                <c:pt idx="5">
                  <c:v>0.41780973547420436</c:v>
                </c:pt>
                <c:pt idx="6">
                  <c:v>0.43262114656718914</c:v>
                </c:pt>
                <c:pt idx="7">
                  <c:v>0.34401077174117123</c:v>
                </c:pt>
                <c:pt idx="8">
                  <c:v>0.34612542873095847</c:v>
                </c:pt>
                <c:pt idx="9">
                  <c:v>0.34401077174117123</c:v>
                </c:pt>
              </c:numCache>
            </c:numRef>
          </c:xVal>
          <c:yVal>
            <c:numRef>
              <c:f>'NEW MODELLING FOR SHEAR RATES'!$R$466:$R$475</c:f>
              <c:numCache>
                <c:formatCode>General</c:formatCode>
                <c:ptCount val="10"/>
                <c:pt idx="0">
                  <c:v>0.39285714285714285</c:v>
                </c:pt>
                <c:pt idx="1">
                  <c:v>0.59756097560975607</c:v>
                </c:pt>
                <c:pt idx="2">
                  <c:v>0.5662650602409639</c:v>
                </c:pt>
                <c:pt idx="3">
                  <c:v>0</c:v>
                </c:pt>
                <c:pt idx="4">
                  <c:v>0.40740740740740738</c:v>
                </c:pt>
                <c:pt idx="5">
                  <c:v>0.44155844155844154</c:v>
                </c:pt>
                <c:pt idx="6">
                  <c:v>0.40963855421686746</c:v>
                </c:pt>
                <c:pt idx="7">
                  <c:v>0.41249999999999998</c:v>
                </c:pt>
                <c:pt idx="8">
                  <c:v>0.35802469135802467</c:v>
                </c:pt>
                <c:pt idx="9">
                  <c:v>0.3125</c:v>
                </c:pt>
              </c:numCache>
            </c:numRef>
          </c:yVal>
          <c:smooth val="0"/>
          <c:extLst>
            <c:ext xmlns:c16="http://schemas.microsoft.com/office/drawing/2014/chart" uri="{C3380CC4-5D6E-409C-BE32-E72D297353CC}">
              <c16:uniqueId val="{00000002-37CA-4872-9BE5-662AE676A8F1}"/>
            </c:ext>
          </c:extLst>
        </c:ser>
        <c:ser>
          <c:idx val="1"/>
          <c:order val="2"/>
          <c:tx>
            <c:v>0.44 ± 0.03 mm thickness</c:v>
          </c:tx>
          <c:spPr>
            <a:ln w="25400" cap="rnd">
              <a:noFill/>
              <a:round/>
            </a:ln>
            <a:effectLst/>
          </c:spPr>
          <c:marker>
            <c:symbol val="circle"/>
            <c:size val="5"/>
            <c:spPr>
              <a:solidFill>
                <a:schemeClr val="accent1"/>
              </a:solidFill>
              <a:ln w="9525">
                <a:solidFill>
                  <a:schemeClr val="accent1"/>
                </a:solidFill>
              </a:ln>
              <a:effectLst/>
            </c:spPr>
          </c:marker>
          <c:xVal>
            <c:numRef>
              <c:f>'NEW MODELLING FOR SHEAR RATES'!$V$466:$V$468</c:f>
              <c:numCache>
                <c:formatCode>General</c:formatCode>
                <c:ptCount val="3"/>
                <c:pt idx="0">
                  <c:v>0.48239409054343035</c:v>
                </c:pt>
                <c:pt idx="1">
                  <c:v>0.31832952101777229</c:v>
                </c:pt>
                <c:pt idx="2">
                  <c:v>-2.8732841270478902E-2</c:v>
                </c:pt>
              </c:numCache>
            </c:numRef>
          </c:xVal>
          <c:yVal>
            <c:numRef>
              <c:f>'NEW MODELLING FOR SHEAR RATES'!$U$466:$U$468</c:f>
              <c:numCache>
                <c:formatCode>General</c:formatCode>
                <c:ptCount val="3"/>
                <c:pt idx="0">
                  <c:v>0.2978723404255319</c:v>
                </c:pt>
                <c:pt idx="1">
                  <c:v>0.11363636363636363</c:v>
                </c:pt>
                <c:pt idx="2">
                  <c:v>0</c:v>
                </c:pt>
              </c:numCache>
            </c:numRef>
          </c:yVal>
          <c:smooth val="0"/>
          <c:extLst>
            <c:ext xmlns:c16="http://schemas.microsoft.com/office/drawing/2014/chart" uri="{C3380CC4-5D6E-409C-BE32-E72D297353CC}">
              <c16:uniqueId val="{00000003-37CA-4872-9BE5-662AE676A8F1}"/>
            </c:ext>
          </c:extLst>
        </c:ser>
        <c:ser>
          <c:idx val="2"/>
          <c:order val="3"/>
          <c:tx>
            <c:v>0.58 ± 0.06 mm thickness</c:v>
          </c:tx>
          <c:spPr>
            <a:ln w="25400" cap="rnd">
              <a:noFill/>
              <a:round/>
            </a:ln>
            <a:effectLst/>
          </c:spPr>
          <c:marker>
            <c:symbol val="circle"/>
            <c:size val="5"/>
            <c:spPr>
              <a:solidFill>
                <a:srgbClr val="FF0000"/>
              </a:solidFill>
              <a:ln w="9525">
                <a:solidFill>
                  <a:srgbClr val="FF0000"/>
                </a:solidFill>
              </a:ln>
              <a:effectLst/>
            </c:spPr>
          </c:marker>
          <c:xVal>
            <c:numRef>
              <c:f>'NEW MODELLING FOR SHEAR RATES'!$Y$466:$Y$475</c:f>
              <c:numCache>
                <c:formatCode>General</c:formatCode>
                <c:ptCount val="10"/>
                <c:pt idx="0">
                  <c:v>0.53485772014234712</c:v>
                </c:pt>
                <c:pt idx="1">
                  <c:v>0.53485772014234712</c:v>
                </c:pt>
                <c:pt idx="2">
                  <c:v>0.36182744367282355</c:v>
                </c:pt>
                <c:pt idx="3">
                  <c:v>0.36490873863733986</c:v>
                </c:pt>
                <c:pt idx="4">
                  <c:v>0.37395471069360359</c:v>
                </c:pt>
                <c:pt idx="5">
                  <c:v>0.28240137765422224</c:v>
                </c:pt>
                <c:pt idx="6">
                  <c:v>0.28505093569568357</c:v>
                </c:pt>
                <c:pt idx="7">
                  <c:v>0.28505093569568357</c:v>
                </c:pt>
                <c:pt idx="8">
                  <c:v>0.28505093569568357</c:v>
                </c:pt>
                <c:pt idx="9">
                  <c:v>0.30534441611364216</c:v>
                </c:pt>
              </c:numCache>
            </c:numRef>
          </c:xVal>
          <c:yVal>
            <c:numRef>
              <c:f>'NEW MODELLING FOR SHEAR RATES'!$X$466:$X$475</c:f>
              <c:numCache>
                <c:formatCode>General</c:formatCode>
                <c:ptCount val="10"/>
                <c:pt idx="0">
                  <c:v>0.36666666666666664</c:v>
                </c:pt>
                <c:pt idx="1">
                  <c:v>0.56666666666666665</c:v>
                </c:pt>
                <c:pt idx="2">
                  <c:v>0.31578947368421051</c:v>
                </c:pt>
                <c:pt idx="3">
                  <c:v>0.48275862068965519</c:v>
                </c:pt>
                <c:pt idx="4">
                  <c:v>0.31147540983606559</c:v>
                </c:pt>
                <c:pt idx="5">
                  <c:v>5.5555555555555552E-2</c:v>
                </c:pt>
                <c:pt idx="6">
                  <c:v>0.27272727272727271</c:v>
                </c:pt>
                <c:pt idx="7">
                  <c:v>0.29090909090909089</c:v>
                </c:pt>
                <c:pt idx="8">
                  <c:v>0</c:v>
                </c:pt>
                <c:pt idx="9">
                  <c:v>0.31746031746031744</c:v>
                </c:pt>
              </c:numCache>
            </c:numRef>
          </c:yVal>
          <c:smooth val="0"/>
          <c:extLst>
            <c:ext xmlns:c16="http://schemas.microsoft.com/office/drawing/2014/chart" uri="{C3380CC4-5D6E-409C-BE32-E72D297353CC}">
              <c16:uniqueId val="{00000004-37CA-4872-9BE5-662AE676A8F1}"/>
            </c:ext>
          </c:extLst>
        </c:ser>
        <c:ser>
          <c:idx val="3"/>
          <c:order val="4"/>
          <c:tx>
            <c:v>0.69 ± 0.03 mm thickness</c:v>
          </c:tx>
          <c:spPr>
            <a:ln w="25400" cap="rnd">
              <a:noFill/>
              <a:round/>
            </a:ln>
            <a:effectLst/>
          </c:spPr>
          <c:marker>
            <c:symbol val="circle"/>
            <c:size val="5"/>
            <c:spPr>
              <a:solidFill>
                <a:schemeClr val="tx1"/>
              </a:solidFill>
              <a:ln w="9525">
                <a:solidFill>
                  <a:schemeClr val="tx1"/>
                </a:solidFill>
              </a:ln>
              <a:effectLst/>
            </c:spPr>
          </c:marker>
          <c:xVal>
            <c:numRef>
              <c:f>'NEW MODELLING FOR SHEAR RATES'!$AB$466:$AB$469</c:f>
              <c:numCache>
                <c:formatCode>General</c:formatCode>
                <c:ptCount val="4"/>
                <c:pt idx="0">
                  <c:v>0.56224401803710056</c:v>
                </c:pt>
                <c:pt idx="1">
                  <c:v>0.57781745899147885</c:v>
                </c:pt>
                <c:pt idx="2">
                  <c:v>0.39946401825701378</c:v>
                </c:pt>
                <c:pt idx="3">
                  <c:v>0.38841215658161649</c:v>
                </c:pt>
              </c:numCache>
            </c:numRef>
          </c:xVal>
          <c:yVal>
            <c:numRef>
              <c:f>'NEW MODELLING FOR SHEAR RATES'!$AA$466:$AA$469</c:f>
              <c:numCache>
                <c:formatCode>General</c:formatCode>
                <c:ptCount val="4"/>
                <c:pt idx="0">
                  <c:v>0.41176470588235292</c:v>
                </c:pt>
                <c:pt idx="1">
                  <c:v>0.8</c:v>
                </c:pt>
                <c:pt idx="2">
                  <c:v>0.3</c:v>
                </c:pt>
                <c:pt idx="3">
                  <c:v>0.30303030303030304</c:v>
                </c:pt>
              </c:numCache>
            </c:numRef>
          </c:yVal>
          <c:smooth val="0"/>
          <c:extLst>
            <c:ext xmlns:c16="http://schemas.microsoft.com/office/drawing/2014/chart" uri="{C3380CC4-5D6E-409C-BE32-E72D297353CC}">
              <c16:uniqueId val="{00000005-37CA-4872-9BE5-662AE676A8F1}"/>
            </c:ext>
          </c:extLst>
        </c:ser>
        <c:ser>
          <c:idx val="4"/>
          <c:order val="5"/>
          <c:tx>
            <c:v>1.5 ± 0.07 mm thickness</c:v>
          </c:tx>
          <c:spPr>
            <a:ln w="25400" cap="rnd">
              <a:noFill/>
              <a:round/>
            </a:ln>
            <a:effectLst/>
          </c:spPr>
          <c:marker>
            <c:symbol val="circle"/>
            <c:size val="5"/>
            <c:spPr>
              <a:solidFill>
                <a:schemeClr val="accent4"/>
              </a:solidFill>
              <a:ln w="9525">
                <a:solidFill>
                  <a:schemeClr val="accent4"/>
                </a:solidFill>
              </a:ln>
              <a:effectLst/>
            </c:spPr>
          </c:marker>
          <c:xVal>
            <c:numRef>
              <c:f>'NEW MODELLING FOR SHEAR RATES'!$AE$466:$AE$474</c:f>
              <c:numCache>
                <c:formatCode>General</c:formatCode>
                <c:ptCount val="9"/>
                <c:pt idx="0">
                  <c:v>0.72475510881641958</c:v>
                </c:pt>
                <c:pt idx="1">
                  <c:v>0.72475510881641958</c:v>
                </c:pt>
                <c:pt idx="2">
                  <c:v>0.74868130066164063</c:v>
                </c:pt>
                <c:pt idx="3">
                  <c:v>0.55935763532609806</c:v>
                </c:pt>
                <c:pt idx="4">
                  <c:v>0.55790049178987888</c:v>
                </c:pt>
                <c:pt idx="5">
                  <c:v>0.55197674222898008</c:v>
                </c:pt>
                <c:pt idx="6">
                  <c:v>0.45753438428999749</c:v>
                </c:pt>
                <c:pt idx="7">
                  <c:v>0.46033753570050184</c:v>
                </c:pt>
                <c:pt idx="8">
                  <c:v>0.46172812541281771</c:v>
                </c:pt>
              </c:numCache>
            </c:numRef>
          </c:xVal>
          <c:yVal>
            <c:numRef>
              <c:f>'NEW MODELLING FOR SHEAR RATES'!$AD$466:$AD$474</c:f>
              <c:numCache>
                <c:formatCode>General</c:formatCode>
                <c:ptCount val="9"/>
                <c:pt idx="0">
                  <c:v>0.74149659863945583</c:v>
                </c:pt>
                <c:pt idx="1">
                  <c:v>0.57823129251700678</c:v>
                </c:pt>
                <c:pt idx="2">
                  <c:v>0.80838323353293418</c:v>
                </c:pt>
                <c:pt idx="3">
                  <c:v>0.58278145695364236</c:v>
                </c:pt>
                <c:pt idx="4">
                  <c:v>0.6333333333333333</c:v>
                </c:pt>
                <c:pt idx="5">
                  <c:v>0.90410958904109584</c:v>
                </c:pt>
                <c:pt idx="6">
                  <c:v>0.54794520547945202</c:v>
                </c:pt>
                <c:pt idx="7">
                  <c:v>0.64189189189189189</c:v>
                </c:pt>
                <c:pt idx="8">
                  <c:v>0.91275167785234901</c:v>
                </c:pt>
              </c:numCache>
            </c:numRef>
          </c:yVal>
          <c:smooth val="0"/>
          <c:extLst>
            <c:ext xmlns:c16="http://schemas.microsoft.com/office/drawing/2014/chart" uri="{C3380CC4-5D6E-409C-BE32-E72D297353CC}">
              <c16:uniqueId val="{00000006-37CA-4872-9BE5-662AE676A8F1}"/>
            </c:ext>
          </c:extLst>
        </c:ser>
        <c:dLbls>
          <c:showLegendKey val="0"/>
          <c:showVal val="0"/>
          <c:showCatName val="0"/>
          <c:showSerName val="0"/>
          <c:showPercent val="0"/>
          <c:showBubbleSize val="0"/>
        </c:dLbls>
        <c:axId val="620716352"/>
        <c:axId val="620713728"/>
      </c:scatterChart>
      <c:valAx>
        <c:axId val="620716352"/>
        <c:scaling>
          <c:orientation val="minMax"/>
          <c:max val="1"/>
          <c:min val="0"/>
        </c:scaling>
        <c:delete val="0"/>
        <c:axPos val="b"/>
        <c:title>
          <c:tx>
            <c:rich>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GB" baseline="0"/>
                  <a:t>predicted core fraction for psi = 30</a:t>
                </a:r>
                <a:endParaRPr lang="en-GB"/>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20713728"/>
        <c:crosses val="autoZero"/>
        <c:crossBetween val="midCat"/>
      </c:valAx>
      <c:valAx>
        <c:axId val="620713728"/>
        <c:scaling>
          <c:orientation val="minMax"/>
          <c:min val="0"/>
        </c:scaling>
        <c:delete val="0"/>
        <c:axPos val="l"/>
        <c:title>
          <c:tx>
            <c:rich>
              <a:bodyPr rot="-54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GB"/>
                  <a:t>experimental core fraction</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20716352"/>
        <c:crosses val="autoZero"/>
        <c:crossBetween val="midCat"/>
      </c:valAx>
      <c:spPr>
        <a:noFill/>
        <a:ln>
          <a:noFill/>
        </a:ln>
        <a:effectLst/>
      </c:spPr>
    </c:plotArea>
    <c:legend>
      <c:legendPos val="t"/>
      <c:legendEntry>
        <c:idx val="0"/>
        <c:delete val="1"/>
      </c:legendEntry>
      <c:legendEntry>
        <c:idx val="6"/>
        <c:delete val="1"/>
      </c:legendEntry>
      <c:layout>
        <c:manualLayout>
          <c:xMode val="edge"/>
          <c:yMode val="edge"/>
          <c:x val="0.11648955674284919"/>
          <c:y val="0.13303828913830598"/>
          <c:w val="0.19302263487159663"/>
          <c:h val="0.24966020299171526"/>
        </c:manualLayout>
      </c:layout>
      <c:overlay val="0"/>
      <c:spPr>
        <a:noFill/>
        <a:ln w="3175">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a:t>Psi</a:t>
            </a:r>
            <a:r>
              <a:rPr lang="en-US" baseline="0"/>
              <a:t> vs n to increase R^2</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0"/>
          <c:order val="0"/>
          <c:tx>
            <c:strRef>
              <c:f>'NEW MODELLING FOR SHEAR RATES'!$F$525:$F$526</c:f>
              <c:strCache>
                <c:ptCount val="2"/>
                <c:pt idx="0">
                  <c:v>psi=30</c:v>
                </c:pt>
                <c:pt idx="1">
                  <c:v>n=0.53</c:v>
                </c:pt>
              </c:strCache>
            </c:strRef>
          </c:tx>
          <c:spPr>
            <a:ln w="12700" cap="rnd">
              <a:solidFill>
                <a:schemeClr val="tx1"/>
              </a:solidFill>
              <a:round/>
            </a:ln>
            <a:effectLst/>
          </c:spPr>
          <c:marker>
            <c:symbol val="circle"/>
            <c:size val="5"/>
            <c:spPr>
              <a:solidFill>
                <a:schemeClr val="tx1"/>
              </a:solidFill>
              <a:ln w="9525">
                <a:solidFill>
                  <a:schemeClr val="tx1"/>
                </a:solidFill>
              </a:ln>
              <a:effectLst/>
            </c:spPr>
          </c:marker>
          <c:xVal>
            <c:numRef>
              <c:f>'NEW MODELLING FOR SHEAR RATES'!$H$530:$H$567</c:f>
              <c:numCache>
                <c:formatCode>General</c:formatCode>
                <c:ptCount val="38"/>
                <c:pt idx="0">
                  <c:v>0.5</c:v>
                </c:pt>
                <c:pt idx="1">
                  <c:v>0.55000000000000004</c:v>
                </c:pt>
                <c:pt idx="2">
                  <c:v>0.6</c:v>
                </c:pt>
                <c:pt idx="3">
                  <c:v>0.65</c:v>
                </c:pt>
                <c:pt idx="4">
                  <c:v>0.7</c:v>
                </c:pt>
                <c:pt idx="5">
                  <c:v>0.75</c:v>
                </c:pt>
                <c:pt idx="6">
                  <c:v>0.8</c:v>
                </c:pt>
                <c:pt idx="7">
                  <c:v>0.85</c:v>
                </c:pt>
                <c:pt idx="8">
                  <c:v>0.9</c:v>
                </c:pt>
                <c:pt idx="9">
                  <c:v>0.95</c:v>
                </c:pt>
                <c:pt idx="10">
                  <c:v>1</c:v>
                </c:pt>
                <c:pt idx="11">
                  <c:v>1.05</c:v>
                </c:pt>
                <c:pt idx="12">
                  <c:v>2</c:v>
                </c:pt>
                <c:pt idx="13">
                  <c:v>3</c:v>
                </c:pt>
                <c:pt idx="14">
                  <c:v>4</c:v>
                </c:pt>
                <c:pt idx="15">
                  <c:v>5</c:v>
                </c:pt>
                <c:pt idx="16">
                  <c:v>6</c:v>
                </c:pt>
                <c:pt idx="17">
                  <c:v>7</c:v>
                </c:pt>
                <c:pt idx="18">
                  <c:v>8</c:v>
                </c:pt>
                <c:pt idx="19">
                  <c:v>9</c:v>
                </c:pt>
                <c:pt idx="20">
                  <c:v>10</c:v>
                </c:pt>
                <c:pt idx="21">
                  <c:v>12</c:v>
                </c:pt>
                <c:pt idx="22">
                  <c:v>14</c:v>
                </c:pt>
                <c:pt idx="23">
                  <c:v>16</c:v>
                </c:pt>
                <c:pt idx="24">
                  <c:v>20</c:v>
                </c:pt>
                <c:pt idx="25">
                  <c:v>30</c:v>
                </c:pt>
                <c:pt idx="26">
                  <c:v>35</c:v>
                </c:pt>
                <c:pt idx="27">
                  <c:v>40</c:v>
                </c:pt>
                <c:pt idx="28">
                  <c:v>42</c:v>
                </c:pt>
                <c:pt idx="29">
                  <c:v>44</c:v>
                </c:pt>
                <c:pt idx="30">
                  <c:v>45</c:v>
                </c:pt>
                <c:pt idx="31">
                  <c:v>50</c:v>
                </c:pt>
                <c:pt idx="32">
                  <c:v>55</c:v>
                </c:pt>
                <c:pt idx="33">
                  <c:v>60</c:v>
                </c:pt>
                <c:pt idx="34">
                  <c:v>70</c:v>
                </c:pt>
                <c:pt idx="35">
                  <c:v>80</c:v>
                </c:pt>
                <c:pt idx="36">
                  <c:v>90</c:v>
                </c:pt>
                <c:pt idx="37">
                  <c:v>100</c:v>
                </c:pt>
              </c:numCache>
            </c:numRef>
          </c:xVal>
          <c:yVal>
            <c:numRef>
              <c:f>'NEW MODELLING FOR SHEAR RATES'!$I$530:$I$567</c:f>
              <c:numCache>
                <c:formatCode>General</c:formatCode>
                <c:ptCount val="38"/>
                <c:pt idx="0">
                  <c:v>25</c:v>
                </c:pt>
                <c:pt idx="1">
                  <c:v>32</c:v>
                </c:pt>
                <c:pt idx="2">
                  <c:v>39</c:v>
                </c:pt>
                <c:pt idx="3">
                  <c:v>45</c:v>
                </c:pt>
                <c:pt idx="4">
                  <c:v>50</c:v>
                </c:pt>
                <c:pt idx="5">
                  <c:v>56</c:v>
                </c:pt>
                <c:pt idx="6">
                  <c:v>62</c:v>
                </c:pt>
                <c:pt idx="7">
                  <c:v>68</c:v>
                </c:pt>
                <c:pt idx="8">
                  <c:v>74</c:v>
                </c:pt>
                <c:pt idx="9">
                  <c:v>80</c:v>
                </c:pt>
                <c:pt idx="10">
                  <c:v>70</c:v>
                </c:pt>
                <c:pt idx="11">
                  <c:v>75</c:v>
                </c:pt>
                <c:pt idx="12">
                  <c:v>100</c:v>
                </c:pt>
                <c:pt idx="13">
                  <c:v>115</c:v>
                </c:pt>
                <c:pt idx="14">
                  <c:v>120</c:v>
                </c:pt>
                <c:pt idx="15">
                  <c:v>125</c:v>
                </c:pt>
                <c:pt idx="16">
                  <c:v>128</c:v>
                </c:pt>
                <c:pt idx="17">
                  <c:v>130</c:v>
                </c:pt>
                <c:pt idx="18">
                  <c:v>132</c:v>
                </c:pt>
                <c:pt idx="19">
                  <c:v>134</c:v>
                </c:pt>
                <c:pt idx="20">
                  <c:v>135</c:v>
                </c:pt>
                <c:pt idx="21">
                  <c:v>136</c:v>
                </c:pt>
                <c:pt idx="22">
                  <c:v>137</c:v>
                </c:pt>
                <c:pt idx="23">
                  <c:v>138</c:v>
                </c:pt>
                <c:pt idx="24">
                  <c:v>140</c:v>
                </c:pt>
                <c:pt idx="25">
                  <c:v>140</c:v>
                </c:pt>
                <c:pt idx="26">
                  <c:v>138</c:v>
                </c:pt>
                <c:pt idx="27">
                  <c:v>138</c:v>
                </c:pt>
                <c:pt idx="28">
                  <c:v>139</c:v>
                </c:pt>
                <c:pt idx="29">
                  <c:v>139</c:v>
                </c:pt>
                <c:pt idx="30">
                  <c:v>138</c:v>
                </c:pt>
                <c:pt idx="31">
                  <c:v>139</c:v>
                </c:pt>
                <c:pt idx="32">
                  <c:v>140</c:v>
                </c:pt>
                <c:pt idx="33">
                  <c:v>138</c:v>
                </c:pt>
                <c:pt idx="34">
                  <c:v>140</c:v>
                </c:pt>
                <c:pt idx="35">
                  <c:v>138</c:v>
                </c:pt>
                <c:pt idx="36">
                  <c:v>140</c:v>
                </c:pt>
                <c:pt idx="37">
                  <c:v>138</c:v>
                </c:pt>
              </c:numCache>
            </c:numRef>
          </c:yVal>
          <c:smooth val="0"/>
          <c:extLst>
            <c:ext xmlns:c16="http://schemas.microsoft.com/office/drawing/2014/chart" uri="{C3380CC4-5D6E-409C-BE32-E72D297353CC}">
              <c16:uniqueId val="{00000000-5128-4ABD-A04A-5999ED3051FC}"/>
            </c:ext>
          </c:extLst>
        </c:ser>
        <c:dLbls>
          <c:showLegendKey val="0"/>
          <c:showVal val="0"/>
          <c:showCatName val="0"/>
          <c:showSerName val="0"/>
          <c:showPercent val="0"/>
          <c:showBubbleSize val="0"/>
        </c:dLbls>
        <c:axId val="619160392"/>
        <c:axId val="619161376"/>
      </c:scatterChart>
      <c:valAx>
        <c:axId val="619160392"/>
        <c:scaling>
          <c:orientation val="minMax"/>
          <c:max val="100"/>
        </c:scaling>
        <c:delete val="0"/>
        <c:axPos val="b"/>
        <c:title>
          <c:tx>
            <c:rich>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GB"/>
                  <a:t>n optimal</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19161376"/>
        <c:crosses val="autoZero"/>
        <c:crossBetween val="midCat"/>
      </c:valAx>
      <c:valAx>
        <c:axId val="619161376"/>
        <c:scaling>
          <c:orientation val="minMax"/>
          <c:max val="160"/>
          <c:min val="20"/>
        </c:scaling>
        <c:delete val="0"/>
        <c:axPos val="l"/>
        <c:title>
          <c:tx>
            <c:rich>
              <a:bodyPr rot="-54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GB"/>
                  <a:t>Psi</a:t>
                </a:r>
                <a:r>
                  <a:rPr lang="en-GB" baseline="0"/>
                  <a:t> optimal</a:t>
                </a:r>
                <a:endParaRPr lang="en-GB"/>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1916039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No</a:t>
            </a:r>
            <a:r>
              <a:rPr lang="en-GB" baseline="0">
                <a:solidFill>
                  <a:sysClr val="windowText" lastClr="000000"/>
                </a:solidFill>
              </a:rPr>
              <a:t>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Skin fraction 12 mm</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'Plots for injection pts'!$L$8:$L$11</c:f>
              <c:numCache>
                <c:formatCode>General</c:formatCode>
                <c:ptCount val="4"/>
                <c:pt idx="0">
                  <c:v>0.47</c:v>
                </c:pt>
                <c:pt idx="1">
                  <c:v>0.6</c:v>
                </c:pt>
                <c:pt idx="2">
                  <c:v>0.84</c:v>
                </c:pt>
                <c:pt idx="3">
                  <c:v>1.47</c:v>
                </c:pt>
              </c:numCache>
            </c:numRef>
          </c:xVal>
          <c:yVal>
            <c:numRef>
              <c:f>'Plots for injection pts'!$K$8:$K$11</c:f>
              <c:numCache>
                <c:formatCode>General</c:formatCode>
                <c:ptCount val="4"/>
                <c:pt idx="0">
                  <c:v>0.7021276595744681</c:v>
                </c:pt>
                <c:pt idx="1">
                  <c:v>0.6333333333333333</c:v>
                </c:pt>
                <c:pt idx="2">
                  <c:v>0.60714285714285721</c:v>
                </c:pt>
                <c:pt idx="3">
                  <c:v>0.42176870748299322</c:v>
                </c:pt>
              </c:numCache>
            </c:numRef>
          </c:yVal>
          <c:smooth val="0"/>
          <c:extLst>
            <c:ext xmlns:c16="http://schemas.microsoft.com/office/drawing/2014/chart" uri="{C3380CC4-5D6E-409C-BE32-E72D297353CC}">
              <c16:uniqueId val="{00000002-38C3-4672-8C7D-29A7655B23B4}"/>
            </c:ext>
          </c:extLst>
        </c:ser>
        <c:ser>
          <c:idx val="0"/>
          <c:order val="1"/>
          <c:tx>
            <c:v>Skin fraction 27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'Plots for injection pts'!$O$8:$O$11</c:f>
              <c:numCache>
                <c:formatCode>General</c:formatCode>
                <c:ptCount val="4"/>
                <c:pt idx="0">
                  <c:v>0.44</c:v>
                </c:pt>
                <c:pt idx="1">
                  <c:v>0.56999999999999995</c:v>
                </c:pt>
                <c:pt idx="2">
                  <c:v>0.81</c:v>
                </c:pt>
                <c:pt idx="3">
                  <c:v>1.5</c:v>
                </c:pt>
              </c:numCache>
            </c:numRef>
          </c:xVal>
          <c:yVal>
            <c:numRef>
              <c:f>'Plots for injection pts'!$N$8:$N$11</c:f>
              <c:numCache>
                <c:formatCode>General</c:formatCode>
                <c:ptCount val="4"/>
                <c:pt idx="0">
                  <c:v>0.88636363636363646</c:v>
                </c:pt>
                <c:pt idx="1">
                  <c:v>0.68421052631578938</c:v>
                </c:pt>
                <c:pt idx="2">
                  <c:v>0.59259259259259256</c:v>
                </c:pt>
                <c:pt idx="3">
                  <c:v>0.3666666666666667</c:v>
                </c:pt>
              </c:numCache>
            </c:numRef>
          </c:yVal>
          <c:smooth val="0"/>
          <c:extLst>
            <c:ext xmlns:c16="http://schemas.microsoft.com/office/drawing/2014/chart" uri="{C3380CC4-5D6E-409C-BE32-E72D297353CC}">
              <c16:uniqueId val="{00000006-38C3-4672-8C7D-29A7655B23B4}"/>
            </c:ext>
          </c:extLst>
        </c:ser>
        <c:ser>
          <c:idx val="1"/>
          <c:order val="2"/>
          <c:tx>
            <c:v>Skin fraction 42 mm</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'Plots for injection pts'!$R$8:$R$11</c:f>
              <c:numCache>
                <c:formatCode>General</c:formatCode>
                <c:ptCount val="4"/>
                <c:pt idx="0">
                  <c:v>0.41</c:v>
                </c:pt>
                <c:pt idx="1">
                  <c:v>0.54</c:v>
                </c:pt>
                <c:pt idx="2">
                  <c:v>0.8</c:v>
                </c:pt>
                <c:pt idx="3">
                  <c:v>1.48</c:v>
                </c:pt>
              </c:numCache>
            </c:numRef>
          </c:xVal>
          <c:yVal>
            <c:numRef>
              <c:f>'Plots for injection pts'!$Q$8:$Q$11</c:f>
              <c:numCache>
                <c:formatCode>General</c:formatCode>
                <c:ptCount val="4"/>
                <c:pt idx="0">
                  <c:v>1</c:v>
                </c:pt>
                <c:pt idx="1">
                  <c:v>0.94444444444444442</c:v>
                </c:pt>
                <c:pt idx="2">
                  <c:v>0.58749999999999991</c:v>
                </c:pt>
                <c:pt idx="3">
                  <c:v>0.35810810810810811</c:v>
                </c:pt>
              </c:numCache>
            </c:numRef>
          </c:yVal>
          <c:smooth val="0"/>
          <c:extLst>
            <c:ext xmlns:c16="http://schemas.microsoft.com/office/drawing/2014/chart" uri="{C3380CC4-5D6E-409C-BE32-E72D297353CC}">
              <c16:uniqueId val="{00000007-38C3-4672-8C7D-29A7655B23B4}"/>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1046678437431032"/>
          <c:y val="6.6841459090241806E-2"/>
          <c:w val="0.14786422999050022"/>
          <c:h val="0.1725750341083806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30 min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Skin fraction 12 mm</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'Plots for injection pts'!$V$3:$V$6</c:f>
              <c:numCache>
                <c:formatCode>General</c:formatCode>
                <c:ptCount val="4"/>
                <c:pt idx="0">
                  <c:v>0.68</c:v>
                </c:pt>
                <c:pt idx="1">
                  <c:v>0.73</c:v>
                </c:pt>
                <c:pt idx="2">
                  <c:v>0.83</c:v>
                </c:pt>
                <c:pt idx="3">
                  <c:v>1.47</c:v>
                </c:pt>
              </c:numCache>
            </c:numRef>
          </c:xVal>
          <c:yVal>
            <c:numRef>
              <c:f>'Plots for injection pts'!$U$3:$U$6</c:f>
              <c:numCache>
                <c:formatCode>General</c:formatCode>
                <c:ptCount val="4"/>
                <c:pt idx="0">
                  <c:v>0.58823529411764708</c:v>
                </c:pt>
                <c:pt idx="1">
                  <c:v>0.2</c:v>
                </c:pt>
                <c:pt idx="2">
                  <c:v>0.43373493975903615</c:v>
                </c:pt>
                <c:pt idx="3">
                  <c:v>0.25850340136054423</c:v>
                </c:pt>
              </c:numCache>
            </c:numRef>
          </c:yVal>
          <c:smooth val="0"/>
          <c:extLst>
            <c:ext xmlns:c16="http://schemas.microsoft.com/office/drawing/2014/chart" uri="{C3380CC4-5D6E-409C-BE32-E72D297353CC}">
              <c16:uniqueId val="{00000000-9C62-4CCE-BC94-9680A588D3A0}"/>
            </c:ext>
          </c:extLst>
        </c:ser>
        <c:ser>
          <c:idx val="0"/>
          <c:order val="1"/>
          <c:tx>
            <c:v>Skin fraction 27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'Plots for injection pts'!$Y$3:$Y$6</c:f>
              <c:numCache>
                <c:formatCode>General</c:formatCode>
                <c:ptCount val="4"/>
                <c:pt idx="0">
                  <c:v>0.61</c:v>
                </c:pt>
                <c:pt idx="1">
                  <c:v>0.66</c:v>
                </c:pt>
                <c:pt idx="2">
                  <c:v>0.83</c:v>
                </c:pt>
                <c:pt idx="3">
                  <c:v>1.51</c:v>
                </c:pt>
              </c:numCache>
            </c:numRef>
          </c:xVal>
          <c:yVal>
            <c:numRef>
              <c:f>'Plots for injection pts'!$X$3:$X$6</c:f>
              <c:numCache>
                <c:formatCode>General</c:formatCode>
                <c:ptCount val="4"/>
                <c:pt idx="0">
                  <c:v>0.68852459016393441</c:v>
                </c:pt>
                <c:pt idx="1">
                  <c:v>0.69696969696969702</c:v>
                </c:pt>
                <c:pt idx="2">
                  <c:v>0.59036144578313254</c:v>
                </c:pt>
                <c:pt idx="3">
                  <c:v>0.41721854304635764</c:v>
                </c:pt>
              </c:numCache>
            </c:numRef>
          </c:yVal>
          <c:smooth val="0"/>
          <c:extLst>
            <c:ext xmlns:c16="http://schemas.microsoft.com/office/drawing/2014/chart" uri="{C3380CC4-5D6E-409C-BE32-E72D297353CC}">
              <c16:uniqueId val="{00000001-9C62-4CCE-BC94-9680A588D3A0}"/>
            </c:ext>
          </c:extLst>
        </c:ser>
        <c:ser>
          <c:idx val="1"/>
          <c:order val="2"/>
          <c:tx>
            <c:v>Skin fraction 42 mm</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'Plots for injection pts'!$AB$3:$AB$6</c:f>
              <c:numCache>
                <c:formatCode>General</c:formatCode>
                <c:ptCount val="4"/>
                <c:pt idx="0">
                  <c:v>0.55000000000000004</c:v>
                </c:pt>
                <c:pt idx="1">
                  <c:v>0.55000000000000004</c:v>
                </c:pt>
                <c:pt idx="2">
                  <c:v>0.8</c:v>
                </c:pt>
                <c:pt idx="3">
                  <c:v>1.46</c:v>
                </c:pt>
              </c:numCache>
            </c:numRef>
          </c:xVal>
          <c:yVal>
            <c:numRef>
              <c:f>'Plots for injection pts'!$AA$3:$AA$6</c:f>
              <c:numCache>
                <c:formatCode>General</c:formatCode>
                <c:ptCount val="4"/>
                <c:pt idx="0">
                  <c:v>1</c:v>
                </c:pt>
                <c:pt idx="1">
                  <c:v>0.70909090909090899</c:v>
                </c:pt>
                <c:pt idx="2">
                  <c:v>0.6875</c:v>
                </c:pt>
                <c:pt idx="3">
                  <c:v>0.45205479452054792</c:v>
                </c:pt>
              </c:numCache>
            </c:numRef>
          </c:yVal>
          <c:smooth val="0"/>
          <c:extLst>
            <c:ext xmlns:c16="http://schemas.microsoft.com/office/drawing/2014/chart" uri="{C3380CC4-5D6E-409C-BE32-E72D297353CC}">
              <c16:uniqueId val="{00000002-9C62-4CCE-BC94-9680A588D3A0}"/>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0.13567765058102157"/>
          <c:h val="0.18967973043460359"/>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60 min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Skin fraction 12 mm</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'Plots for injection pts'!$V$11:$V$14</c:f>
              <c:numCache>
                <c:formatCode>General</c:formatCode>
                <c:ptCount val="4"/>
                <c:pt idx="0">
                  <c:v>0.6</c:v>
                </c:pt>
                <c:pt idx="1">
                  <c:v>0.82</c:v>
                </c:pt>
                <c:pt idx="2">
                  <c:v>0.84</c:v>
                </c:pt>
                <c:pt idx="3">
                  <c:v>1.67</c:v>
                </c:pt>
              </c:numCache>
            </c:numRef>
          </c:xVal>
          <c:yVal>
            <c:numRef>
              <c:f>'Plots for injection pts'!$U$11:$U$14</c:f>
              <c:numCache>
                <c:formatCode>General</c:formatCode>
                <c:ptCount val="4"/>
                <c:pt idx="0">
                  <c:v>0.43333333333333335</c:v>
                </c:pt>
                <c:pt idx="1">
                  <c:v>0.40243902439024393</c:v>
                </c:pt>
                <c:pt idx="2">
                  <c:v>1</c:v>
                </c:pt>
                <c:pt idx="3">
                  <c:v>0.19161676646706588</c:v>
                </c:pt>
              </c:numCache>
            </c:numRef>
          </c:yVal>
          <c:smooth val="0"/>
          <c:extLst>
            <c:ext xmlns:c16="http://schemas.microsoft.com/office/drawing/2014/chart" uri="{C3380CC4-5D6E-409C-BE32-E72D297353CC}">
              <c16:uniqueId val="{00000000-C93E-4B69-BC0A-8F10CBF5E8B5}"/>
            </c:ext>
          </c:extLst>
        </c:ser>
        <c:ser>
          <c:idx val="0"/>
          <c:order val="1"/>
          <c:tx>
            <c:v>Skin fraction 27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'Plots for injection pts'!$Y$11:$Y$14</c:f>
              <c:numCache>
                <c:formatCode>General</c:formatCode>
                <c:ptCount val="4"/>
                <c:pt idx="0">
                  <c:v>0.57999999999999996</c:v>
                </c:pt>
                <c:pt idx="1">
                  <c:v>0.7</c:v>
                </c:pt>
                <c:pt idx="2">
                  <c:v>0.77</c:v>
                </c:pt>
                <c:pt idx="3">
                  <c:v>1.46</c:v>
                </c:pt>
              </c:numCache>
            </c:numRef>
          </c:xVal>
          <c:yVal>
            <c:numRef>
              <c:f>'Plots for injection pts'!$X$11:$X$14</c:f>
              <c:numCache>
                <c:formatCode>General</c:formatCode>
                <c:ptCount val="4"/>
                <c:pt idx="0">
                  <c:v>0.51724137931034486</c:v>
                </c:pt>
                <c:pt idx="1">
                  <c:v>0.7</c:v>
                </c:pt>
                <c:pt idx="2">
                  <c:v>0.55844155844155841</c:v>
                </c:pt>
                <c:pt idx="3">
                  <c:v>9.5890410958904104E-2</c:v>
                </c:pt>
              </c:numCache>
            </c:numRef>
          </c:yVal>
          <c:smooth val="0"/>
          <c:extLst>
            <c:ext xmlns:c16="http://schemas.microsoft.com/office/drawing/2014/chart" uri="{C3380CC4-5D6E-409C-BE32-E72D297353CC}">
              <c16:uniqueId val="{00000001-C93E-4B69-BC0A-8F10CBF5E8B5}"/>
            </c:ext>
          </c:extLst>
        </c:ser>
        <c:ser>
          <c:idx val="1"/>
          <c:order val="2"/>
          <c:tx>
            <c:v>Skin fraction 42 mm</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'Plots for injection pts'!$AB$11:$AB$14</c:f>
              <c:numCache>
                <c:formatCode>General</c:formatCode>
                <c:ptCount val="4"/>
                <c:pt idx="0">
                  <c:v>0.55000000000000004</c:v>
                </c:pt>
                <c:pt idx="1">
                  <c:v>0.63</c:v>
                </c:pt>
                <c:pt idx="2">
                  <c:v>0.81</c:v>
                </c:pt>
                <c:pt idx="3">
                  <c:v>1.49</c:v>
                </c:pt>
              </c:numCache>
            </c:numRef>
          </c:xVal>
          <c:yVal>
            <c:numRef>
              <c:f>'Plots for injection pts'!$AA$11:$AA$14</c:f>
              <c:numCache>
                <c:formatCode>General</c:formatCode>
                <c:ptCount val="4"/>
                <c:pt idx="0">
                  <c:v>0.72727272727272729</c:v>
                </c:pt>
                <c:pt idx="1">
                  <c:v>0.68253968253968256</c:v>
                </c:pt>
                <c:pt idx="2">
                  <c:v>0.64197530864197527</c:v>
                </c:pt>
                <c:pt idx="3">
                  <c:v>8.7248322147651006E-2</c:v>
                </c:pt>
              </c:numCache>
            </c:numRef>
          </c:yVal>
          <c:smooth val="0"/>
          <c:extLst>
            <c:ext xmlns:c16="http://schemas.microsoft.com/office/drawing/2014/chart" uri="{C3380CC4-5D6E-409C-BE32-E72D297353CC}">
              <c16:uniqueId val="{00000002-C93E-4B69-BC0A-8F10CBF5E8B5}"/>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a:t>
                </a:r>
                <a:r>
                  <a:rPr lang="en-GB" sz="1600">
                    <a:solidFill>
                      <a:schemeClr val="tx1"/>
                    </a:solidFill>
                  </a:rPr>
                  <a:t>raction</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0.13567765058102157"/>
          <c:h val="0.18967973043460359"/>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12 mm distance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Skin fraction 30 min annealing</c:v>
          </c:tx>
          <c:spPr>
            <a:ln w="12700" cap="rnd">
              <a:solidFill>
                <a:schemeClr val="tx1"/>
              </a:solidFill>
              <a:round/>
            </a:ln>
            <a:effectLst/>
          </c:spPr>
          <c:marker>
            <c:symbol val="circle"/>
            <c:size val="5"/>
            <c:spPr>
              <a:solidFill>
                <a:schemeClr val="tx1"/>
              </a:solidFill>
              <a:ln w="25400">
                <a:solidFill>
                  <a:schemeClr val="tx1"/>
                </a:solidFill>
              </a:ln>
              <a:effectLst/>
            </c:spPr>
          </c:marker>
          <c:xVal>
            <c:numRef>
              <c:f>'Plots for injection pts'!$V$3:$V$6</c:f>
              <c:numCache>
                <c:formatCode>General</c:formatCode>
                <c:ptCount val="4"/>
                <c:pt idx="0">
                  <c:v>0.68</c:v>
                </c:pt>
                <c:pt idx="1">
                  <c:v>0.73</c:v>
                </c:pt>
                <c:pt idx="2">
                  <c:v>0.83</c:v>
                </c:pt>
                <c:pt idx="3">
                  <c:v>1.47</c:v>
                </c:pt>
              </c:numCache>
            </c:numRef>
          </c:xVal>
          <c:yVal>
            <c:numRef>
              <c:f>'Plots for injection pts'!$U$3:$U$6</c:f>
              <c:numCache>
                <c:formatCode>General</c:formatCode>
                <c:ptCount val="4"/>
                <c:pt idx="0">
                  <c:v>0.58823529411764708</c:v>
                </c:pt>
                <c:pt idx="1">
                  <c:v>0.2</c:v>
                </c:pt>
                <c:pt idx="2">
                  <c:v>0.43373493975903615</c:v>
                </c:pt>
                <c:pt idx="3">
                  <c:v>0.25850340136054423</c:v>
                </c:pt>
              </c:numCache>
            </c:numRef>
          </c:yVal>
          <c:smooth val="0"/>
          <c:extLst>
            <c:ext xmlns:c16="http://schemas.microsoft.com/office/drawing/2014/chart" uri="{C3380CC4-5D6E-409C-BE32-E72D297353CC}">
              <c16:uniqueId val="{00000001-53F0-444D-B2E9-32BFCBA64A8A}"/>
            </c:ext>
          </c:extLst>
        </c:ser>
        <c:ser>
          <c:idx val="1"/>
          <c:order val="1"/>
          <c:tx>
            <c:v>Skin fraction 60 min annealing</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'Plots for injection pts'!$V$11:$V$14</c:f>
              <c:numCache>
                <c:formatCode>General</c:formatCode>
                <c:ptCount val="4"/>
                <c:pt idx="0">
                  <c:v>0.6</c:v>
                </c:pt>
                <c:pt idx="1">
                  <c:v>0.82</c:v>
                </c:pt>
                <c:pt idx="2">
                  <c:v>0.84</c:v>
                </c:pt>
                <c:pt idx="3">
                  <c:v>1.67</c:v>
                </c:pt>
              </c:numCache>
            </c:numRef>
          </c:xVal>
          <c:yVal>
            <c:numRef>
              <c:f>'Plots for injection pts'!$U$11:$U$14</c:f>
              <c:numCache>
                <c:formatCode>General</c:formatCode>
                <c:ptCount val="4"/>
                <c:pt idx="0">
                  <c:v>0.43333333333333335</c:v>
                </c:pt>
                <c:pt idx="1">
                  <c:v>0.40243902439024393</c:v>
                </c:pt>
                <c:pt idx="2">
                  <c:v>1</c:v>
                </c:pt>
                <c:pt idx="3">
                  <c:v>0.19161676646706588</c:v>
                </c:pt>
              </c:numCache>
            </c:numRef>
          </c:yVal>
          <c:smooth val="0"/>
          <c:extLst>
            <c:ext xmlns:c16="http://schemas.microsoft.com/office/drawing/2014/chart" uri="{C3380CC4-5D6E-409C-BE32-E72D297353CC}">
              <c16:uniqueId val="{00000002-53F0-444D-B2E9-32BFCBA64A8A}"/>
            </c:ext>
          </c:extLst>
        </c:ser>
        <c:ser>
          <c:idx val="2"/>
          <c:order val="2"/>
          <c:tx>
            <c:v>Skin fraction no annealing</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'Plots for injection pts'!$L$8:$L$11</c:f>
              <c:numCache>
                <c:formatCode>General</c:formatCode>
                <c:ptCount val="4"/>
                <c:pt idx="0">
                  <c:v>0.47</c:v>
                </c:pt>
                <c:pt idx="1">
                  <c:v>0.6</c:v>
                </c:pt>
                <c:pt idx="2">
                  <c:v>0.84</c:v>
                </c:pt>
                <c:pt idx="3">
                  <c:v>1.47</c:v>
                </c:pt>
              </c:numCache>
            </c:numRef>
          </c:xVal>
          <c:yVal>
            <c:numRef>
              <c:f>'Plots for injection pts'!$K$8:$K$11</c:f>
              <c:numCache>
                <c:formatCode>General</c:formatCode>
                <c:ptCount val="4"/>
                <c:pt idx="0">
                  <c:v>0.7021276595744681</c:v>
                </c:pt>
                <c:pt idx="1">
                  <c:v>0.6333333333333333</c:v>
                </c:pt>
                <c:pt idx="2">
                  <c:v>0.60714285714285721</c:v>
                </c:pt>
                <c:pt idx="3">
                  <c:v>0.42176870748299322</c:v>
                </c:pt>
              </c:numCache>
            </c:numRef>
          </c:yVal>
          <c:smooth val="0"/>
          <c:extLst>
            <c:ext xmlns:c16="http://schemas.microsoft.com/office/drawing/2014/chart" uri="{C3380CC4-5D6E-409C-BE32-E72D297353CC}">
              <c16:uniqueId val="{00000004-53F0-444D-B2E9-32BFCBA64A8A}"/>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0.21332467299220728"/>
          <c:h val="0.13262010421621462"/>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27 mm distance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Skin fraction 30 min annealing</c:v>
          </c:tx>
          <c:spPr>
            <a:ln w="12700" cap="rnd">
              <a:solidFill>
                <a:schemeClr val="tx1"/>
              </a:solidFill>
              <a:round/>
            </a:ln>
            <a:effectLst/>
          </c:spPr>
          <c:marker>
            <c:symbol val="circle"/>
            <c:size val="5"/>
            <c:spPr>
              <a:solidFill>
                <a:schemeClr val="tx1"/>
              </a:solidFill>
              <a:ln w="25400">
                <a:solidFill>
                  <a:schemeClr val="tx1"/>
                </a:solidFill>
              </a:ln>
              <a:effectLst/>
            </c:spPr>
          </c:marker>
          <c:xVal>
            <c:numRef>
              <c:f>'Plots for injection pts'!$Y$3:$Y$6</c:f>
              <c:numCache>
                <c:formatCode>General</c:formatCode>
                <c:ptCount val="4"/>
                <c:pt idx="0">
                  <c:v>0.61</c:v>
                </c:pt>
                <c:pt idx="1">
                  <c:v>0.66</c:v>
                </c:pt>
                <c:pt idx="2">
                  <c:v>0.83</c:v>
                </c:pt>
                <c:pt idx="3">
                  <c:v>1.51</c:v>
                </c:pt>
              </c:numCache>
            </c:numRef>
          </c:xVal>
          <c:yVal>
            <c:numRef>
              <c:f>'Plots for injection pts'!$X$3:$X$6</c:f>
              <c:numCache>
                <c:formatCode>General</c:formatCode>
                <c:ptCount val="4"/>
                <c:pt idx="0">
                  <c:v>0.68852459016393441</c:v>
                </c:pt>
                <c:pt idx="1">
                  <c:v>0.69696969696969702</c:v>
                </c:pt>
                <c:pt idx="2">
                  <c:v>0.59036144578313254</c:v>
                </c:pt>
                <c:pt idx="3">
                  <c:v>0.41721854304635764</c:v>
                </c:pt>
              </c:numCache>
            </c:numRef>
          </c:yVal>
          <c:smooth val="0"/>
          <c:extLst>
            <c:ext xmlns:c16="http://schemas.microsoft.com/office/drawing/2014/chart" uri="{C3380CC4-5D6E-409C-BE32-E72D297353CC}">
              <c16:uniqueId val="{00000000-D29E-43F8-A0FB-D0AB7D214B77}"/>
            </c:ext>
          </c:extLst>
        </c:ser>
        <c:ser>
          <c:idx val="1"/>
          <c:order val="1"/>
          <c:tx>
            <c:v>Skin fraction 60 min annealing</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'Plots for injection pts'!$Y$11:$Y$14</c:f>
              <c:numCache>
                <c:formatCode>General</c:formatCode>
                <c:ptCount val="4"/>
                <c:pt idx="0">
                  <c:v>0.57999999999999996</c:v>
                </c:pt>
                <c:pt idx="1">
                  <c:v>0.7</c:v>
                </c:pt>
                <c:pt idx="2">
                  <c:v>0.77</c:v>
                </c:pt>
                <c:pt idx="3">
                  <c:v>1.46</c:v>
                </c:pt>
              </c:numCache>
            </c:numRef>
          </c:xVal>
          <c:yVal>
            <c:numRef>
              <c:f>'Plots for injection pts'!$X$11:$X$14</c:f>
              <c:numCache>
                <c:formatCode>General</c:formatCode>
                <c:ptCount val="4"/>
                <c:pt idx="0">
                  <c:v>0.51724137931034486</c:v>
                </c:pt>
                <c:pt idx="1">
                  <c:v>0.7</c:v>
                </c:pt>
                <c:pt idx="2">
                  <c:v>0.55844155844155841</c:v>
                </c:pt>
                <c:pt idx="3">
                  <c:v>9.5890410958904104E-2</c:v>
                </c:pt>
              </c:numCache>
            </c:numRef>
          </c:yVal>
          <c:smooth val="0"/>
          <c:extLst>
            <c:ext xmlns:c16="http://schemas.microsoft.com/office/drawing/2014/chart" uri="{C3380CC4-5D6E-409C-BE32-E72D297353CC}">
              <c16:uniqueId val="{00000001-D29E-43F8-A0FB-D0AB7D214B77}"/>
            </c:ext>
          </c:extLst>
        </c:ser>
        <c:ser>
          <c:idx val="2"/>
          <c:order val="2"/>
          <c:tx>
            <c:v>Skin fraction no annealing</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'Plots for injection pts'!$O$8:$O$11</c:f>
              <c:numCache>
                <c:formatCode>General</c:formatCode>
                <c:ptCount val="4"/>
                <c:pt idx="0">
                  <c:v>0.44</c:v>
                </c:pt>
                <c:pt idx="1">
                  <c:v>0.56999999999999995</c:v>
                </c:pt>
                <c:pt idx="2">
                  <c:v>0.81</c:v>
                </c:pt>
                <c:pt idx="3">
                  <c:v>1.5</c:v>
                </c:pt>
              </c:numCache>
            </c:numRef>
          </c:xVal>
          <c:yVal>
            <c:numRef>
              <c:f>'Plots for injection pts'!$N$8:$N$11</c:f>
              <c:numCache>
                <c:formatCode>General</c:formatCode>
                <c:ptCount val="4"/>
                <c:pt idx="0">
                  <c:v>0.88636363636363646</c:v>
                </c:pt>
                <c:pt idx="1">
                  <c:v>0.68421052631578938</c:v>
                </c:pt>
                <c:pt idx="2">
                  <c:v>0.59259259259259256</c:v>
                </c:pt>
                <c:pt idx="3">
                  <c:v>0.3666666666666667</c:v>
                </c:pt>
              </c:numCache>
            </c:numRef>
          </c:yVal>
          <c:smooth val="0"/>
          <c:extLst>
            <c:ext xmlns:c16="http://schemas.microsoft.com/office/drawing/2014/chart" uri="{C3380CC4-5D6E-409C-BE32-E72D297353CC}">
              <c16:uniqueId val="{00000002-D29E-43F8-A0FB-D0AB7D214B77}"/>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0.19169591142037942"/>
          <c:h val="0.19725982989072097"/>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42 mm distance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Skin fraction 30 min annealing</c:v>
          </c:tx>
          <c:spPr>
            <a:ln w="12700" cap="rnd">
              <a:solidFill>
                <a:schemeClr val="tx1"/>
              </a:solidFill>
              <a:round/>
            </a:ln>
            <a:effectLst/>
          </c:spPr>
          <c:marker>
            <c:symbol val="circle"/>
            <c:size val="5"/>
            <c:spPr>
              <a:solidFill>
                <a:schemeClr val="tx1"/>
              </a:solidFill>
              <a:ln w="25400">
                <a:solidFill>
                  <a:schemeClr val="tx1"/>
                </a:solidFill>
              </a:ln>
              <a:effectLst/>
            </c:spPr>
          </c:marker>
          <c:xVal>
            <c:numRef>
              <c:f>'Plots for injection pts'!$AB$3:$AB$6</c:f>
              <c:numCache>
                <c:formatCode>General</c:formatCode>
                <c:ptCount val="4"/>
                <c:pt idx="0">
                  <c:v>0.55000000000000004</c:v>
                </c:pt>
                <c:pt idx="1">
                  <c:v>0.55000000000000004</c:v>
                </c:pt>
                <c:pt idx="2">
                  <c:v>0.8</c:v>
                </c:pt>
                <c:pt idx="3">
                  <c:v>1.46</c:v>
                </c:pt>
              </c:numCache>
            </c:numRef>
          </c:xVal>
          <c:yVal>
            <c:numRef>
              <c:f>'Plots for injection pts'!$AA$3:$AA$6</c:f>
              <c:numCache>
                <c:formatCode>General</c:formatCode>
                <c:ptCount val="4"/>
                <c:pt idx="0">
                  <c:v>1</c:v>
                </c:pt>
                <c:pt idx="1">
                  <c:v>0.70909090909090899</c:v>
                </c:pt>
                <c:pt idx="2">
                  <c:v>0.6875</c:v>
                </c:pt>
                <c:pt idx="3">
                  <c:v>0.45205479452054792</c:v>
                </c:pt>
              </c:numCache>
            </c:numRef>
          </c:yVal>
          <c:smooth val="0"/>
          <c:extLst>
            <c:ext xmlns:c16="http://schemas.microsoft.com/office/drawing/2014/chart" uri="{C3380CC4-5D6E-409C-BE32-E72D297353CC}">
              <c16:uniqueId val="{00000000-1A66-4967-B2B4-21E697047EC4}"/>
            </c:ext>
          </c:extLst>
        </c:ser>
        <c:ser>
          <c:idx val="1"/>
          <c:order val="1"/>
          <c:tx>
            <c:v>Skin fraction 60 min annealing</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'Plots for injection pts'!$AB$11:$AB$14</c:f>
              <c:numCache>
                <c:formatCode>General</c:formatCode>
                <c:ptCount val="4"/>
                <c:pt idx="0">
                  <c:v>0.55000000000000004</c:v>
                </c:pt>
                <c:pt idx="1">
                  <c:v>0.63</c:v>
                </c:pt>
                <c:pt idx="2">
                  <c:v>0.81</c:v>
                </c:pt>
                <c:pt idx="3">
                  <c:v>1.49</c:v>
                </c:pt>
              </c:numCache>
            </c:numRef>
          </c:xVal>
          <c:yVal>
            <c:numRef>
              <c:f>'Plots for injection pts'!$AA$11:$AA$14</c:f>
              <c:numCache>
                <c:formatCode>General</c:formatCode>
                <c:ptCount val="4"/>
                <c:pt idx="0">
                  <c:v>0.72727272727272729</c:v>
                </c:pt>
                <c:pt idx="1">
                  <c:v>0.68253968253968256</c:v>
                </c:pt>
                <c:pt idx="2">
                  <c:v>0.64197530864197527</c:v>
                </c:pt>
                <c:pt idx="3">
                  <c:v>8.7248322147651006E-2</c:v>
                </c:pt>
              </c:numCache>
            </c:numRef>
          </c:yVal>
          <c:smooth val="0"/>
          <c:extLst>
            <c:ext xmlns:c16="http://schemas.microsoft.com/office/drawing/2014/chart" uri="{C3380CC4-5D6E-409C-BE32-E72D297353CC}">
              <c16:uniqueId val="{00000001-1A66-4967-B2B4-21E697047EC4}"/>
            </c:ext>
          </c:extLst>
        </c:ser>
        <c:ser>
          <c:idx val="2"/>
          <c:order val="2"/>
          <c:tx>
            <c:v>Skin fraction no annealing</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'Plots for injection pts'!$R$8:$R$11</c:f>
              <c:numCache>
                <c:formatCode>General</c:formatCode>
                <c:ptCount val="4"/>
                <c:pt idx="0">
                  <c:v>0.41</c:v>
                </c:pt>
                <c:pt idx="1">
                  <c:v>0.54</c:v>
                </c:pt>
                <c:pt idx="2">
                  <c:v>0.8</c:v>
                </c:pt>
                <c:pt idx="3">
                  <c:v>1.48</c:v>
                </c:pt>
              </c:numCache>
            </c:numRef>
          </c:xVal>
          <c:yVal>
            <c:numRef>
              <c:f>'Plots for injection pts'!$Q$8:$Q$11</c:f>
              <c:numCache>
                <c:formatCode>General</c:formatCode>
                <c:ptCount val="4"/>
                <c:pt idx="0">
                  <c:v>1</c:v>
                </c:pt>
                <c:pt idx="1">
                  <c:v>0.94444444444444442</c:v>
                </c:pt>
                <c:pt idx="2">
                  <c:v>0.58749999999999991</c:v>
                </c:pt>
                <c:pt idx="3">
                  <c:v>0.35810810810810811</c:v>
                </c:pt>
              </c:numCache>
            </c:numRef>
          </c:yVal>
          <c:smooth val="0"/>
          <c:extLst>
            <c:ext xmlns:c16="http://schemas.microsoft.com/office/drawing/2014/chart" uri="{C3380CC4-5D6E-409C-BE32-E72D297353CC}">
              <c16:uniqueId val="{00000002-1A66-4967-B2B4-21E697047EC4}"/>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0.19169591142037942"/>
          <c:h val="0.21736764096721134"/>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No</a:t>
            </a:r>
            <a:r>
              <a:rPr lang="en-GB" baseline="0">
                <a:solidFill>
                  <a:sysClr val="windowText" lastClr="000000"/>
                </a:solidFill>
              </a:rPr>
              <a:t> annealing</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0.82 +/- 0.02 mm thickness</c:v>
          </c:tx>
          <c:spPr>
            <a:ln w="19050" cap="rnd">
              <a:noFill/>
              <a:round/>
            </a:ln>
            <a:effectLst/>
          </c:spPr>
          <c:marker>
            <c:symbol val="triangle"/>
            <c:size val="5"/>
            <c:spPr>
              <a:solidFill>
                <a:srgbClr val="FF0000"/>
              </a:solidFill>
              <a:ln w="25400">
                <a:solidFill>
                  <a:srgbClr val="FF0000"/>
                </a:solidFill>
              </a:ln>
              <a:effectLst/>
            </c:spPr>
          </c:marker>
          <c:xVal>
            <c:numRef>
              <c:f>'Plots for injection pts'!$J$21:$J$23</c:f>
              <c:numCache>
                <c:formatCode>General</c:formatCode>
                <c:ptCount val="3"/>
                <c:pt idx="0">
                  <c:v>12</c:v>
                </c:pt>
                <c:pt idx="1">
                  <c:v>27</c:v>
                </c:pt>
                <c:pt idx="2">
                  <c:v>42</c:v>
                </c:pt>
              </c:numCache>
            </c:numRef>
          </c:xVal>
          <c:yVal>
            <c:numRef>
              <c:f>'Plots for injection pts'!$L$21:$L$23</c:f>
              <c:numCache>
                <c:formatCode>General</c:formatCode>
                <c:ptCount val="3"/>
                <c:pt idx="0">
                  <c:v>0.60714285714285721</c:v>
                </c:pt>
                <c:pt idx="1">
                  <c:v>0.59259259259259256</c:v>
                </c:pt>
                <c:pt idx="2">
                  <c:v>0.58749999999999991</c:v>
                </c:pt>
              </c:numCache>
            </c:numRef>
          </c:yVal>
          <c:smooth val="0"/>
          <c:extLst>
            <c:ext xmlns:c16="http://schemas.microsoft.com/office/drawing/2014/chart" uri="{C3380CC4-5D6E-409C-BE32-E72D297353CC}">
              <c16:uniqueId val="{00000000-8694-488F-B9F7-50E4540F5449}"/>
            </c:ext>
          </c:extLst>
        </c:ser>
        <c:ser>
          <c:idx val="0"/>
          <c:order val="1"/>
          <c:tx>
            <c:v>0.57 +/- 0.03 mm thickness</c:v>
          </c:tx>
          <c:spPr>
            <a:ln w="19050" cap="rnd">
              <a:noFill/>
              <a:round/>
            </a:ln>
            <a:effectLst/>
          </c:spPr>
          <c:marker>
            <c:symbol val="x"/>
            <c:size val="5"/>
            <c:spPr>
              <a:solidFill>
                <a:srgbClr val="00B050"/>
              </a:solidFill>
              <a:ln w="25400">
                <a:solidFill>
                  <a:srgbClr val="00B050"/>
                </a:solidFill>
              </a:ln>
              <a:effectLst/>
            </c:spPr>
          </c:marker>
          <c:xVal>
            <c:numRef>
              <c:f>'Plots for injection pts'!$J$25:$J$27</c:f>
              <c:numCache>
                <c:formatCode>General</c:formatCode>
                <c:ptCount val="3"/>
                <c:pt idx="0">
                  <c:v>12</c:v>
                </c:pt>
                <c:pt idx="1">
                  <c:v>27</c:v>
                </c:pt>
                <c:pt idx="2">
                  <c:v>42</c:v>
                </c:pt>
              </c:numCache>
            </c:numRef>
          </c:xVal>
          <c:yVal>
            <c:numRef>
              <c:f>'Plots for injection pts'!$L$25:$L$27</c:f>
              <c:numCache>
                <c:formatCode>General</c:formatCode>
                <c:ptCount val="3"/>
                <c:pt idx="0">
                  <c:v>0.6333333333333333</c:v>
                </c:pt>
                <c:pt idx="1">
                  <c:v>0.68421052631578938</c:v>
                </c:pt>
                <c:pt idx="2">
                  <c:v>0.94444444444444442</c:v>
                </c:pt>
              </c:numCache>
            </c:numRef>
          </c:yVal>
          <c:smooth val="0"/>
          <c:extLst>
            <c:ext xmlns:c16="http://schemas.microsoft.com/office/drawing/2014/chart" uri="{C3380CC4-5D6E-409C-BE32-E72D297353CC}">
              <c16:uniqueId val="{00000001-8694-488F-B9F7-50E4540F5449}"/>
            </c:ext>
          </c:extLst>
        </c:ser>
        <c:ser>
          <c:idx val="1"/>
          <c:order val="2"/>
          <c:tx>
            <c:v>0.44 +/-0.03 mm thickkness</c:v>
          </c:tx>
          <c:spPr>
            <a:ln w="12700" cap="rnd">
              <a:noFill/>
              <a:round/>
            </a:ln>
            <a:effectLst/>
          </c:spPr>
          <c:marker>
            <c:symbol val="diamond"/>
            <c:size val="5"/>
            <c:spPr>
              <a:noFill/>
              <a:ln w="31750">
                <a:solidFill>
                  <a:srgbClr val="00B0F0"/>
                </a:solidFill>
              </a:ln>
              <a:effectLst/>
            </c:spPr>
          </c:marker>
          <c:xVal>
            <c:numRef>
              <c:f>'Plots for injection pts'!$J$29:$J$31</c:f>
              <c:numCache>
                <c:formatCode>General</c:formatCode>
                <c:ptCount val="3"/>
                <c:pt idx="0">
                  <c:v>12</c:v>
                </c:pt>
                <c:pt idx="1">
                  <c:v>27</c:v>
                </c:pt>
                <c:pt idx="2">
                  <c:v>42</c:v>
                </c:pt>
              </c:numCache>
            </c:numRef>
          </c:xVal>
          <c:yVal>
            <c:numRef>
              <c:f>'Plots for injection pts'!$L$29:$L$31</c:f>
              <c:numCache>
                <c:formatCode>General</c:formatCode>
                <c:ptCount val="3"/>
                <c:pt idx="0">
                  <c:v>0.7021276595744681</c:v>
                </c:pt>
                <c:pt idx="1">
                  <c:v>0.88636363636363646</c:v>
                </c:pt>
                <c:pt idx="2">
                  <c:v>1</c:v>
                </c:pt>
              </c:numCache>
            </c:numRef>
          </c:yVal>
          <c:smooth val="0"/>
          <c:extLst>
            <c:ext xmlns:c16="http://schemas.microsoft.com/office/drawing/2014/chart" uri="{C3380CC4-5D6E-409C-BE32-E72D297353CC}">
              <c16:uniqueId val="{00000002-8694-488F-B9F7-50E4540F5449}"/>
            </c:ext>
          </c:extLst>
        </c:ser>
        <c:ser>
          <c:idx val="2"/>
          <c:order val="3"/>
          <c:tx>
            <c:v>1.48 +/- 0.02 mm thickness</c:v>
          </c:tx>
          <c:spPr>
            <a:ln w="19050" cap="rnd">
              <a:noFill/>
              <a:round/>
            </a:ln>
            <a:effectLst/>
          </c:spPr>
          <c:marker>
            <c:symbol val="circle"/>
            <c:size val="5"/>
            <c:spPr>
              <a:solidFill>
                <a:schemeClr val="tx1"/>
              </a:solidFill>
              <a:ln w="25400">
                <a:solidFill>
                  <a:schemeClr val="tx1"/>
                </a:solidFill>
              </a:ln>
              <a:effectLst/>
            </c:spPr>
          </c:marker>
          <c:xVal>
            <c:numRef>
              <c:f>'Plots for injection pts'!$J$33:$J$35</c:f>
              <c:numCache>
                <c:formatCode>General</c:formatCode>
                <c:ptCount val="3"/>
                <c:pt idx="0">
                  <c:v>12</c:v>
                </c:pt>
                <c:pt idx="1">
                  <c:v>27</c:v>
                </c:pt>
                <c:pt idx="2">
                  <c:v>42</c:v>
                </c:pt>
              </c:numCache>
            </c:numRef>
          </c:xVal>
          <c:yVal>
            <c:numRef>
              <c:f>'Plots for injection pts'!$L$33:$L$35</c:f>
              <c:numCache>
                <c:formatCode>General</c:formatCode>
                <c:ptCount val="3"/>
                <c:pt idx="0">
                  <c:v>0.42176870748299322</c:v>
                </c:pt>
                <c:pt idx="1">
                  <c:v>0.3666666666666667</c:v>
                </c:pt>
                <c:pt idx="2">
                  <c:v>0.35810810810810811</c:v>
                </c:pt>
              </c:numCache>
            </c:numRef>
          </c:yVal>
          <c:smooth val="0"/>
          <c:extLst>
            <c:ext xmlns:c16="http://schemas.microsoft.com/office/drawing/2014/chart" uri="{C3380CC4-5D6E-409C-BE32-E72D297353CC}">
              <c16:uniqueId val="{00000004-8694-488F-B9F7-50E4540F5449}"/>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injection pt</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1046678437431032"/>
          <c:y val="6.6841459090241806E-2"/>
          <c:w val="0.17701759896102992"/>
          <c:h val="0.160864030360257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30 min annealing</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0.82 +/- 0.02 mm thickness</c:v>
          </c:tx>
          <c:spPr>
            <a:ln w="19050" cap="rnd">
              <a:noFill/>
              <a:round/>
            </a:ln>
            <a:effectLst/>
          </c:spPr>
          <c:marker>
            <c:symbol val="triangle"/>
            <c:size val="5"/>
            <c:spPr>
              <a:solidFill>
                <a:srgbClr val="FF0000"/>
              </a:solidFill>
              <a:ln w="25400">
                <a:solidFill>
                  <a:srgbClr val="FF0000"/>
                </a:solidFill>
              </a:ln>
              <a:effectLst/>
            </c:spPr>
          </c:marker>
          <c:xVal>
            <c:numRef>
              <c:f>'Plots for injection pts'!$Q$25:$Q$27</c:f>
              <c:numCache>
                <c:formatCode>General</c:formatCode>
                <c:ptCount val="3"/>
                <c:pt idx="0">
                  <c:v>12</c:v>
                </c:pt>
                <c:pt idx="1">
                  <c:v>27</c:v>
                </c:pt>
                <c:pt idx="2">
                  <c:v>42</c:v>
                </c:pt>
              </c:numCache>
            </c:numRef>
          </c:xVal>
          <c:yVal>
            <c:numRef>
              <c:f>'Plots for injection pts'!$S$25:$S$27</c:f>
              <c:numCache>
                <c:formatCode>General</c:formatCode>
                <c:ptCount val="3"/>
                <c:pt idx="0">
                  <c:v>0.43373493975903615</c:v>
                </c:pt>
                <c:pt idx="1">
                  <c:v>0.59036144578313254</c:v>
                </c:pt>
                <c:pt idx="2">
                  <c:v>0.6875</c:v>
                </c:pt>
              </c:numCache>
            </c:numRef>
          </c:yVal>
          <c:smooth val="0"/>
          <c:extLst>
            <c:ext xmlns:c16="http://schemas.microsoft.com/office/drawing/2014/chart" uri="{C3380CC4-5D6E-409C-BE32-E72D297353CC}">
              <c16:uniqueId val="{00000000-0D2B-4415-A67A-C87469AB3275}"/>
            </c:ext>
          </c:extLst>
        </c:ser>
        <c:ser>
          <c:idx val="0"/>
          <c:order val="1"/>
          <c:tx>
            <c:v>1.48 +/- 0.03 mm thickness</c:v>
          </c:tx>
          <c:spPr>
            <a:ln w="19050" cap="rnd">
              <a:noFill/>
              <a:round/>
            </a:ln>
            <a:effectLst/>
          </c:spPr>
          <c:marker>
            <c:symbol val="circle"/>
            <c:size val="5"/>
            <c:spPr>
              <a:solidFill>
                <a:schemeClr val="tx1"/>
              </a:solidFill>
              <a:ln w="25400">
                <a:solidFill>
                  <a:schemeClr val="tx1"/>
                </a:solidFill>
              </a:ln>
              <a:effectLst/>
            </c:spPr>
          </c:marker>
          <c:xVal>
            <c:numRef>
              <c:f>'Plots for injection pts'!$Q$29:$Q$31</c:f>
              <c:numCache>
                <c:formatCode>General</c:formatCode>
                <c:ptCount val="3"/>
                <c:pt idx="0">
                  <c:v>12</c:v>
                </c:pt>
                <c:pt idx="1">
                  <c:v>27</c:v>
                </c:pt>
                <c:pt idx="2">
                  <c:v>42</c:v>
                </c:pt>
              </c:numCache>
            </c:numRef>
          </c:xVal>
          <c:yVal>
            <c:numRef>
              <c:f>'Plots for injection pts'!$S$29:$S$31</c:f>
              <c:numCache>
                <c:formatCode>General</c:formatCode>
                <c:ptCount val="3"/>
                <c:pt idx="0">
                  <c:v>0.25850340136054423</c:v>
                </c:pt>
                <c:pt idx="1">
                  <c:v>0.41721854304635764</c:v>
                </c:pt>
                <c:pt idx="2">
                  <c:v>0.45205479452054792</c:v>
                </c:pt>
              </c:numCache>
            </c:numRef>
          </c:yVal>
          <c:smooth val="0"/>
          <c:extLst>
            <c:ext xmlns:c16="http://schemas.microsoft.com/office/drawing/2014/chart" uri="{C3380CC4-5D6E-409C-BE32-E72D297353CC}">
              <c16:uniqueId val="{00000001-0D2B-4415-A67A-C87469AB3275}"/>
            </c:ext>
          </c:extLst>
        </c:ser>
        <c:ser>
          <c:idx val="2"/>
          <c:order val="2"/>
          <c:tx>
            <c:v>0.63 +/- 0.07 mm thickness</c:v>
          </c:tx>
          <c:spPr>
            <a:ln w="19050" cap="rnd">
              <a:noFill/>
              <a:round/>
            </a:ln>
            <a:effectLst/>
          </c:spPr>
          <c:marker>
            <c:symbol val="star"/>
            <c:size val="5"/>
            <c:spPr>
              <a:solidFill>
                <a:srgbClr val="00B050"/>
              </a:solidFill>
              <a:ln w="25400">
                <a:solidFill>
                  <a:srgbClr val="00B050"/>
                </a:solidFill>
              </a:ln>
              <a:effectLst/>
            </c:spPr>
          </c:marker>
          <c:xVal>
            <c:numRef>
              <c:f>'Plots for injection pts'!$Q$33:$Q$35</c:f>
              <c:numCache>
                <c:formatCode>General</c:formatCode>
                <c:ptCount val="3"/>
                <c:pt idx="0">
                  <c:v>12</c:v>
                </c:pt>
                <c:pt idx="1">
                  <c:v>27</c:v>
                </c:pt>
                <c:pt idx="2">
                  <c:v>42</c:v>
                </c:pt>
              </c:numCache>
            </c:numRef>
          </c:xVal>
          <c:yVal>
            <c:numRef>
              <c:f>'Plots for injection pts'!$S$33:$S$35</c:f>
              <c:numCache>
                <c:formatCode>General</c:formatCode>
                <c:ptCount val="3"/>
                <c:pt idx="0">
                  <c:v>0.58823529411764708</c:v>
                </c:pt>
                <c:pt idx="1">
                  <c:v>0.69696969696969702</c:v>
                </c:pt>
                <c:pt idx="2">
                  <c:v>0.70909090909090899</c:v>
                </c:pt>
              </c:numCache>
            </c:numRef>
          </c:yVal>
          <c:smooth val="0"/>
          <c:extLst>
            <c:ext xmlns:c16="http://schemas.microsoft.com/office/drawing/2014/chart" uri="{C3380CC4-5D6E-409C-BE32-E72D297353CC}">
              <c16:uniqueId val="{00000003-0D2B-4415-A67A-C87469AB3275}"/>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injection pt</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2113169977502811"/>
          <c:y val="0.58764646804736798"/>
          <c:w val="0.19980088076491154"/>
          <c:h val="0.164273782739310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60 min annealing</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0.58 +/- 0.03 mm thickness</c:v>
          </c:tx>
          <c:spPr>
            <a:ln w="19050" cap="rnd">
              <a:noFill/>
              <a:round/>
            </a:ln>
            <a:effectLst/>
          </c:spPr>
          <c:marker>
            <c:symbol val="star"/>
            <c:size val="5"/>
            <c:spPr>
              <a:solidFill>
                <a:srgbClr val="00B050"/>
              </a:solidFill>
              <a:ln w="25400">
                <a:solidFill>
                  <a:srgbClr val="00B050"/>
                </a:solidFill>
              </a:ln>
              <a:effectLst/>
            </c:spPr>
          </c:marker>
          <c:xVal>
            <c:numRef>
              <c:f>'Plots for injection pts'!$X$25:$X$27</c:f>
              <c:numCache>
                <c:formatCode>General</c:formatCode>
                <c:ptCount val="3"/>
                <c:pt idx="0">
                  <c:v>12</c:v>
                </c:pt>
                <c:pt idx="1">
                  <c:v>27</c:v>
                </c:pt>
                <c:pt idx="2">
                  <c:v>42</c:v>
                </c:pt>
              </c:numCache>
            </c:numRef>
          </c:xVal>
          <c:yVal>
            <c:numRef>
              <c:f>'Plots for injection pts'!$Z$25:$Z$27</c:f>
              <c:numCache>
                <c:formatCode>General</c:formatCode>
                <c:ptCount val="3"/>
                <c:pt idx="0">
                  <c:v>0.43333333333333335</c:v>
                </c:pt>
                <c:pt idx="1">
                  <c:v>0.51724137931034486</c:v>
                </c:pt>
                <c:pt idx="2">
                  <c:v>0.72727272727272729</c:v>
                </c:pt>
              </c:numCache>
            </c:numRef>
          </c:yVal>
          <c:smooth val="0"/>
          <c:extLst>
            <c:ext xmlns:c16="http://schemas.microsoft.com/office/drawing/2014/chart" uri="{C3380CC4-5D6E-409C-BE32-E72D297353CC}">
              <c16:uniqueId val="{00000000-770B-4C9B-8775-6E845397EC36}"/>
            </c:ext>
          </c:extLst>
        </c:ser>
        <c:ser>
          <c:idx val="0"/>
          <c:order val="1"/>
          <c:tx>
            <c:v>0.8 +/- 0.03 mm thickness</c:v>
          </c:tx>
          <c:spPr>
            <a:ln w="19050" cap="rnd">
              <a:noFill/>
              <a:round/>
            </a:ln>
            <a:effectLst/>
          </c:spPr>
          <c:marker>
            <c:symbol val="triangle"/>
            <c:size val="5"/>
            <c:spPr>
              <a:solidFill>
                <a:srgbClr val="FF0000"/>
              </a:solidFill>
              <a:ln w="25400">
                <a:solidFill>
                  <a:srgbClr val="FF0000"/>
                </a:solidFill>
              </a:ln>
              <a:effectLst/>
            </c:spPr>
          </c:marker>
          <c:xVal>
            <c:numRef>
              <c:f>'Plots for injection pts'!$X$29:$X$31</c:f>
              <c:numCache>
                <c:formatCode>General</c:formatCode>
                <c:ptCount val="3"/>
                <c:pt idx="0">
                  <c:v>12</c:v>
                </c:pt>
                <c:pt idx="1">
                  <c:v>27</c:v>
                </c:pt>
                <c:pt idx="2">
                  <c:v>42</c:v>
                </c:pt>
              </c:numCache>
            </c:numRef>
          </c:xVal>
          <c:yVal>
            <c:numRef>
              <c:f>'Plots for injection pts'!$Z$29:$Z$31</c:f>
              <c:numCache>
                <c:formatCode>General</c:formatCode>
                <c:ptCount val="3"/>
                <c:pt idx="0">
                  <c:v>0.40243902439024393</c:v>
                </c:pt>
                <c:pt idx="1">
                  <c:v>0.55844155844155841</c:v>
                </c:pt>
                <c:pt idx="2">
                  <c:v>0.64197530864197527</c:v>
                </c:pt>
              </c:numCache>
            </c:numRef>
          </c:yVal>
          <c:smooth val="0"/>
          <c:extLst>
            <c:ext xmlns:c16="http://schemas.microsoft.com/office/drawing/2014/chart" uri="{C3380CC4-5D6E-409C-BE32-E72D297353CC}">
              <c16:uniqueId val="{00000001-770B-4C9B-8775-6E845397EC36}"/>
            </c:ext>
          </c:extLst>
        </c:ser>
        <c:ser>
          <c:idx val="2"/>
          <c:order val="2"/>
          <c:tx>
            <c:v>1.54 +/- 0.11 mm thickness</c:v>
          </c:tx>
          <c:spPr>
            <a:ln w="19050" cap="rnd">
              <a:noFill/>
              <a:round/>
            </a:ln>
            <a:effectLst/>
          </c:spPr>
          <c:marker>
            <c:symbol val="circle"/>
            <c:size val="5"/>
            <c:spPr>
              <a:solidFill>
                <a:schemeClr val="tx1"/>
              </a:solidFill>
              <a:ln w="25400">
                <a:solidFill>
                  <a:schemeClr val="tx1"/>
                </a:solidFill>
              </a:ln>
              <a:effectLst/>
            </c:spPr>
          </c:marker>
          <c:xVal>
            <c:numRef>
              <c:f>'Plots for injection pts'!$X$33:$X$35</c:f>
              <c:numCache>
                <c:formatCode>General</c:formatCode>
                <c:ptCount val="3"/>
                <c:pt idx="0">
                  <c:v>12</c:v>
                </c:pt>
                <c:pt idx="1">
                  <c:v>27</c:v>
                </c:pt>
                <c:pt idx="2">
                  <c:v>42</c:v>
                </c:pt>
              </c:numCache>
            </c:numRef>
          </c:xVal>
          <c:yVal>
            <c:numRef>
              <c:f>'Plots for injection pts'!$Z$33:$Z$35</c:f>
              <c:numCache>
                <c:formatCode>General</c:formatCode>
                <c:ptCount val="3"/>
                <c:pt idx="0">
                  <c:v>0.19161676646706588</c:v>
                </c:pt>
                <c:pt idx="1">
                  <c:v>9.5890410958904104E-2</c:v>
                </c:pt>
                <c:pt idx="2">
                  <c:v>8.7248322147651006E-2</c:v>
                </c:pt>
              </c:numCache>
            </c:numRef>
          </c:yVal>
          <c:smooth val="0"/>
          <c:extLst>
            <c:ext xmlns:c16="http://schemas.microsoft.com/office/drawing/2014/chart" uri="{C3380CC4-5D6E-409C-BE32-E72D297353CC}">
              <c16:uniqueId val="{00000002-770B-4C9B-8775-6E845397EC36}"/>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injection pt</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1046678437431032"/>
          <c:y val="6.6841459090241806E-2"/>
          <c:w val="0.19980088076491154"/>
          <c:h val="0.164273782739310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for all 3 injection pts averaged</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2"/>
          <c:order val="0"/>
          <c:spPr>
            <a:ln w="25400" cap="rnd">
              <a:noFill/>
              <a:round/>
            </a:ln>
            <a:effectLst/>
          </c:spPr>
          <c:marker>
            <c:symbol val="circle"/>
            <c:size val="5"/>
            <c:spPr>
              <a:solidFill>
                <a:schemeClr val="tx1"/>
              </a:solidFill>
              <a:ln w="25400">
                <a:solidFill>
                  <a:schemeClr val="tx1"/>
                </a:solidFill>
              </a:ln>
              <a:effectLst/>
            </c:spPr>
          </c:marker>
          <c:errBars>
            <c:errDir val="y"/>
            <c:errBarType val="both"/>
            <c:errValType val="cust"/>
            <c:noEndCap val="0"/>
            <c:plus>
              <c:numRef>
                <c:f>'Plots for injection pts'!$AI$22:$AI$24</c:f>
                <c:numCache>
                  <c:formatCode>General</c:formatCode>
                  <c:ptCount val="3"/>
                  <c:pt idx="0">
                    <c:v>0.23246362712115923</c:v>
                  </c:pt>
                  <c:pt idx="1">
                    <c:v>0.20300813157926403</c:v>
                  </c:pt>
                  <c:pt idx="2">
                    <c:v>0.26767774850669496</c:v>
                  </c:pt>
                </c:numCache>
              </c:numRef>
            </c:plus>
            <c:minus>
              <c:numRef>
                <c:f>'Plots for injection pts'!$AI$22:$AI$24</c:f>
                <c:numCache>
                  <c:formatCode>General</c:formatCode>
                  <c:ptCount val="3"/>
                  <c:pt idx="0">
                    <c:v>0.23246362712115923</c:v>
                  </c:pt>
                  <c:pt idx="1">
                    <c:v>0.20300813157926403</c:v>
                  </c:pt>
                  <c:pt idx="2">
                    <c:v>0.26767774850669496</c:v>
                  </c:pt>
                </c:numCache>
              </c:numRef>
            </c:minus>
            <c:spPr>
              <a:noFill/>
              <a:ln w="9525" cap="flat" cmpd="sng" algn="ctr">
                <a:solidFill>
                  <a:schemeClr val="tx1">
                    <a:lumMod val="65000"/>
                    <a:lumOff val="35000"/>
                  </a:schemeClr>
                </a:solidFill>
                <a:round/>
              </a:ln>
              <a:effectLst/>
            </c:spPr>
          </c:errBars>
          <c:xVal>
            <c:numRef>
              <c:f>'Plots for injection pts'!$AF$22:$AF$24</c:f>
              <c:numCache>
                <c:formatCode>General</c:formatCode>
                <c:ptCount val="3"/>
                <c:pt idx="0">
                  <c:v>12</c:v>
                </c:pt>
                <c:pt idx="1">
                  <c:v>27</c:v>
                </c:pt>
                <c:pt idx="2">
                  <c:v>42</c:v>
                </c:pt>
              </c:numCache>
            </c:numRef>
          </c:xVal>
          <c:yVal>
            <c:numRef>
              <c:f>'Plots for injection pts'!$AH$22:$AH$24</c:f>
              <c:numCache>
                <c:formatCode>General</c:formatCode>
                <c:ptCount val="3"/>
                <c:pt idx="0">
                  <c:v>0.48935294308012683</c:v>
                </c:pt>
                <c:pt idx="1">
                  <c:v>0.56620675388438457</c:v>
                </c:pt>
                <c:pt idx="2">
                  <c:v>0.65647785806383718</c:v>
                </c:pt>
              </c:numCache>
            </c:numRef>
          </c:yVal>
          <c:smooth val="0"/>
          <c:extLst>
            <c:ext xmlns:c16="http://schemas.microsoft.com/office/drawing/2014/chart" uri="{C3380CC4-5D6E-409C-BE32-E72D297353CC}">
              <c16:uniqueId val="{00000002-C868-4FE9-A25B-B9B615AF6811}"/>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injection pt</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for thicknesses averaged</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2"/>
          <c:order val="0"/>
          <c:spPr>
            <a:ln w="25400" cap="rnd">
              <a:noFill/>
              <a:round/>
            </a:ln>
            <a:effectLst/>
          </c:spPr>
          <c:marker>
            <c:symbol val="circle"/>
            <c:size val="5"/>
            <c:spPr>
              <a:solidFill>
                <a:schemeClr val="tx1"/>
              </a:solidFill>
              <a:ln w="25400">
                <a:solidFill>
                  <a:schemeClr val="tx1"/>
                </a:solidFill>
              </a:ln>
              <a:effectLst/>
            </c:spPr>
          </c:marker>
          <c:errBars>
            <c:errDir val="x"/>
            <c:errBarType val="both"/>
            <c:errValType val="cust"/>
            <c:noEndCap val="0"/>
            <c:plus>
              <c:numRef>
                <c:f>'Plots for injection pts'!$AL$30:$AL$35</c:f>
                <c:numCache>
                  <c:formatCode>General</c:formatCode>
                  <c:ptCount val="6"/>
                  <c:pt idx="0">
                    <c:v>0.03</c:v>
                  </c:pt>
                  <c:pt idx="1">
                    <c:v>3.0840089349920986E-2</c:v>
                  </c:pt>
                  <c:pt idx="2">
                    <c:v>2.9860788111948165E-2</c:v>
                  </c:pt>
                  <c:pt idx="3">
                    <c:v>2.1730674684008799E-2</c:v>
                  </c:pt>
                  <c:pt idx="4">
                    <c:v>1.8516401995451046E-2</c:v>
                  </c:pt>
                  <c:pt idx="5">
                    <c:v>0</c:v>
                  </c:pt>
                </c:numCache>
              </c:numRef>
            </c:plus>
            <c:minus>
              <c:numRef>
                <c:f>'Plots for injection pts'!$AL$30:$AL$35</c:f>
                <c:numCache>
                  <c:formatCode>General</c:formatCode>
                  <c:ptCount val="6"/>
                  <c:pt idx="0">
                    <c:v>0.03</c:v>
                  </c:pt>
                  <c:pt idx="1">
                    <c:v>3.0840089349920986E-2</c:v>
                  </c:pt>
                  <c:pt idx="2">
                    <c:v>2.9860788111948165E-2</c:v>
                  </c:pt>
                  <c:pt idx="3">
                    <c:v>2.1730674684008799E-2</c:v>
                  </c:pt>
                  <c:pt idx="4">
                    <c:v>1.8516401995451046E-2</c:v>
                  </c:pt>
                  <c:pt idx="5">
                    <c:v>0</c:v>
                  </c:pt>
                </c:numCache>
              </c:numRef>
            </c:minus>
            <c:spPr>
              <a:noFill/>
              <a:ln w="9525" cap="flat" cmpd="sng" algn="ctr">
                <a:solidFill>
                  <a:schemeClr val="tx1">
                    <a:lumMod val="65000"/>
                    <a:lumOff val="35000"/>
                  </a:schemeClr>
                </a:solidFill>
                <a:round/>
              </a:ln>
              <a:effectLst/>
            </c:spPr>
          </c:errBars>
          <c:errBars>
            <c:errDir val="y"/>
            <c:errBarType val="both"/>
            <c:errValType val="cust"/>
            <c:noEndCap val="0"/>
            <c:plus>
              <c:numRef>
                <c:f>'Plots for injection pts'!$AN$30:$AN$35</c:f>
                <c:numCache>
                  <c:formatCode>General</c:formatCode>
                  <c:ptCount val="6"/>
                  <c:pt idx="0">
                    <c:v>0.15032412174727533</c:v>
                  </c:pt>
                  <c:pt idx="1">
                    <c:v>0.17002669502077125</c:v>
                  </c:pt>
                  <c:pt idx="2">
                    <c:v>0.20501537514658022</c:v>
                  </c:pt>
                  <c:pt idx="3">
                    <c:v>0.16232364529066043</c:v>
                  </c:pt>
                  <c:pt idx="4">
                    <c:v>0.14527940528642655</c:v>
                  </c:pt>
                  <c:pt idx="5">
                    <c:v>0</c:v>
                  </c:pt>
                </c:numCache>
              </c:numRef>
            </c:plus>
            <c:minus>
              <c:numRef>
                <c:f>'Plots for injection pts'!$AN$30:$AN$35</c:f>
                <c:numCache>
                  <c:formatCode>General</c:formatCode>
                  <c:ptCount val="6"/>
                  <c:pt idx="0">
                    <c:v>0.15032412174727533</c:v>
                  </c:pt>
                  <c:pt idx="1">
                    <c:v>0.17002669502077125</c:v>
                  </c:pt>
                  <c:pt idx="2">
                    <c:v>0.20501537514658022</c:v>
                  </c:pt>
                  <c:pt idx="3">
                    <c:v>0.16232364529066043</c:v>
                  </c:pt>
                  <c:pt idx="4">
                    <c:v>0.14527940528642655</c:v>
                  </c:pt>
                  <c:pt idx="5">
                    <c:v>0</c:v>
                  </c:pt>
                </c:numCache>
              </c:numRef>
            </c:minus>
            <c:spPr>
              <a:noFill/>
              <a:ln w="9525" cap="flat" cmpd="sng" algn="ctr">
                <a:solidFill>
                  <a:schemeClr val="tx1">
                    <a:lumMod val="65000"/>
                    <a:lumOff val="35000"/>
                  </a:schemeClr>
                </a:solidFill>
                <a:round/>
              </a:ln>
              <a:effectLst/>
            </c:spPr>
          </c:errBars>
          <c:xVal>
            <c:numRef>
              <c:f>'Plots for injection pts'!$AK$30:$AK$35</c:f>
              <c:numCache>
                <c:formatCode>General</c:formatCode>
                <c:ptCount val="6"/>
                <c:pt idx="0">
                  <c:v>0.43999999999999995</c:v>
                </c:pt>
                <c:pt idx="1">
                  <c:v>0.57799999999999996</c:v>
                </c:pt>
                <c:pt idx="2">
                  <c:v>0.69250000000000012</c:v>
                </c:pt>
                <c:pt idx="3">
                  <c:v>0.81500000000000006</c:v>
                </c:pt>
                <c:pt idx="4">
                  <c:v>1.4799999999999998</c:v>
                </c:pt>
                <c:pt idx="5">
                  <c:v>1.67</c:v>
                </c:pt>
              </c:numCache>
            </c:numRef>
          </c:xVal>
          <c:yVal>
            <c:numRef>
              <c:f>'Plots for injection pts'!$AM$30:$AM$35</c:f>
              <c:numCache>
                <c:formatCode>General</c:formatCode>
                <c:ptCount val="6"/>
                <c:pt idx="0">
                  <c:v>0.86283043197936815</c:v>
                </c:pt>
                <c:pt idx="1">
                  <c:v>0.70199909258045001</c:v>
                </c:pt>
                <c:pt idx="2">
                  <c:v>0.5487293099057805</c:v>
                </c:pt>
                <c:pt idx="3">
                  <c:v>0.61016877267513958</c:v>
                </c:pt>
                <c:pt idx="4">
                  <c:v>0.30718236928647163</c:v>
                </c:pt>
                <c:pt idx="5">
                  <c:v>0.19161676646706588</c:v>
                </c:pt>
              </c:numCache>
            </c:numRef>
          </c:yVal>
          <c:smooth val="0"/>
          <c:extLst>
            <c:ext xmlns:c16="http://schemas.microsoft.com/office/drawing/2014/chart" uri="{C3380CC4-5D6E-409C-BE32-E72D297353CC}">
              <c16:uniqueId val="{00000000-EC29-4094-8E2F-FDDBB9D3549A}"/>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for all annealing times averaged</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2"/>
          <c:order val="0"/>
          <c:spPr>
            <a:ln w="25400" cap="rnd">
              <a:noFill/>
              <a:round/>
            </a:ln>
            <a:effectLst/>
          </c:spPr>
          <c:marker>
            <c:symbol val="circle"/>
            <c:size val="5"/>
            <c:spPr>
              <a:solidFill>
                <a:schemeClr val="tx1"/>
              </a:solidFill>
              <a:ln w="25400">
                <a:solidFill>
                  <a:schemeClr val="tx1"/>
                </a:solidFill>
              </a:ln>
              <a:effectLst/>
            </c:spPr>
          </c:marker>
          <c:errBars>
            <c:errDir val="y"/>
            <c:errBarType val="both"/>
            <c:errValType val="cust"/>
            <c:noEndCap val="0"/>
            <c:plus>
              <c:numRef>
                <c:f>'Plots for injection pts'!$AR$22:$AR$24</c:f>
                <c:numCache>
                  <c:formatCode>General</c:formatCode>
                  <c:ptCount val="3"/>
                  <c:pt idx="0">
                    <c:v>0.21230699322382129</c:v>
                  </c:pt>
                  <c:pt idx="1">
                    <c:v>0.22106437602723322</c:v>
                  </c:pt>
                  <c:pt idx="2">
                    <c:v>0.27657882127847705</c:v>
                  </c:pt>
                </c:numCache>
              </c:numRef>
            </c:plus>
            <c:minus>
              <c:numRef>
                <c:f>'Plots for injection pts'!$AR$22:$AR$24</c:f>
                <c:numCache>
                  <c:formatCode>General</c:formatCode>
                  <c:ptCount val="3"/>
                  <c:pt idx="0">
                    <c:v>0.21230699322382129</c:v>
                  </c:pt>
                  <c:pt idx="1">
                    <c:v>0.22106437602723322</c:v>
                  </c:pt>
                  <c:pt idx="2">
                    <c:v>0.27657882127847705</c:v>
                  </c:pt>
                </c:numCache>
              </c:numRef>
            </c:minus>
            <c:spPr>
              <a:noFill/>
              <a:ln w="9525" cap="flat" cmpd="sng" algn="ctr">
                <a:solidFill>
                  <a:schemeClr val="tx1">
                    <a:lumMod val="65000"/>
                    <a:lumOff val="35000"/>
                  </a:schemeClr>
                </a:solidFill>
                <a:round/>
              </a:ln>
              <a:effectLst/>
            </c:spPr>
          </c:errBars>
          <c:xVal>
            <c:numRef>
              <c:f>'Plots for injection pts'!$AP$22:$AP$24</c:f>
              <c:numCache>
                <c:formatCode>General</c:formatCode>
                <c:ptCount val="3"/>
                <c:pt idx="0">
                  <c:v>0</c:v>
                </c:pt>
                <c:pt idx="1">
                  <c:v>30</c:v>
                </c:pt>
                <c:pt idx="2">
                  <c:v>60</c:v>
                </c:pt>
              </c:numCache>
            </c:numRef>
          </c:xVal>
          <c:yVal>
            <c:numRef>
              <c:f>'Plots for injection pts'!$AQ$22:$AQ$24</c:f>
              <c:numCache>
                <c:formatCode>General</c:formatCode>
                <c:ptCount val="3"/>
                <c:pt idx="0">
                  <c:v>0.64868821100207419</c:v>
                </c:pt>
                <c:pt idx="1">
                  <c:v>0.56018280123431718</c:v>
                </c:pt>
                <c:pt idx="2">
                  <c:v>0.50316654279195727</c:v>
                </c:pt>
              </c:numCache>
            </c:numRef>
          </c:yVal>
          <c:smooth val="0"/>
          <c:extLst>
            <c:ext xmlns:c16="http://schemas.microsoft.com/office/drawing/2014/chart" uri="{C3380CC4-5D6E-409C-BE32-E72D297353CC}">
              <c16:uniqueId val="{00000000-5B65-431A-9489-BBB6AEF14389}"/>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annealing</a:t>
                </a:r>
                <a:r>
                  <a:rPr lang="en-GB" sz="1600" baseline="0">
                    <a:solidFill>
                      <a:schemeClr val="tx1"/>
                    </a:solidFill>
                  </a:rPr>
                  <a:t> time</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ANNEALING NOT ACCOUNTED FOR 12 mm from injection</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4"/>
          <c:order val="0"/>
          <c:spPr>
            <a:ln w="25400" cap="rnd">
              <a:noFill/>
              <a:round/>
            </a:ln>
            <a:effectLst/>
          </c:spPr>
          <c:marker>
            <c:symbol val="triangle"/>
            <c:size val="5"/>
            <c:spPr>
              <a:solidFill>
                <a:schemeClr val="tx1"/>
              </a:solidFill>
              <a:ln w="25400">
                <a:solidFill>
                  <a:schemeClr val="tx1"/>
                </a:solidFill>
              </a:ln>
              <a:effectLst/>
            </c:spPr>
          </c:marker>
          <c:errBars>
            <c:errDir val="y"/>
            <c:errBarType val="both"/>
            <c:errValType val="cust"/>
            <c:noEndCap val="0"/>
            <c:plus>
              <c:numRef>
                <c:f>'Plots for injection pts'!$J$65:$J$69</c:f>
                <c:numCache>
                  <c:formatCode>General</c:formatCode>
                  <c:ptCount val="5"/>
                  <c:pt idx="0">
                    <c:v>0</c:v>
                  </c:pt>
                  <c:pt idx="1">
                    <c:v>0.14142135623730956</c:v>
                  </c:pt>
                  <c:pt idx="2">
                    <c:v>0.27452380916654184</c:v>
                  </c:pt>
                  <c:pt idx="3">
                    <c:v>0.27462480040791382</c:v>
                  </c:pt>
                  <c:pt idx="4">
                    <c:v>0.11839151015735136</c:v>
                  </c:pt>
                </c:numCache>
              </c:numRef>
            </c:plus>
            <c:minus>
              <c:numRef>
                <c:f>'Plots for injection pts'!$J$65:$J$69</c:f>
                <c:numCache>
                  <c:formatCode>General</c:formatCode>
                  <c:ptCount val="5"/>
                  <c:pt idx="0">
                    <c:v>0</c:v>
                  </c:pt>
                  <c:pt idx="1">
                    <c:v>0.14142135623730956</c:v>
                  </c:pt>
                  <c:pt idx="2">
                    <c:v>0.27452380916654184</c:v>
                  </c:pt>
                  <c:pt idx="3">
                    <c:v>0.27462480040791382</c:v>
                  </c:pt>
                  <c:pt idx="4">
                    <c:v>0.11839151015735136</c:v>
                  </c:pt>
                </c:numCache>
              </c:numRef>
            </c:minus>
            <c:spPr>
              <a:noFill/>
              <a:ln w="9525" cap="flat" cmpd="sng" algn="ctr">
                <a:solidFill>
                  <a:schemeClr val="tx1">
                    <a:lumMod val="65000"/>
                    <a:lumOff val="35000"/>
                  </a:schemeClr>
                </a:solidFill>
                <a:round/>
              </a:ln>
              <a:effectLst/>
            </c:spPr>
          </c:errBars>
          <c:errBars>
            <c:errDir val="x"/>
            <c:errBarType val="both"/>
            <c:errValType val="cust"/>
            <c:noEndCap val="0"/>
            <c:plus>
              <c:numRef>
                <c:f>'Plots for injection pts'!$H$65:$H$69</c:f>
                <c:numCache>
                  <c:formatCode>General</c:formatCode>
                  <c:ptCount val="5"/>
                  <c:pt idx="0">
                    <c:v>0.03</c:v>
                  </c:pt>
                  <c:pt idx="1">
                    <c:v>3.0840089349920986E-2</c:v>
                  </c:pt>
                  <c:pt idx="2">
                    <c:v>2.9860788111948165E-2</c:v>
                  </c:pt>
                  <c:pt idx="3">
                    <c:v>2.2973414586817006E-2</c:v>
                  </c:pt>
                  <c:pt idx="4">
                    <c:v>6.5659052011974015E-2</c:v>
                  </c:pt>
                </c:numCache>
              </c:numRef>
            </c:plus>
            <c:minus>
              <c:numRef>
                <c:f>'Plots for injection pts'!$H$65:$H$69</c:f>
                <c:numCache>
                  <c:formatCode>General</c:formatCode>
                  <c:ptCount val="5"/>
                  <c:pt idx="0">
                    <c:v>0.03</c:v>
                  </c:pt>
                  <c:pt idx="1">
                    <c:v>3.0840089349920986E-2</c:v>
                  </c:pt>
                  <c:pt idx="2">
                    <c:v>2.9860788111948165E-2</c:v>
                  </c:pt>
                  <c:pt idx="3">
                    <c:v>2.2973414586817006E-2</c:v>
                  </c:pt>
                  <c:pt idx="4">
                    <c:v>6.5659052011974015E-2</c:v>
                  </c:pt>
                </c:numCache>
              </c:numRef>
            </c:minus>
            <c:spPr>
              <a:noFill/>
              <a:ln w="9525" cap="flat" cmpd="sng" algn="ctr">
                <a:solidFill>
                  <a:schemeClr val="tx1">
                    <a:lumMod val="65000"/>
                    <a:lumOff val="35000"/>
                  </a:schemeClr>
                </a:solidFill>
                <a:round/>
              </a:ln>
              <a:effectLst/>
            </c:spPr>
          </c:errBars>
          <c:xVal>
            <c:numRef>
              <c:f>'Plots for injection pts'!$G$65:$G$69</c:f>
              <c:numCache>
                <c:formatCode>General</c:formatCode>
                <c:ptCount val="5"/>
                <c:pt idx="0">
                  <c:v>0.43999999999999995</c:v>
                </c:pt>
                <c:pt idx="1">
                  <c:v>0.57799999999999996</c:v>
                </c:pt>
                <c:pt idx="2">
                  <c:v>0.69250000000000012</c:v>
                </c:pt>
                <c:pt idx="3">
                  <c:v>0.81444444444444442</c:v>
                </c:pt>
                <c:pt idx="4">
                  <c:v>1.5011111111111111</c:v>
                </c:pt>
              </c:numCache>
            </c:numRef>
          </c:xVal>
          <c:yVal>
            <c:numRef>
              <c:f>'Plots for injection pts'!$I$65:$I$69</c:f>
              <c:numCache>
                <c:formatCode>General</c:formatCode>
                <c:ptCount val="5"/>
                <c:pt idx="0">
                  <c:v>0.7021276595744681</c:v>
                </c:pt>
                <c:pt idx="1">
                  <c:v>0.53333333333333333</c:v>
                </c:pt>
                <c:pt idx="2">
                  <c:v>0.39411764705882357</c:v>
                </c:pt>
                <c:pt idx="3">
                  <c:v>0.61082920532303431</c:v>
                </c:pt>
                <c:pt idx="4">
                  <c:v>0.29062962510353446</c:v>
                </c:pt>
              </c:numCache>
            </c:numRef>
          </c:yVal>
          <c:smooth val="0"/>
          <c:extLst>
            <c:ext xmlns:c16="http://schemas.microsoft.com/office/drawing/2014/chart" uri="{C3380CC4-5D6E-409C-BE32-E72D297353CC}">
              <c16:uniqueId val="{00000004-17FF-4E93-96EE-CD05C7C86129}"/>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ANNEALING NOT ACCOUNTED FOR 27 mm from injection</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4"/>
          <c:order val="0"/>
          <c:spPr>
            <a:ln w="25400" cap="rnd">
              <a:noFill/>
              <a:round/>
            </a:ln>
            <a:effectLst/>
          </c:spPr>
          <c:marker>
            <c:symbol val="triangle"/>
            <c:size val="5"/>
            <c:spPr>
              <a:solidFill>
                <a:schemeClr val="tx1"/>
              </a:solidFill>
              <a:ln w="25400">
                <a:solidFill>
                  <a:schemeClr val="tx1"/>
                </a:solidFill>
              </a:ln>
              <a:effectLst/>
            </c:spPr>
          </c:marker>
          <c:errBars>
            <c:errDir val="y"/>
            <c:errBarType val="both"/>
            <c:errValType val="cust"/>
            <c:noEndCap val="0"/>
            <c:plus>
              <c:numRef>
                <c:f>'Plots for injection pts'!$H$72:$H$76</c:f>
                <c:numCache>
                  <c:formatCode>General</c:formatCode>
                  <c:ptCount val="5"/>
                  <c:pt idx="0">
                    <c:v>0</c:v>
                  </c:pt>
                  <c:pt idx="1">
                    <c:v>9.7668867027769266E-2</c:v>
                  </c:pt>
                  <c:pt idx="2">
                    <c:v>2.1427478217773519E-3</c:v>
                  </c:pt>
                  <c:pt idx="3">
                    <c:v>1.9105629002858684E-2</c:v>
                  </c:pt>
                  <c:pt idx="4">
                    <c:v>0.17278456785422852</c:v>
                  </c:pt>
                </c:numCache>
              </c:numRef>
            </c:plus>
            <c:minus>
              <c:numRef>
                <c:f>'Plots for injection pts'!$H$72:$H$76</c:f>
                <c:numCache>
                  <c:formatCode>General</c:formatCode>
                  <c:ptCount val="5"/>
                  <c:pt idx="0">
                    <c:v>0</c:v>
                  </c:pt>
                  <c:pt idx="1">
                    <c:v>9.7668867027769266E-2</c:v>
                  </c:pt>
                  <c:pt idx="2">
                    <c:v>2.1427478217773519E-3</c:v>
                  </c:pt>
                  <c:pt idx="3">
                    <c:v>1.9105629002858684E-2</c:v>
                  </c:pt>
                  <c:pt idx="4">
                    <c:v>0.17278456785422852</c:v>
                  </c:pt>
                </c:numCache>
              </c:numRef>
            </c:minus>
            <c:spPr>
              <a:noFill/>
              <a:ln w="9525" cap="flat" cmpd="sng" algn="ctr">
                <a:solidFill>
                  <a:schemeClr val="tx1">
                    <a:lumMod val="65000"/>
                    <a:lumOff val="35000"/>
                  </a:schemeClr>
                </a:solidFill>
                <a:round/>
              </a:ln>
              <a:effectLst/>
            </c:spPr>
          </c:errBars>
          <c:errBars>
            <c:errDir val="x"/>
            <c:errBarType val="both"/>
            <c:errValType val="cust"/>
            <c:noEndCap val="0"/>
            <c:plus>
              <c:numRef>
                <c:f>'Plots for injection pts'!$H$65:$H$69</c:f>
                <c:numCache>
                  <c:formatCode>General</c:formatCode>
                  <c:ptCount val="5"/>
                  <c:pt idx="0">
                    <c:v>0.03</c:v>
                  </c:pt>
                  <c:pt idx="1">
                    <c:v>3.0840089349920986E-2</c:v>
                  </c:pt>
                  <c:pt idx="2">
                    <c:v>2.9860788111948165E-2</c:v>
                  </c:pt>
                  <c:pt idx="3">
                    <c:v>2.2973414586817006E-2</c:v>
                  </c:pt>
                  <c:pt idx="4">
                    <c:v>6.5659052011974015E-2</c:v>
                  </c:pt>
                </c:numCache>
              </c:numRef>
            </c:plus>
            <c:minus>
              <c:numRef>
                <c:f>'Plots for injection pts'!$H$65:$H$69</c:f>
                <c:numCache>
                  <c:formatCode>General</c:formatCode>
                  <c:ptCount val="5"/>
                  <c:pt idx="0">
                    <c:v>0.03</c:v>
                  </c:pt>
                  <c:pt idx="1">
                    <c:v>3.0840089349920986E-2</c:v>
                  </c:pt>
                  <c:pt idx="2">
                    <c:v>2.9860788111948165E-2</c:v>
                  </c:pt>
                  <c:pt idx="3">
                    <c:v>2.2973414586817006E-2</c:v>
                  </c:pt>
                  <c:pt idx="4">
                    <c:v>6.5659052011974015E-2</c:v>
                  </c:pt>
                </c:numCache>
              </c:numRef>
            </c:minus>
            <c:spPr>
              <a:noFill/>
              <a:ln w="9525" cap="flat" cmpd="sng" algn="ctr">
                <a:solidFill>
                  <a:schemeClr val="tx1">
                    <a:lumMod val="65000"/>
                    <a:lumOff val="35000"/>
                  </a:schemeClr>
                </a:solidFill>
                <a:round/>
              </a:ln>
              <a:effectLst/>
            </c:spPr>
          </c:errBars>
          <c:xVal>
            <c:numRef>
              <c:f>'Plots for injection pts'!$G$65:$G$69</c:f>
              <c:numCache>
                <c:formatCode>General</c:formatCode>
                <c:ptCount val="5"/>
                <c:pt idx="0">
                  <c:v>0.43999999999999995</c:v>
                </c:pt>
                <c:pt idx="1">
                  <c:v>0.57799999999999996</c:v>
                </c:pt>
                <c:pt idx="2">
                  <c:v>0.69250000000000012</c:v>
                </c:pt>
                <c:pt idx="3">
                  <c:v>0.81444444444444442</c:v>
                </c:pt>
                <c:pt idx="4">
                  <c:v>1.5011111111111111</c:v>
                </c:pt>
              </c:numCache>
            </c:numRef>
          </c:xVal>
          <c:yVal>
            <c:numRef>
              <c:f>'Plots for injection pts'!$G$72:$G$76</c:f>
              <c:numCache>
                <c:formatCode>General</c:formatCode>
                <c:ptCount val="5"/>
                <c:pt idx="0">
                  <c:v>0.88636363636363646</c:v>
                </c:pt>
                <c:pt idx="1">
                  <c:v>0.62999216526335611</c:v>
                </c:pt>
                <c:pt idx="2">
                  <c:v>0.69848484848484849</c:v>
                </c:pt>
                <c:pt idx="3">
                  <c:v>0.58046519893909443</c:v>
                </c:pt>
                <c:pt idx="4">
                  <c:v>0.29325854022397618</c:v>
                </c:pt>
              </c:numCache>
            </c:numRef>
          </c:yVal>
          <c:smooth val="0"/>
          <c:extLst>
            <c:ext xmlns:c16="http://schemas.microsoft.com/office/drawing/2014/chart" uri="{C3380CC4-5D6E-409C-BE32-E72D297353CC}">
              <c16:uniqueId val="{00000000-C97C-4088-AE77-DAD4FCDE1FC7}"/>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ANNEALING NOT ACCOUNTED FOR 42 mm from injection</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4"/>
          <c:order val="0"/>
          <c:spPr>
            <a:ln w="25400" cap="rnd">
              <a:noFill/>
              <a:round/>
            </a:ln>
            <a:effectLst/>
          </c:spPr>
          <c:marker>
            <c:symbol val="triangle"/>
            <c:size val="5"/>
            <c:spPr>
              <a:solidFill>
                <a:schemeClr val="tx1"/>
              </a:solidFill>
              <a:ln w="25400">
                <a:solidFill>
                  <a:schemeClr val="tx1"/>
                </a:solidFill>
              </a:ln>
              <a:effectLst/>
            </c:spPr>
          </c:marker>
          <c:errBars>
            <c:errDir val="y"/>
            <c:errBarType val="both"/>
            <c:errValType val="cust"/>
            <c:noEndCap val="0"/>
            <c:plus>
              <c:numRef>
                <c:f>'Plots for injection pts'!$H$79:$H$82</c:f>
                <c:numCache>
                  <c:formatCode>General</c:formatCode>
                  <c:ptCount val="4"/>
                  <c:pt idx="0">
                    <c:v>0</c:v>
                  </c:pt>
                  <c:pt idx="1">
                    <c:v>0.14782781782598731</c:v>
                  </c:pt>
                  <c:pt idx="2">
                    <c:v>5.0066716780182263E-2</c:v>
                  </c:pt>
                  <c:pt idx="3">
                    <c:v>0.18941786514809836</c:v>
                  </c:pt>
                </c:numCache>
              </c:numRef>
            </c:plus>
            <c:minus>
              <c:numRef>
                <c:f>'Plots for injection pts'!$H$79:$H$82</c:f>
                <c:numCache>
                  <c:formatCode>General</c:formatCode>
                  <c:ptCount val="4"/>
                  <c:pt idx="0">
                    <c:v>0</c:v>
                  </c:pt>
                  <c:pt idx="1">
                    <c:v>0.14782781782598731</c:v>
                  </c:pt>
                  <c:pt idx="2">
                    <c:v>5.0066716780182263E-2</c:v>
                  </c:pt>
                  <c:pt idx="3">
                    <c:v>0.18941786514809836</c:v>
                  </c:pt>
                </c:numCache>
              </c:numRef>
            </c:minus>
            <c:spPr>
              <a:noFill/>
              <a:ln w="9525" cap="flat" cmpd="sng" algn="ctr">
                <a:solidFill>
                  <a:schemeClr val="tx1">
                    <a:lumMod val="65000"/>
                    <a:lumOff val="35000"/>
                  </a:schemeClr>
                </a:solidFill>
                <a:round/>
              </a:ln>
              <a:effectLst/>
            </c:spPr>
          </c:errBars>
          <c:errBars>
            <c:errDir val="x"/>
            <c:errBarType val="both"/>
            <c:errValType val="cust"/>
            <c:noEndCap val="0"/>
            <c:plus>
              <c:numRef>
                <c:f>'Plots for injection pts'!$J$79:$J$82</c:f>
                <c:numCache>
                  <c:formatCode>General</c:formatCode>
                  <c:ptCount val="4"/>
                  <c:pt idx="0">
                    <c:v>0.03</c:v>
                  </c:pt>
                  <c:pt idx="1">
                    <c:v>3.0840089349920986E-2</c:v>
                  </c:pt>
                  <c:pt idx="2">
                    <c:v>2.2973414586817006E-2</c:v>
                  </c:pt>
                  <c:pt idx="3">
                    <c:v>6.5659052011974015E-2</c:v>
                  </c:pt>
                </c:numCache>
              </c:numRef>
            </c:plus>
            <c:minus>
              <c:numRef>
                <c:f>'Plots for injection pts'!$J$79:$J$82</c:f>
                <c:numCache>
                  <c:formatCode>General</c:formatCode>
                  <c:ptCount val="4"/>
                  <c:pt idx="0">
                    <c:v>0.03</c:v>
                  </c:pt>
                  <c:pt idx="1">
                    <c:v>3.0840089349920986E-2</c:v>
                  </c:pt>
                  <c:pt idx="2">
                    <c:v>2.2973414586817006E-2</c:v>
                  </c:pt>
                  <c:pt idx="3">
                    <c:v>6.5659052011974015E-2</c:v>
                  </c:pt>
                </c:numCache>
              </c:numRef>
            </c:minus>
            <c:spPr>
              <a:noFill/>
              <a:ln w="9525" cap="flat" cmpd="sng" algn="ctr">
                <a:solidFill>
                  <a:schemeClr val="tx1">
                    <a:lumMod val="65000"/>
                    <a:lumOff val="35000"/>
                  </a:schemeClr>
                </a:solidFill>
                <a:round/>
              </a:ln>
              <a:effectLst/>
            </c:spPr>
          </c:errBars>
          <c:xVal>
            <c:numRef>
              <c:f>'Plots for injection pts'!$I$79:$I$82</c:f>
              <c:numCache>
                <c:formatCode>General</c:formatCode>
                <c:ptCount val="4"/>
                <c:pt idx="0">
                  <c:v>0.43999999999999995</c:v>
                </c:pt>
                <c:pt idx="1">
                  <c:v>0.57799999999999996</c:v>
                </c:pt>
                <c:pt idx="2">
                  <c:v>0.81444444444444442</c:v>
                </c:pt>
                <c:pt idx="3">
                  <c:v>1.5011111111111111</c:v>
                </c:pt>
              </c:numCache>
            </c:numRef>
          </c:xVal>
          <c:yVal>
            <c:numRef>
              <c:f>'Plots for injection pts'!$G$79:$G$82</c:f>
              <c:numCache>
                <c:formatCode>General</c:formatCode>
                <c:ptCount val="4"/>
                <c:pt idx="0">
                  <c:v>1</c:v>
                </c:pt>
                <c:pt idx="1">
                  <c:v>0.81266955266955276</c:v>
                </c:pt>
                <c:pt idx="2">
                  <c:v>0.63899176954732506</c:v>
                </c:pt>
                <c:pt idx="3">
                  <c:v>0.29913707492543568</c:v>
                </c:pt>
              </c:numCache>
            </c:numRef>
          </c:yVal>
          <c:smooth val="0"/>
          <c:extLst>
            <c:ext xmlns:c16="http://schemas.microsoft.com/office/drawing/2014/chart" uri="{C3380CC4-5D6E-409C-BE32-E72D297353CC}">
              <c16:uniqueId val="{00000000-F98E-45C1-AE9E-232A87377DB5}"/>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PARALLEL CUTS all thicknesses</a:t>
            </a:r>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2"/>
          <c:order val="0"/>
          <c:spPr>
            <a:ln w="25400" cap="rnd">
              <a:noFill/>
              <a:round/>
            </a:ln>
            <a:effectLst/>
          </c:spPr>
          <c:marker>
            <c:symbol val="circle"/>
            <c:size val="5"/>
            <c:spPr>
              <a:noFill/>
              <a:ln w="25400">
                <a:noFill/>
              </a:ln>
              <a:effectLst/>
            </c:spPr>
          </c:marker>
          <c:trendline>
            <c:spPr>
              <a:ln w="19050" cap="rnd">
                <a:solidFill>
                  <a:schemeClr val="tx1"/>
                </a:solidFill>
                <a:prstDash val="lgDash"/>
              </a:ln>
              <a:effectLst/>
            </c:spPr>
            <c:trendlineType val="linear"/>
            <c:dispRSqr val="1"/>
            <c:dispEq val="1"/>
            <c:trendlineLbl>
              <c:layout>
                <c:manualLayout>
                  <c:x val="5.7938718273620189E-2"/>
                  <c:y val="-0.28054947700747529"/>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'Plots for injection pts'!$F$2:$F$37</c:f>
              <c:numCache>
                <c:formatCode>General</c:formatCode>
                <c:ptCount val="36"/>
                <c:pt idx="0">
                  <c:v>0.84</c:v>
                </c:pt>
                <c:pt idx="1">
                  <c:v>0.82</c:v>
                </c:pt>
                <c:pt idx="2">
                  <c:v>0.83</c:v>
                </c:pt>
                <c:pt idx="3">
                  <c:v>0.47</c:v>
                </c:pt>
                <c:pt idx="4">
                  <c:v>0.6</c:v>
                </c:pt>
                <c:pt idx="5">
                  <c:v>0.6</c:v>
                </c:pt>
                <c:pt idx="6">
                  <c:v>0.68</c:v>
                </c:pt>
                <c:pt idx="7">
                  <c:v>1.47</c:v>
                </c:pt>
                <c:pt idx="8">
                  <c:v>1.47</c:v>
                </c:pt>
                <c:pt idx="9">
                  <c:v>0.84</c:v>
                </c:pt>
                <c:pt idx="10">
                  <c:v>0.73</c:v>
                </c:pt>
                <c:pt idx="11">
                  <c:v>1.67</c:v>
                </c:pt>
                <c:pt idx="12">
                  <c:v>0.81</c:v>
                </c:pt>
                <c:pt idx="13">
                  <c:v>0.77</c:v>
                </c:pt>
                <c:pt idx="14">
                  <c:v>0.83</c:v>
                </c:pt>
                <c:pt idx="15">
                  <c:v>0.44</c:v>
                </c:pt>
                <c:pt idx="16">
                  <c:v>0.56999999999999995</c:v>
                </c:pt>
                <c:pt idx="17">
                  <c:v>0.57999999999999996</c:v>
                </c:pt>
                <c:pt idx="18">
                  <c:v>0.61</c:v>
                </c:pt>
                <c:pt idx="19">
                  <c:v>1.51</c:v>
                </c:pt>
                <c:pt idx="20">
                  <c:v>1.5</c:v>
                </c:pt>
                <c:pt idx="21">
                  <c:v>0.7</c:v>
                </c:pt>
                <c:pt idx="22">
                  <c:v>0.66</c:v>
                </c:pt>
                <c:pt idx="23">
                  <c:v>1.46</c:v>
                </c:pt>
                <c:pt idx="24">
                  <c:v>0.8</c:v>
                </c:pt>
                <c:pt idx="25">
                  <c:v>0.81</c:v>
                </c:pt>
                <c:pt idx="26">
                  <c:v>0.8</c:v>
                </c:pt>
                <c:pt idx="27">
                  <c:v>0.41</c:v>
                </c:pt>
                <c:pt idx="28">
                  <c:v>0.54</c:v>
                </c:pt>
                <c:pt idx="29">
                  <c:v>0.55000000000000004</c:v>
                </c:pt>
                <c:pt idx="30">
                  <c:v>0.55000000000000004</c:v>
                </c:pt>
                <c:pt idx="31">
                  <c:v>1.46</c:v>
                </c:pt>
                <c:pt idx="32">
                  <c:v>1.48</c:v>
                </c:pt>
                <c:pt idx="33">
                  <c:v>0.63</c:v>
                </c:pt>
                <c:pt idx="34">
                  <c:v>0.55000000000000004</c:v>
                </c:pt>
                <c:pt idx="35">
                  <c:v>1.49</c:v>
                </c:pt>
              </c:numCache>
            </c:numRef>
          </c:xVal>
          <c:yVal>
            <c:numRef>
              <c:f>'Plots for injection pts'!$E$2:$E$37</c:f>
              <c:numCache>
                <c:formatCode>General</c:formatCode>
                <c:ptCount val="36"/>
                <c:pt idx="0">
                  <c:v>0.60714285714285721</c:v>
                </c:pt>
                <c:pt idx="1">
                  <c:v>0.40243902439024393</c:v>
                </c:pt>
                <c:pt idx="2">
                  <c:v>0.43373493975903615</c:v>
                </c:pt>
                <c:pt idx="3">
                  <c:v>0.7021276595744681</c:v>
                </c:pt>
                <c:pt idx="4">
                  <c:v>0.6333333333333333</c:v>
                </c:pt>
                <c:pt idx="5">
                  <c:v>0.43333333333333335</c:v>
                </c:pt>
                <c:pt idx="6">
                  <c:v>0.58823529411764708</c:v>
                </c:pt>
                <c:pt idx="7">
                  <c:v>0.25850340136054423</c:v>
                </c:pt>
                <c:pt idx="8">
                  <c:v>0.42176870748299322</c:v>
                </c:pt>
                <c:pt idx="9">
                  <c:v>1</c:v>
                </c:pt>
                <c:pt idx="10">
                  <c:v>0.2</c:v>
                </c:pt>
                <c:pt idx="11">
                  <c:v>0.19161676646706588</c:v>
                </c:pt>
                <c:pt idx="12">
                  <c:v>0.59259259259259256</c:v>
                </c:pt>
                <c:pt idx="13">
                  <c:v>0.55844155844155841</c:v>
                </c:pt>
                <c:pt idx="14">
                  <c:v>0.59036144578313254</c:v>
                </c:pt>
                <c:pt idx="15">
                  <c:v>0.88636363636363646</c:v>
                </c:pt>
                <c:pt idx="16">
                  <c:v>0.68421052631578938</c:v>
                </c:pt>
                <c:pt idx="17">
                  <c:v>0.51724137931034486</c:v>
                </c:pt>
                <c:pt idx="18">
                  <c:v>0.68852459016393441</c:v>
                </c:pt>
                <c:pt idx="19">
                  <c:v>0.41721854304635764</c:v>
                </c:pt>
                <c:pt idx="20">
                  <c:v>0.3666666666666667</c:v>
                </c:pt>
                <c:pt idx="21">
                  <c:v>0.7</c:v>
                </c:pt>
                <c:pt idx="22">
                  <c:v>0.69696969696969702</c:v>
                </c:pt>
                <c:pt idx="23">
                  <c:v>9.5890410958904104E-2</c:v>
                </c:pt>
                <c:pt idx="24">
                  <c:v>0.58749999999999991</c:v>
                </c:pt>
                <c:pt idx="25">
                  <c:v>0.64197530864197527</c:v>
                </c:pt>
                <c:pt idx="26">
                  <c:v>0.6875</c:v>
                </c:pt>
                <c:pt idx="27">
                  <c:v>1</c:v>
                </c:pt>
                <c:pt idx="28">
                  <c:v>0.94444444444444442</c:v>
                </c:pt>
                <c:pt idx="29">
                  <c:v>0.72727272727272729</c:v>
                </c:pt>
                <c:pt idx="30">
                  <c:v>0.70909090909090899</c:v>
                </c:pt>
                <c:pt idx="31">
                  <c:v>0.45205479452054792</c:v>
                </c:pt>
                <c:pt idx="32">
                  <c:v>0.35810810810810811</c:v>
                </c:pt>
                <c:pt idx="33">
                  <c:v>0.68253968253968256</c:v>
                </c:pt>
                <c:pt idx="34">
                  <c:v>1</c:v>
                </c:pt>
                <c:pt idx="35">
                  <c:v>8.7248322147651006E-2</c:v>
                </c:pt>
              </c:numCache>
            </c:numRef>
          </c:yVal>
          <c:smooth val="0"/>
          <c:extLst>
            <c:ext xmlns:c16="http://schemas.microsoft.com/office/drawing/2014/chart" uri="{C3380CC4-5D6E-409C-BE32-E72D297353CC}">
              <c16:uniqueId val="{00000003-71FE-4E0D-8F69-0DB7EAD4B30C}"/>
            </c:ext>
          </c:extLst>
        </c:ser>
        <c:ser>
          <c:idx val="0"/>
          <c:order val="1"/>
          <c:tx>
            <c:v>12 mm from injection point</c:v>
          </c:tx>
          <c:spPr>
            <a:ln w="25400" cap="rnd">
              <a:noFill/>
              <a:round/>
            </a:ln>
            <a:effectLst/>
          </c:spPr>
          <c:marker>
            <c:symbol val="circle"/>
            <c:size val="5"/>
            <c:spPr>
              <a:solidFill>
                <a:schemeClr val="tx1"/>
              </a:solidFill>
              <a:ln w="25400">
                <a:solidFill>
                  <a:schemeClr val="tx1"/>
                </a:solidFill>
              </a:ln>
              <a:effectLst/>
            </c:spPr>
          </c:marker>
          <c:xVal>
            <c:numRef>
              <c:f>'Plots for injection pts'!$F$2:$F$13</c:f>
              <c:numCache>
                <c:formatCode>General</c:formatCode>
                <c:ptCount val="12"/>
                <c:pt idx="0">
                  <c:v>0.84</c:v>
                </c:pt>
                <c:pt idx="1">
                  <c:v>0.82</c:v>
                </c:pt>
                <c:pt idx="2">
                  <c:v>0.83</c:v>
                </c:pt>
                <c:pt idx="3">
                  <c:v>0.47</c:v>
                </c:pt>
                <c:pt idx="4">
                  <c:v>0.6</c:v>
                </c:pt>
                <c:pt idx="5">
                  <c:v>0.6</c:v>
                </c:pt>
                <c:pt idx="6">
                  <c:v>0.68</c:v>
                </c:pt>
                <c:pt idx="7">
                  <c:v>1.47</c:v>
                </c:pt>
                <c:pt idx="8">
                  <c:v>1.47</c:v>
                </c:pt>
                <c:pt idx="9">
                  <c:v>0.84</c:v>
                </c:pt>
                <c:pt idx="10">
                  <c:v>0.73</c:v>
                </c:pt>
                <c:pt idx="11">
                  <c:v>1.67</c:v>
                </c:pt>
              </c:numCache>
            </c:numRef>
          </c:xVal>
          <c:yVal>
            <c:numRef>
              <c:f>'Plots for injection pts'!$E$2:$E$13</c:f>
              <c:numCache>
                <c:formatCode>General</c:formatCode>
                <c:ptCount val="12"/>
                <c:pt idx="0">
                  <c:v>0.60714285714285721</c:v>
                </c:pt>
                <c:pt idx="1">
                  <c:v>0.40243902439024393</c:v>
                </c:pt>
                <c:pt idx="2">
                  <c:v>0.43373493975903615</c:v>
                </c:pt>
                <c:pt idx="3">
                  <c:v>0.7021276595744681</c:v>
                </c:pt>
                <c:pt idx="4">
                  <c:v>0.6333333333333333</c:v>
                </c:pt>
                <c:pt idx="5">
                  <c:v>0.43333333333333335</c:v>
                </c:pt>
                <c:pt idx="6">
                  <c:v>0.58823529411764708</c:v>
                </c:pt>
                <c:pt idx="7">
                  <c:v>0.25850340136054423</c:v>
                </c:pt>
                <c:pt idx="8">
                  <c:v>0.42176870748299322</c:v>
                </c:pt>
                <c:pt idx="9">
                  <c:v>1</c:v>
                </c:pt>
                <c:pt idx="10">
                  <c:v>0.2</c:v>
                </c:pt>
                <c:pt idx="11">
                  <c:v>0.19161676646706588</c:v>
                </c:pt>
              </c:numCache>
            </c:numRef>
          </c:yVal>
          <c:smooth val="0"/>
          <c:extLst>
            <c:ext xmlns:c16="http://schemas.microsoft.com/office/drawing/2014/chart" uri="{C3380CC4-5D6E-409C-BE32-E72D297353CC}">
              <c16:uniqueId val="{00000009-71FE-4E0D-8F69-0DB7EAD4B30C}"/>
            </c:ext>
          </c:extLst>
        </c:ser>
        <c:ser>
          <c:idx val="1"/>
          <c:order val="2"/>
          <c:tx>
            <c:v>27 mm from injection point</c:v>
          </c:tx>
          <c:spPr>
            <a:ln w="25400" cap="rnd">
              <a:noFill/>
              <a:round/>
            </a:ln>
            <a:effectLst/>
          </c:spPr>
          <c:marker>
            <c:symbol val="circle"/>
            <c:size val="5"/>
            <c:spPr>
              <a:solidFill>
                <a:srgbClr val="FF0000"/>
              </a:solidFill>
              <a:ln w="25400">
                <a:solidFill>
                  <a:srgbClr val="FF0000"/>
                </a:solidFill>
              </a:ln>
              <a:effectLst/>
            </c:spPr>
          </c:marker>
          <c:xVal>
            <c:numRef>
              <c:f>'Plots for injection pts'!$F$14:$F$25</c:f>
              <c:numCache>
                <c:formatCode>General</c:formatCode>
                <c:ptCount val="12"/>
                <c:pt idx="0">
                  <c:v>0.81</c:v>
                </c:pt>
                <c:pt idx="1">
                  <c:v>0.77</c:v>
                </c:pt>
                <c:pt idx="2">
                  <c:v>0.83</c:v>
                </c:pt>
                <c:pt idx="3">
                  <c:v>0.44</c:v>
                </c:pt>
                <c:pt idx="4">
                  <c:v>0.56999999999999995</c:v>
                </c:pt>
                <c:pt idx="5">
                  <c:v>0.57999999999999996</c:v>
                </c:pt>
                <c:pt idx="6">
                  <c:v>0.61</c:v>
                </c:pt>
                <c:pt idx="7">
                  <c:v>1.51</c:v>
                </c:pt>
                <c:pt idx="8">
                  <c:v>1.5</c:v>
                </c:pt>
                <c:pt idx="9">
                  <c:v>0.7</c:v>
                </c:pt>
                <c:pt idx="10">
                  <c:v>0.66</c:v>
                </c:pt>
                <c:pt idx="11">
                  <c:v>1.46</c:v>
                </c:pt>
              </c:numCache>
            </c:numRef>
          </c:xVal>
          <c:yVal>
            <c:numRef>
              <c:f>'Plots for injection pts'!$E$14:$E$25</c:f>
              <c:numCache>
                <c:formatCode>General</c:formatCode>
                <c:ptCount val="12"/>
                <c:pt idx="0">
                  <c:v>0.59259259259259256</c:v>
                </c:pt>
                <c:pt idx="1">
                  <c:v>0.55844155844155841</c:v>
                </c:pt>
                <c:pt idx="2">
                  <c:v>0.59036144578313254</c:v>
                </c:pt>
                <c:pt idx="3">
                  <c:v>0.88636363636363646</c:v>
                </c:pt>
                <c:pt idx="4">
                  <c:v>0.68421052631578938</c:v>
                </c:pt>
                <c:pt idx="5">
                  <c:v>0.51724137931034486</c:v>
                </c:pt>
                <c:pt idx="6">
                  <c:v>0.68852459016393441</c:v>
                </c:pt>
                <c:pt idx="7">
                  <c:v>0.41721854304635764</c:v>
                </c:pt>
                <c:pt idx="8">
                  <c:v>0.3666666666666667</c:v>
                </c:pt>
                <c:pt idx="9">
                  <c:v>0.7</c:v>
                </c:pt>
                <c:pt idx="10">
                  <c:v>0.69696969696969702</c:v>
                </c:pt>
                <c:pt idx="11">
                  <c:v>9.5890410958904104E-2</c:v>
                </c:pt>
              </c:numCache>
            </c:numRef>
          </c:yVal>
          <c:smooth val="0"/>
          <c:extLst>
            <c:ext xmlns:c16="http://schemas.microsoft.com/office/drawing/2014/chart" uri="{C3380CC4-5D6E-409C-BE32-E72D297353CC}">
              <c16:uniqueId val="{0000000A-71FE-4E0D-8F69-0DB7EAD4B30C}"/>
            </c:ext>
          </c:extLst>
        </c:ser>
        <c:ser>
          <c:idx val="3"/>
          <c:order val="3"/>
          <c:tx>
            <c:v>42 mm from injection point</c:v>
          </c:tx>
          <c:spPr>
            <a:ln w="25400" cap="rnd">
              <a:noFill/>
              <a:round/>
            </a:ln>
            <a:effectLst/>
          </c:spPr>
          <c:marker>
            <c:symbol val="circle"/>
            <c:size val="5"/>
            <c:spPr>
              <a:solidFill>
                <a:srgbClr val="00B050"/>
              </a:solidFill>
              <a:ln w="25400">
                <a:solidFill>
                  <a:srgbClr val="00B050"/>
                </a:solidFill>
              </a:ln>
              <a:effectLst/>
            </c:spPr>
          </c:marker>
          <c:xVal>
            <c:numRef>
              <c:f>'Plots for injection pts'!$F$26:$F$37</c:f>
              <c:numCache>
                <c:formatCode>General</c:formatCode>
                <c:ptCount val="12"/>
                <c:pt idx="0">
                  <c:v>0.8</c:v>
                </c:pt>
                <c:pt idx="1">
                  <c:v>0.81</c:v>
                </c:pt>
                <c:pt idx="2">
                  <c:v>0.8</c:v>
                </c:pt>
                <c:pt idx="3">
                  <c:v>0.41</c:v>
                </c:pt>
                <c:pt idx="4">
                  <c:v>0.54</c:v>
                </c:pt>
                <c:pt idx="5">
                  <c:v>0.55000000000000004</c:v>
                </c:pt>
                <c:pt idx="6">
                  <c:v>0.55000000000000004</c:v>
                </c:pt>
                <c:pt idx="7">
                  <c:v>1.46</c:v>
                </c:pt>
                <c:pt idx="8">
                  <c:v>1.48</c:v>
                </c:pt>
                <c:pt idx="9">
                  <c:v>0.63</c:v>
                </c:pt>
                <c:pt idx="10">
                  <c:v>0.55000000000000004</c:v>
                </c:pt>
                <c:pt idx="11">
                  <c:v>1.49</c:v>
                </c:pt>
              </c:numCache>
            </c:numRef>
          </c:xVal>
          <c:yVal>
            <c:numRef>
              <c:f>'Plots for injection pts'!$E$26:$E$37</c:f>
              <c:numCache>
                <c:formatCode>General</c:formatCode>
                <c:ptCount val="12"/>
                <c:pt idx="0">
                  <c:v>0.58749999999999991</c:v>
                </c:pt>
                <c:pt idx="1">
                  <c:v>0.64197530864197527</c:v>
                </c:pt>
                <c:pt idx="2">
                  <c:v>0.6875</c:v>
                </c:pt>
                <c:pt idx="3">
                  <c:v>1</c:v>
                </c:pt>
                <c:pt idx="4">
                  <c:v>0.94444444444444442</c:v>
                </c:pt>
                <c:pt idx="5">
                  <c:v>0.72727272727272729</c:v>
                </c:pt>
                <c:pt idx="6">
                  <c:v>0.70909090909090899</c:v>
                </c:pt>
                <c:pt idx="7">
                  <c:v>0.45205479452054792</c:v>
                </c:pt>
                <c:pt idx="8">
                  <c:v>0.35810810810810811</c:v>
                </c:pt>
                <c:pt idx="9">
                  <c:v>0.68253968253968256</c:v>
                </c:pt>
                <c:pt idx="10">
                  <c:v>1</c:v>
                </c:pt>
                <c:pt idx="11">
                  <c:v>8.7248322147651006E-2</c:v>
                </c:pt>
              </c:numCache>
            </c:numRef>
          </c:yVal>
          <c:smooth val="0"/>
          <c:extLst>
            <c:ext xmlns:c16="http://schemas.microsoft.com/office/drawing/2014/chart" uri="{C3380CC4-5D6E-409C-BE32-E72D297353CC}">
              <c16:uniqueId val="{0000000B-71FE-4E0D-8F69-0DB7EAD4B30C}"/>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sample</a:t>
                </a:r>
                <a:r>
                  <a:rPr lang="en-GB" sz="1600" baseline="0"/>
                  <a:t> thickness</a:t>
                </a:r>
                <a:endParaRPr lang="en-GB" sz="1600"/>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skin</a:t>
                </a:r>
                <a:r>
                  <a:rPr lang="en-GB" sz="1600" baseline="0"/>
                  <a:t> fraction</a:t>
                </a:r>
                <a:endParaRPr lang="en-GB" sz="1600"/>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legend>
      <c:legendPos val="t"/>
      <c:legendEntry>
        <c:idx val="0"/>
        <c:delete val="1"/>
      </c:legendEntry>
      <c:legendEntry>
        <c:idx val="4"/>
        <c:delete val="1"/>
      </c:legendEntry>
      <c:layout>
        <c:manualLayout>
          <c:xMode val="edge"/>
          <c:yMode val="edge"/>
          <c:x val="9.3343118152291099E-2"/>
          <c:y val="7.0383583515701661E-2"/>
          <c:w val="0.1517233149060459"/>
          <c:h val="0.23231909238105569"/>
        </c:manualLayout>
      </c:layout>
      <c:overlay val="0"/>
      <c:spPr>
        <a:noFill/>
        <a:ln w="0">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Y-axis</a:t>
            </a:r>
            <a:r>
              <a:rPr lang="en-GB" baseline="0"/>
              <a:t> x-ray scan correlation between skin fraction and sample thickness</a:t>
            </a:r>
            <a:endParaRPr lang="en-GB"/>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2"/>
          <c:order val="0"/>
          <c:spPr>
            <a:ln w="25400" cap="rnd">
              <a:noFill/>
              <a:round/>
            </a:ln>
            <a:effectLst/>
          </c:spPr>
          <c:marker>
            <c:symbol val="circle"/>
            <c:size val="5"/>
            <c:spPr>
              <a:noFill/>
              <a:ln w="25400">
                <a:noFill/>
              </a:ln>
              <a:effectLst/>
            </c:spPr>
          </c:marker>
          <c:trendline>
            <c:spPr>
              <a:ln w="12700" cap="rnd">
                <a:solidFill>
                  <a:schemeClr val="tx1"/>
                </a:solidFill>
                <a:prstDash val="solid"/>
              </a:ln>
              <a:effectLst/>
            </c:spPr>
            <c:trendlineType val="linear"/>
            <c:dispRSqr val="1"/>
            <c:dispEq val="1"/>
            <c:trendlineLbl>
              <c:layout>
                <c:manualLayout>
                  <c:x val="5.159913294439894E-2"/>
                  <c:y val="-0.28681108913429515"/>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'Plots for injection pts'!$F$2:$F$37</c:f>
              <c:numCache>
                <c:formatCode>General</c:formatCode>
                <c:ptCount val="36"/>
                <c:pt idx="0">
                  <c:v>0.84</c:v>
                </c:pt>
                <c:pt idx="1">
                  <c:v>0.82</c:v>
                </c:pt>
                <c:pt idx="2">
                  <c:v>0.83</c:v>
                </c:pt>
                <c:pt idx="3">
                  <c:v>0.47</c:v>
                </c:pt>
                <c:pt idx="4">
                  <c:v>0.6</c:v>
                </c:pt>
                <c:pt idx="5">
                  <c:v>0.6</c:v>
                </c:pt>
                <c:pt idx="6">
                  <c:v>0.68</c:v>
                </c:pt>
                <c:pt idx="7">
                  <c:v>1.47</c:v>
                </c:pt>
                <c:pt idx="8">
                  <c:v>1.47</c:v>
                </c:pt>
                <c:pt idx="9">
                  <c:v>0.84</c:v>
                </c:pt>
                <c:pt idx="10">
                  <c:v>0.73</c:v>
                </c:pt>
                <c:pt idx="11">
                  <c:v>1.67</c:v>
                </c:pt>
                <c:pt idx="12">
                  <c:v>0.81</c:v>
                </c:pt>
                <c:pt idx="13">
                  <c:v>0.77</c:v>
                </c:pt>
                <c:pt idx="14">
                  <c:v>0.83</c:v>
                </c:pt>
                <c:pt idx="15">
                  <c:v>0.44</c:v>
                </c:pt>
                <c:pt idx="16">
                  <c:v>0.56999999999999995</c:v>
                </c:pt>
                <c:pt idx="17">
                  <c:v>0.57999999999999996</c:v>
                </c:pt>
                <c:pt idx="18">
                  <c:v>0.61</c:v>
                </c:pt>
                <c:pt idx="19">
                  <c:v>1.51</c:v>
                </c:pt>
                <c:pt idx="20">
                  <c:v>1.5</c:v>
                </c:pt>
                <c:pt idx="21">
                  <c:v>0.7</c:v>
                </c:pt>
                <c:pt idx="22">
                  <c:v>0.66</c:v>
                </c:pt>
                <c:pt idx="23">
                  <c:v>1.46</c:v>
                </c:pt>
                <c:pt idx="24">
                  <c:v>0.8</c:v>
                </c:pt>
                <c:pt idx="25">
                  <c:v>0.81</c:v>
                </c:pt>
                <c:pt idx="26">
                  <c:v>0.8</c:v>
                </c:pt>
                <c:pt idx="27">
                  <c:v>0.41</c:v>
                </c:pt>
                <c:pt idx="28">
                  <c:v>0.54</c:v>
                </c:pt>
                <c:pt idx="29">
                  <c:v>0.55000000000000004</c:v>
                </c:pt>
                <c:pt idx="30">
                  <c:v>0.55000000000000004</c:v>
                </c:pt>
                <c:pt idx="31">
                  <c:v>1.46</c:v>
                </c:pt>
                <c:pt idx="32">
                  <c:v>1.48</c:v>
                </c:pt>
                <c:pt idx="33">
                  <c:v>0.63</c:v>
                </c:pt>
                <c:pt idx="34">
                  <c:v>0.55000000000000004</c:v>
                </c:pt>
                <c:pt idx="35">
                  <c:v>1.49</c:v>
                </c:pt>
              </c:numCache>
            </c:numRef>
          </c:xVal>
          <c:yVal>
            <c:numRef>
              <c:f>'Plots for injection pts'!$E$2:$E$37</c:f>
              <c:numCache>
                <c:formatCode>General</c:formatCode>
                <c:ptCount val="36"/>
                <c:pt idx="0">
                  <c:v>0.60714285714285721</c:v>
                </c:pt>
                <c:pt idx="1">
                  <c:v>0.40243902439024393</c:v>
                </c:pt>
                <c:pt idx="2">
                  <c:v>0.43373493975903615</c:v>
                </c:pt>
                <c:pt idx="3">
                  <c:v>0.7021276595744681</c:v>
                </c:pt>
                <c:pt idx="4">
                  <c:v>0.6333333333333333</c:v>
                </c:pt>
                <c:pt idx="5">
                  <c:v>0.43333333333333335</c:v>
                </c:pt>
                <c:pt idx="6">
                  <c:v>0.58823529411764708</c:v>
                </c:pt>
                <c:pt idx="7">
                  <c:v>0.25850340136054423</c:v>
                </c:pt>
                <c:pt idx="8">
                  <c:v>0.42176870748299322</c:v>
                </c:pt>
                <c:pt idx="9">
                  <c:v>1</c:v>
                </c:pt>
                <c:pt idx="10">
                  <c:v>0.2</c:v>
                </c:pt>
                <c:pt idx="11">
                  <c:v>0.19161676646706588</c:v>
                </c:pt>
                <c:pt idx="12">
                  <c:v>0.59259259259259256</c:v>
                </c:pt>
                <c:pt idx="13">
                  <c:v>0.55844155844155841</c:v>
                </c:pt>
                <c:pt idx="14">
                  <c:v>0.59036144578313254</c:v>
                </c:pt>
                <c:pt idx="15">
                  <c:v>0.88636363636363646</c:v>
                </c:pt>
                <c:pt idx="16">
                  <c:v>0.68421052631578938</c:v>
                </c:pt>
                <c:pt idx="17">
                  <c:v>0.51724137931034486</c:v>
                </c:pt>
                <c:pt idx="18">
                  <c:v>0.68852459016393441</c:v>
                </c:pt>
                <c:pt idx="19">
                  <c:v>0.41721854304635764</c:v>
                </c:pt>
                <c:pt idx="20">
                  <c:v>0.3666666666666667</c:v>
                </c:pt>
                <c:pt idx="21">
                  <c:v>0.7</c:v>
                </c:pt>
                <c:pt idx="22">
                  <c:v>0.69696969696969702</c:v>
                </c:pt>
                <c:pt idx="23">
                  <c:v>9.5890410958904104E-2</c:v>
                </c:pt>
                <c:pt idx="24">
                  <c:v>0.58749999999999991</c:v>
                </c:pt>
                <c:pt idx="25">
                  <c:v>0.64197530864197527</c:v>
                </c:pt>
                <c:pt idx="26">
                  <c:v>0.6875</c:v>
                </c:pt>
                <c:pt idx="27">
                  <c:v>1</c:v>
                </c:pt>
                <c:pt idx="28">
                  <c:v>0.94444444444444442</c:v>
                </c:pt>
                <c:pt idx="29">
                  <c:v>0.72727272727272729</c:v>
                </c:pt>
                <c:pt idx="30">
                  <c:v>0.70909090909090899</c:v>
                </c:pt>
                <c:pt idx="31">
                  <c:v>0.45205479452054792</c:v>
                </c:pt>
                <c:pt idx="32">
                  <c:v>0.35810810810810811</c:v>
                </c:pt>
                <c:pt idx="33">
                  <c:v>0.68253968253968256</c:v>
                </c:pt>
                <c:pt idx="34">
                  <c:v>1</c:v>
                </c:pt>
                <c:pt idx="35">
                  <c:v>8.7248322147651006E-2</c:v>
                </c:pt>
              </c:numCache>
            </c:numRef>
          </c:yVal>
          <c:smooth val="0"/>
          <c:extLst>
            <c:ext xmlns:c16="http://schemas.microsoft.com/office/drawing/2014/chart" uri="{C3380CC4-5D6E-409C-BE32-E72D297353CC}">
              <c16:uniqueId val="{00000001-26A0-4EE2-BEA9-ADDCE54819F2}"/>
            </c:ext>
          </c:extLst>
        </c:ser>
        <c:ser>
          <c:idx val="0"/>
          <c:order val="1"/>
          <c:tx>
            <c:v>no annealing</c:v>
          </c:tx>
          <c:spPr>
            <a:ln w="25400" cap="rnd">
              <a:noFill/>
              <a:round/>
            </a:ln>
            <a:effectLst/>
          </c:spPr>
          <c:marker>
            <c:symbol val="circle"/>
            <c:size val="5"/>
            <c:spPr>
              <a:solidFill>
                <a:schemeClr val="tx1"/>
              </a:solidFill>
              <a:ln w="25400">
                <a:solidFill>
                  <a:schemeClr val="tx1"/>
                </a:solidFill>
              </a:ln>
              <a:effectLst/>
            </c:spPr>
          </c:marker>
          <c:xVal>
            <c:numRef>
              <c:f>'Plots for injection pts'!$L$42:$L$53</c:f>
              <c:numCache>
                <c:formatCode>General</c:formatCode>
                <c:ptCount val="12"/>
                <c:pt idx="0">
                  <c:v>0.47</c:v>
                </c:pt>
                <c:pt idx="1">
                  <c:v>1.47</c:v>
                </c:pt>
                <c:pt idx="2">
                  <c:v>0.6</c:v>
                </c:pt>
                <c:pt idx="3">
                  <c:v>0.84</c:v>
                </c:pt>
                <c:pt idx="4">
                  <c:v>0.81</c:v>
                </c:pt>
                <c:pt idx="5">
                  <c:v>0.44</c:v>
                </c:pt>
                <c:pt idx="6">
                  <c:v>0.56999999999999995</c:v>
                </c:pt>
                <c:pt idx="7">
                  <c:v>1.5</c:v>
                </c:pt>
                <c:pt idx="8">
                  <c:v>0.8</c:v>
                </c:pt>
                <c:pt idx="9">
                  <c:v>0.41</c:v>
                </c:pt>
                <c:pt idx="10">
                  <c:v>0.54</c:v>
                </c:pt>
                <c:pt idx="11">
                  <c:v>1.48</c:v>
                </c:pt>
              </c:numCache>
            </c:numRef>
          </c:xVal>
          <c:yVal>
            <c:numRef>
              <c:f>'Plots for injection pts'!$M$42:$M$53</c:f>
              <c:numCache>
                <c:formatCode>General</c:formatCode>
                <c:ptCount val="12"/>
                <c:pt idx="0">
                  <c:v>0.7021276595744681</c:v>
                </c:pt>
                <c:pt idx="1">
                  <c:v>0.42176870748299322</c:v>
                </c:pt>
                <c:pt idx="2">
                  <c:v>0.6333333333333333</c:v>
                </c:pt>
                <c:pt idx="3">
                  <c:v>0.60714285714285721</c:v>
                </c:pt>
                <c:pt idx="4">
                  <c:v>0.59259259259259256</c:v>
                </c:pt>
                <c:pt idx="5">
                  <c:v>0.88636363636363646</c:v>
                </c:pt>
                <c:pt idx="6">
                  <c:v>0.68421052631578938</c:v>
                </c:pt>
                <c:pt idx="7">
                  <c:v>0.3666666666666667</c:v>
                </c:pt>
                <c:pt idx="8">
                  <c:v>0.58749999999999991</c:v>
                </c:pt>
                <c:pt idx="9">
                  <c:v>1</c:v>
                </c:pt>
                <c:pt idx="10">
                  <c:v>0.94444444444444442</c:v>
                </c:pt>
                <c:pt idx="11">
                  <c:v>0.35810810810810811</c:v>
                </c:pt>
              </c:numCache>
            </c:numRef>
          </c:yVal>
          <c:smooth val="0"/>
          <c:extLst>
            <c:ext xmlns:c16="http://schemas.microsoft.com/office/drawing/2014/chart" uri="{C3380CC4-5D6E-409C-BE32-E72D297353CC}">
              <c16:uniqueId val="{00000002-26A0-4EE2-BEA9-ADDCE54819F2}"/>
            </c:ext>
          </c:extLst>
        </c:ser>
        <c:ser>
          <c:idx val="1"/>
          <c:order val="2"/>
          <c:tx>
            <c:v>30 min annealing</c:v>
          </c:tx>
          <c:spPr>
            <a:ln w="25400" cap="rnd">
              <a:noFill/>
              <a:round/>
            </a:ln>
            <a:effectLst/>
          </c:spPr>
          <c:marker>
            <c:symbol val="circle"/>
            <c:size val="5"/>
            <c:spPr>
              <a:solidFill>
                <a:srgbClr val="FF0000"/>
              </a:solidFill>
              <a:ln w="25400">
                <a:solidFill>
                  <a:srgbClr val="FF0000"/>
                </a:solidFill>
              </a:ln>
              <a:effectLst/>
            </c:spPr>
          </c:marker>
          <c:xVal>
            <c:numRef>
              <c:f>'Plots for injection pts'!$O$42:$O$53</c:f>
              <c:numCache>
                <c:formatCode>General</c:formatCode>
                <c:ptCount val="12"/>
                <c:pt idx="0">
                  <c:v>0.68</c:v>
                </c:pt>
                <c:pt idx="1">
                  <c:v>0.73</c:v>
                </c:pt>
                <c:pt idx="2">
                  <c:v>0.83</c:v>
                </c:pt>
                <c:pt idx="3">
                  <c:v>1.47</c:v>
                </c:pt>
                <c:pt idx="4">
                  <c:v>0.61</c:v>
                </c:pt>
                <c:pt idx="5">
                  <c:v>0.66</c:v>
                </c:pt>
                <c:pt idx="6">
                  <c:v>0.83</c:v>
                </c:pt>
                <c:pt idx="7">
                  <c:v>1.51</c:v>
                </c:pt>
                <c:pt idx="8">
                  <c:v>0.55000000000000004</c:v>
                </c:pt>
                <c:pt idx="9">
                  <c:v>0.55000000000000004</c:v>
                </c:pt>
                <c:pt idx="10">
                  <c:v>0.8</c:v>
                </c:pt>
                <c:pt idx="11">
                  <c:v>1.46</c:v>
                </c:pt>
              </c:numCache>
            </c:numRef>
          </c:xVal>
          <c:yVal>
            <c:numRef>
              <c:f>'Plots for injection pts'!$P$42:$P$53</c:f>
              <c:numCache>
                <c:formatCode>General</c:formatCode>
                <c:ptCount val="12"/>
                <c:pt idx="0">
                  <c:v>0.58823529411764708</c:v>
                </c:pt>
                <c:pt idx="1">
                  <c:v>0.2</c:v>
                </c:pt>
                <c:pt idx="2">
                  <c:v>0.43373493975903615</c:v>
                </c:pt>
                <c:pt idx="3">
                  <c:v>0.25850340136054423</c:v>
                </c:pt>
                <c:pt idx="4">
                  <c:v>0.68852459016393441</c:v>
                </c:pt>
                <c:pt idx="5">
                  <c:v>0.69696969696969702</c:v>
                </c:pt>
                <c:pt idx="6">
                  <c:v>0.59036144578313254</c:v>
                </c:pt>
                <c:pt idx="7">
                  <c:v>0.41721854304635764</c:v>
                </c:pt>
                <c:pt idx="8">
                  <c:v>1</c:v>
                </c:pt>
                <c:pt idx="9">
                  <c:v>0.70909090909090899</c:v>
                </c:pt>
                <c:pt idx="10">
                  <c:v>0.6875</c:v>
                </c:pt>
                <c:pt idx="11">
                  <c:v>0.45205479452054792</c:v>
                </c:pt>
              </c:numCache>
            </c:numRef>
          </c:yVal>
          <c:smooth val="0"/>
          <c:extLst>
            <c:ext xmlns:c16="http://schemas.microsoft.com/office/drawing/2014/chart" uri="{C3380CC4-5D6E-409C-BE32-E72D297353CC}">
              <c16:uniqueId val="{00000003-26A0-4EE2-BEA9-ADDCE54819F2}"/>
            </c:ext>
          </c:extLst>
        </c:ser>
        <c:ser>
          <c:idx val="3"/>
          <c:order val="3"/>
          <c:tx>
            <c:v>60 min annealing</c:v>
          </c:tx>
          <c:spPr>
            <a:ln w="25400" cap="rnd">
              <a:noFill/>
              <a:round/>
            </a:ln>
            <a:effectLst/>
          </c:spPr>
          <c:marker>
            <c:symbol val="circle"/>
            <c:size val="5"/>
            <c:spPr>
              <a:solidFill>
                <a:srgbClr val="00B050"/>
              </a:solidFill>
              <a:ln w="25400">
                <a:solidFill>
                  <a:srgbClr val="00B050"/>
                </a:solidFill>
              </a:ln>
              <a:effectLst/>
            </c:spPr>
          </c:marker>
          <c:xVal>
            <c:numRef>
              <c:f>'Plots for injection pts'!$R$42:$R$53</c:f>
              <c:numCache>
                <c:formatCode>General</c:formatCode>
                <c:ptCount val="12"/>
                <c:pt idx="0">
                  <c:v>0.6</c:v>
                </c:pt>
                <c:pt idx="1">
                  <c:v>0.82</c:v>
                </c:pt>
                <c:pt idx="2">
                  <c:v>0.84</c:v>
                </c:pt>
                <c:pt idx="3">
                  <c:v>1.67</c:v>
                </c:pt>
                <c:pt idx="4">
                  <c:v>0.57999999999999996</c:v>
                </c:pt>
                <c:pt idx="5">
                  <c:v>0.7</c:v>
                </c:pt>
                <c:pt idx="6">
                  <c:v>0.77</c:v>
                </c:pt>
                <c:pt idx="7">
                  <c:v>1.46</c:v>
                </c:pt>
                <c:pt idx="8">
                  <c:v>0.55000000000000004</c:v>
                </c:pt>
                <c:pt idx="9">
                  <c:v>0.63</c:v>
                </c:pt>
                <c:pt idx="10">
                  <c:v>0.81</c:v>
                </c:pt>
                <c:pt idx="11">
                  <c:v>1.49</c:v>
                </c:pt>
              </c:numCache>
            </c:numRef>
          </c:xVal>
          <c:yVal>
            <c:numRef>
              <c:f>'Plots for injection pts'!$S$42:$S$53</c:f>
              <c:numCache>
                <c:formatCode>General</c:formatCode>
                <c:ptCount val="12"/>
                <c:pt idx="0">
                  <c:v>0.43333333333333335</c:v>
                </c:pt>
                <c:pt idx="1">
                  <c:v>0.40243902439024393</c:v>
                </c:pt>
                <c:pt idx="2">
                  <c:v>1</c:v>
                </c:pt>
                <c:pt idx="3">
                  <c:v>0.19161676646706588</c:v>
                </c:pt>
                <c:pt idx="4">
                  <c:v>0.51724137931034486</c:v>
                </c:pt>
                <c:pt idx="5">
                  <c:v>0.7</c:v>
                </c:pt>
                <c:pt idx="6">
                  <c:v>0.55844155844155841</c:v>
                </c:pt>
                <c:pt idx="7">
                  <c:v>9.5890410958904104E-2</c:v>
                </c:pt>
                <c:pt idx="8">
                  <c:v>0.72727272727272729</c:v>
                </c:pt>
                <c:pt idx="9">
                  <c:v>0.68253968253968256</c:v>
                </c:pt>
                <c:pt idx="10">
                  <c:v>0.64197530864197527</c:v>
                </c:pt>
                <c:pt idx="11">
                  <c:v>8.7248322147651006E-2</c:v>
                </c:pt>
              </c:numCache>
            </c:numRef>
          </c:yVal>
          <c:smooth val="0"/>
          <c:extLst>
            <c:ext xmlns:c16="http://schemas.microsoft.com/office/drawing/2014/chart" uri="{C3380CC4-5D6E-409C-BE32-E72D297353CC}">
              <c16:uniqueId val="{00000004-26A0-4EE2-BEA9-ADDCE54819F2}"/>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Sample</a:t>
                </a:r>
                <a:r>
                  <a:rPr lang="en-GB" sz="1600" baseline="0"/>
                  <a:t> thickness</a:t>
                </a:r>
                <a:endParaRPr lang="en-GB" sz="1600"/>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Skin</a:t>
                </a:r>
                <a:r>
                  <a:rPr lang="en-GB" sz="1600" baseline="0"/>
                  <a:t> fraction</a:t>
                </a:r>
                <a:endParaRPr lang="en-GB" sz="1600"/>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legend>
      <c:legendPos val="t"/>
      <c:legendEntry>
        <c:idx val="0"/>
        <c:delete val="1"/>
      </c:legendEntry>
      <c:legendEntry>
        <c:idx val="4"/>
        <c:delete val="1"/>
      </c:legendEntry>
      <c:layout>
        <c:manualLayout>
          <c:xMode val="edge"/>
          <c:yMode val="edge"/>
          <c:x val="9.9681039756297871E-2"/>
          <c:y val="0.52881104008198088"/>
          <c:w val="0.1517233149060459"/>
          <c:h val="0.23231909238105569"/>
        </c:manualLayout>
      </c:layout>
      <c:overlay val="0"/>
      <c:spPr>
        <a:noFill/>
        <a:ln w="0">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X-axis</a:t>
            </a:r>
            <a:r>
              <a:rPr lang="en-GB" baseline="0"/>
              <a:t> x-ray scan correlation between skin fraction and sample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noFill/>
              <a:ln w="9525">
                <a:noFill/>
              </a:ln>
              <a:effectLst/>
            </c:spPr>
          </c:marker>
          <c:trendline>
            <c:spPr>
              <a:ln w="12700" cap="rnd">
                <a:solidFill>
                  <a:schemeClr val="tx1"/>
                </a:solidFill>
                <a:prstDash val="solid"/>
              </a:ln>
              <a:effectLst/>
            </c:spPr>
            <c:trendlineType val="linear"/>
            <c:dispRSqr val="1"/>
            <c:dispEq val="1"/>
            <c:trendlineLbl>
              <c:layout>
                <c:manualLayout>
                  <c:x val="1.2290856576169072E-2"/>
                  <c:y val="8.1817107143224266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'estimates new'!$AT$3:$AT$14</c:f>
              <c:numCache>
                <c:formatCode>General</c:formatCode>
                <c:ptCount val="12"/>
                <c:pt idx="0">
                  <c:v>0.82</c:v>
                </c:pt>
                <c:pt idx="1">
                  <c:v>0.78</c:v>
                </c:pt>
                <c:pt idx="2">
                  <c:v>0.81</c:v>
                </c:pt>
                <c:pt idx="3">
                  <c:v>0.43</c:v>
                </c:pt>
                <c:pt idx="4">
                  <c:v>0.65</c:v>
                </c:pt>
                <c:pt idx="5">
                  <c:v>0.55000000000000004</c:v>
                </c:pt>
                <c:pt idx="6">
                  <c:v>0.59</c:v>
                </c:pt>
                <c:pt idx="7">
                  <c:v>0.55000000000000004</c:v>
                </c:pt>
                <c:pt idx="8">
                  <c:v>0.6</c:v>
                </c:pt>
                <c:pt idx="9">
                  <c:v>1.47</c:v>
                </c:pt>
                <c:pt idx="10">
                  <c:v>1.45</c:v>
                </c:pt>
                <c:pt idx="11">
                  <c:v>1.43</c:v>
                </c:pt>
              </c:numCache>
            </c:numRef>
          </c:xVal>
          <c:yVal>
            <c:numRef>
              <c:f>'estimates new'!$AR$3:$AR$14</c:f>
              <c:numCache>
                <c:formatCode>General</c:formatCode>
                <c:ptCount val="12"/>
                <c:pt idx="0">
                  <c:v>0.58536585365853666</c:v>
                </c:pt>
                <c:pt idx="1">
                  <c:v>0.65384615384615385</c:v>
                </c:pt>
                <c:pt idx="2">
                  <c:v>0.7407407407407407</c:v>
                </c:pt>
                <c:pt idx="3">
                  <c:v>0.51162790697674421</c:v>
                </c:pt>
                <c:pt idx="4">
                  <c:v>0.64615384615384619</c:v>
                </c:pt>
                <c:pt idx="5">
                  <c:v>0.72727272727272729</c:v>
                </c:pt>
                <c:pt idx="6">
                  <c:v>0.76271186440677963</c:v>
                </c:pt>
                <c:pt idx="7">
                  <c:v>0.8</c:v>
                </c:pt>
                <c:pt idx="8">
                  <c:v>0.68333333333333335</c:v>
                </c:pt>
                <c:pt idx="9">
                  <c:v>0.53741496598639449</c:v>
                </c:pt>
                <c:pt idx="10">
                  <c:v>0.37241379310344824</c:v>
                </c:pt>
                <c:pt idx="11">
                  <c:v>9.7902097902097904E-2</c:v>
                </c:pt>
              </c:numCache>
            </c:numRef>
          </c:yVal>
          <c:smooth val="0"/>
          <c:extLst>
            <c:ext xmlns:c16="http://schemas.microsoft.com/office/drawing/2014/chart" uri="{C3380CC4-5D6E-409C-BE32-E72D297353CC}">
              <c16:uniqueId val="{00000001-4D7E-4E81-9BA7-FD95EACE37F3}"/>
            </c:ext>
          </c:extLst>
        </c:ser>
        <c:ser>
          <c:idx val="1"/>
          <c:order val="1"/>
          <c:tx>
            <c:v>no annealing</c:v>
          </c:tx>
          <c:spPr>
            <a:ln w="25400" cap="rnd">
              <a:noFill/>
              <a:round/>
            </a:ln>
            <a:effectLst/>
          </c:spPr>
          <c:marker>
            <c:symbol val="circle"/>
            <c:size val="5"/>
            <c:spPr>
              <a:solidFill>
                <a:schemeClr val="tx1"/>
              </a:solidFill>
              <a:ln w="25400">
                <a:solidFill>
                  <a:schemeClr val="tx1"/>
                </a:solidFill>
              </a:ln>
              <a:effectLst/>
            </c:spPr>
          </c:marker>
          <c:xVal>
            <c:numRef>
              <c:f>'estimates new'!$BD$39:$BD$42</c:f>
              <c:numCache>
                <c:formatCode>General</c:formatCode>
                <c:ptCount val="4"/>
                <c:pt idx="0">
                  <c:v>0.82</c:v>
                </c:pt>
                <c:pt idx="1">
                  <c:v>0.43</c:v>
                </c:pt>
                <c:pt idx="2">
                  <c:v>0.59</c:v>
                </c:pt>
                <c:pt idx="3">
                  <c:v>1.45</c:v>
                </c:pt>
              </c:numCache>
            </c:numRef>
          </c:xVal>
          <c:yVal>
            <c:numRef>
              <c:f>'estimates new'!$BB$39:$BB$42</c:f>
              <c:numCache>
                <c:formatCode>General</c:formatCode>
                <c:ptCount val="4"/>
                <c:pt idx="0">
                  <c:v>0.58536585365853666</c:v>
                </c:pt>
                <c:pt idx="1">
                  <c:v>0.51162790697674421</c:v>
                </c:pt>
                <c:pt idx="2">
                  <c:v>0.76271186440677963</c:v>
                </c:pt>
                <c:pt idx="3">
                  <c:v>0.37241379310344824</c:v>
                </c:pt>
              </c:numCache>
            </c:numRef>
          </c:yVal>
          <c:smooth val="0"/>
          <c:extLst>
            <c:ext xmlns:c16="http://schemas.microsoft.com/office/drawing/2014/chart" uri="{C3380CC4-5D6E-409C-BE32-E72D297353CC}">
              <c16:uniqueId val="{00000002-4D7E-4E81-9BA7-FD95EACE37F3}"/>
            </c:ext>
          </c:extLst>
        </c:ser>
        <c:ser>
          <c:idx val="2"/>
          <c:order val="2"/>
          <c:tx>
            <c:v>30 min annealing</c:v>
          </c:tx>
          <c:spPr>
            <a:ln w="25400" cap="rnd">
              <a:noFill/>
              <a:round/>
            </a:ln>
            <a:effectLst/>
          </c:spPr>
          <c:marker>
            <c:symbol val="circle"/>
            <c:size val="5"/>
            <c:spPr>
              <a:solidFill>
                <a:srgbClr val="FF0000"/>
              </a:solidFill>
              <a:ln w="25400">
                <a:solidFill>
                  <a:srgbClr val="FF0000"/>
                </a:solidFill>
              </a:ln>
              <a:effectLst/>
            </c:spPr>
          </c:marker>
          <c:xVal>
            <c:numRef>
              <c:f>'estimates new'!$BD$44:$BD$47</c:f>
              <c:numCache>
                <c:formatCode>General</c:formatCode>
                <c:ptCount val="4"/>
                <c:pt idx="0">
                  <c:v>0.81</c:v>
                </c:pt>
                <c:pt idx="1">
                  <c:v>0.55000000000000004</c:v>
                </c:pt>
                <c:pt idx="2">
                  <c:v>0.6</c:v>
                </c:pt>
                <c:pt idx="3">
                  <c:v>1.47</c:v>
                </c:pt>
              </c:numCache>
            </c:numRef>
          </c:xVal>
          <c:yVal>
            <c:numRef>
              <c:f>'estimates new'!$BB$44:$BB$47</c:f>
              <c:numCache>
                <c:formatCode>General</c:formatCode>
                <c:ptCount val="4"/>
                <c:pt idx="0">
                  <c:v>0.7407407407407407</c:v>
                </c:pt>
                <c:pt idx="1">
                  <c:v>0.72727272727272729</c:v>
                </c:pt>
                <c:pt idx="2">
                  <c:v>0.68333333333333335</c:v>
                </c:pt>
                <c:pt idx="3">
                  <c:v>0.53741496598639449</c:v>
                </c:pt>
              </c:numCache>
            </c:numRef>
          </c:yVal>
          <c:smooth val="0"/>
          <c:extLst>
            <c:ext xmlns:c16="http://schemas.microsoft.com/office/drawing/2014/chart" uri="{C3380CC4-5D6E-409C-BE32-E72D297353CC}">
              <c16:uniqueId val="{00000003-4D7E-4E81-9BA7-FD95EACE37F3}"/>
            </c:ext>
          </c:extLst>
        </c:ser>
        <c:ser>
          <c:idx val="3"/>
          <c:order val="3"/>
          <c:tx>
            <c:v>60 min annealing</c:v>
          </c:tx>
          <c:spPr>
            <a:ln w="25400" cap="rnd">
              <a:noFill/>
              <a:round/>
            </a:ln>
            <a:effectLst/>
          </c:spPr>
          <c:marker>
            <c:symbol val="circle"/>
            <c:size val="5"/>
            <c:spPr>
              <a:solidFill>
                <a:srgbClr val="00B050"/>
              </a:solidFill>
              <a:ln w="25400">
                <a:solidFill>
                  <a:srgbClr val="00B050"/>
                </a:solidFill>
              </a:ln>
              <a:effectLst/>
            </c:spPr>
          </c:marker>
          <c:xVal>
            <c:numRef>
              <c:f>'estimates new'!$BD$49:$BD$52</c:f>
              <c:numCache>
                <c:formatCode>General</c:formatCode>
                <c:ptCount val="4"/>
                <c:pt idx="0">
                  <c:v>0.78</c:v>
                </c:pt>
                <c:pt idx="1">
                  <c:v>0.65</c:v>
                </c:pt>
                <c:pt idx="2">
                  <c:v>0.55000000000000004</c:v>
                </c:pt>
                <c:pt idx="3">
                  <c:v>1.43</c:v>
                </c:pt>
              </c:numCache>
            </c:numRef>
          </c:xVal>
          <c:yVal>
            <c:numRef>
              <c:f>'estimates new'!$BB$49:$BB$52</c:f>
              <c:numCache>
                <c:formatCode>General</c:formatCode>
                <c:ptCount val="4"/>
                <c:pt idx="0">
                  <c:v>0.65384615384615385</c:v>
                </c:pt>
                <c:pt idx="1">
                  <c:v>0.64615384615384619</c:v>
                </c:pt>
                <c:pt idx="2">
                  <c:v>0.8</c:v>
                </c:pt>
                <c:pt idx="3">
                  <c:v>9.7902097902097904E-2</c:v>
                </c:pt>
              </c:numCache>
            </c:numRef>
          </c:yVal>
          <c:smooth val="0"/>
          <c:extLst>
            <c:ext xmlns:c16="http://schemas.microsoft.com/office/drawing/2014/chart" uri="{C3380CC4-5D6E-409C-BE32-E72D297353CC}">
              <c16:uniqueId val="{00000004-4D7E-4E81-9BA7-FD95EACE37F3}"/>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Sample</a:t>
                </a:r>
                <a:r>
                  <a:rPr lang="en-GB" sz="1600" baseline="0"/>
                  <a:t> thickness</a:t>
                </a:r>
                <a:endParaRPr lang="en-GB" sz="1600"/>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Skin</a:t>
                </a:r>
                <a:r>
                  <a:rPr lang="en-GB" sz="1600" baseline="0"/>
                  <a:t> fraction</a:t>
                </a:r>
                <a:endParaRPr lang="en-GB" sz="1600"/>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legend>
      <c:legendPos val="t"/>
      <c:legendEntry>
        <c:idx val="0"/>
        <c:delete val="1"/>
      </c:legendEntry>
      <c:legendEntry>
        <c:idx val="4"/>
        <c:delete val="1"/>
      </c:legendEntry>
      <c:layout>
        <c:manualLayout>
          <c:xMode val="edge"/>
          <c:yMode val="edge"/>
          <c:x val="0.11357989585688041"/>
          <c:y val="0.51372715293248805"/>
          <c:w val="0.17174510963522846"/>
          <c:h val="0.24619043300875851"/>
        </c:manualLayout>
      </c:layout>
      <c:overlay val="0"/>
      <c:spPr>
        <a:noFill/>
        <a:ln w="3175">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parallel EFFECTS OF COOLING</a:t>
            </a:r>
          </a:p>
        </c:rich>
      </c:tx>
      <c:layout>
        <c:manualLayout>
          <c:xMode val="edge"/>
          <c:yMode val="edge"/>
          <c:x val="0.37013056234216785"/>
          <c:y val="4.91928351453642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COOLING AT 180 DEGREES AVG THICKNESS 1.48</c:v>
          </c:tx>
          <c:spPr>
            <a:ln w="12700" cap="rnd">
              <a:noFill/>
              <a:round/>
            </a:ln>
            <a:effectLst/>
          </c:spPr>
          <c:marker>
            <c:symbol val="circle"/>
            <c:size val="5"/>
            <c:spPr>
              <a:solidFill>
                <a:schemeClr val="tx1"/>
              </a:solidFill>
              <a:ln w="25400">
                <a:solidFill>
                  <a:schemeClr val="tx1"/>
                </a:solidFill>
              </a:ln>
              <a:effectLst/>
            </c:spPr>
          </c:marker>
          <c:xVal>
            <c:numRef>
              <c:f>'estimates new'!$AT$85:$AT$87</c:f>
              <c:numCache>
                <c:formatCode>General</c:formatCode>
                <c:ptCount val="3"/>
                <c:pt idx="0">
                  <c:v>12</c:v>
                </c:pt>
                <c:pt idx="1">
                  <c:v>27</c:v>
                </c:pt>
                <c:pt idx="2">
                  <c:v>42</c:v>
                </c:pt>
              </c:numCache>
            </c:numRef>
          </c:xVal>
          <c:yVal>
            <c:numRef>
              <c:f>'estimates new'!$AV$85:$AV$87</c:f>
              <c:numCache>
                <c:formatCode>General</c:formatCode>
                <c:ptCount val="3"/>
                <c:pt idx="0">
                  <c:v>0.42176870748299322</c:v>
                </c:pt>
                <c:pt idx="1">
                  <c:v>0.3666666666666667</c:v>
                </c:pt>
                <c:pt idx="2">
                  <c:v>0.35810810810810811</c:v>
                </c:pt>
              </c:numCache>
            </c:numRef>
          </c:yVal>
          <c:smooth val="0"/>
          <c:extLst>
            <c:ext xmlns:c16="http://schemas.microsoft.com/office/drawing/2014/chart" uri="{C3380CC4-5D6E-409C-BE32-E72D297353CC}">
              <c16:uniqueId val="{00000000-6424-4076-84D1-416B958299D7}"/>
            </c:ext>
          </c:extLst>
        </c:ser>
        <c:ser>
          <c:idx val="1"/>
          <c:order val="1"/>
          <c:tx>
            <c:v>ANNEALING 60 MIN And cooling avg thick 0.57 mm</c:v>
          </c:tx>
          <c:spPr>
            <a:ln w="19050" cap="rnd">
              <a:noFill/>
              <a:round/>
            </a:ln>
            <a:effectLst/>
          </c:spPr>
          <c:marker>
            <c:symbol val="circle"/>
            <c:size val="5"/>
            <c:spPr>
              <a:solidFill>
                <a:srgbClr val="FF0000"/>
              </a:solidFill>
              <a:ln w="25400">
                <a:solidFill>
                  <a:srgbClr val="FF0000"/>
                </a:solidFill>
              </a:ln>
              <a:effectLst/>
            </c:spPr>
          </c:marker>
          <c:dPt>
            <c:idx val="1"/>
            <c:marker>
              <c:symbol val="circle"/>
              <c:size val="5"/>
              <c:spPr>
                <a:solidFill>
                  <a:srgbClr val="FF0000"/>
                </a:solidFill>
                <a:ln w="25400">
                  <a:solidFill>
                    <a:srgbClr val="FF0000"/>
                  </a:solidFill>
                </a:ln>
                <a:effectLst/>
              </c:spPr>
            </c:marker>
            <c:bubble3D val="0"/>
            <c:spPr>
              <a:ln w="12700" cap="rnd">
                <a:noFill/>
                <a:round/>
              </a:ln>
              <a:effectLst/>
            </c:spPr>
            <c:extLst>
              <c:ext xmlns:c16="http://schemas.microsoft.com/office/drawing/2014/chart" uri="{C3380CC4-5D6E-409C-BE32-E72D297353CC}">
                <c16:uniqueId val="{00000002-6424-4076-84D1-416B958299D7}"/>
              </c:ext>
            </c:extLst>
          </c:dPt>
          <c:dPt>
            <c:idx val="2"/>
            <c:marker>
              <c:symbol val="circle"/>
              <c:size val="5"/>
              <c:spPr>
                <a:solidFill>
                  <a:srgbClr val="FF0000"/>
                </a:solidFill>
                <a:ln w="25400">
                  <a:solidFill>
                    <a:srgbClr val="FF0000"/>
                  </a:solidFill>
                </a:ln>
                <a:effectLst/>
              </c:spPr>
            </c:marker>
            <c:bubble3D val="0"/>
            <c:spPr>
              <a:ln w="12700" cap="rnd">
                <a:noFill/>
                <a:round/>
              </a:ln>
              <a:effectLst/>
            </c:spPr>
            <c:extLst>
              <c:ext xmlns:c16="http://schemas.microsoft.com/office/drawing/2014/chart" uri="{C3380CC4-5D6E-409C-BE32-E72D297353CC}">
                <c16:uniqueId val="{00000004-6424-4076-84D1-416B958299D7}"/>
              </c:ext>
            </c:extLst>
          </c:dPt>
          <c:xVal>
            <c:numRef>
              <c:f>'estimates new'!$AT$76:$AT$78</c:f>
              <c:numCache>
                <c:formatCode>General</c:formatCode>
                <c:ptCount val="3"/>
                <c:pt idx="0">
                  <c:v>12</c:v>
                </c:pt>
                <c:pt idx="1">
                  <c:v>27</c:v>
                </c:pt>
                <c:pt idx="2">
                  <c:v>42</c:v>
                </c:pt>
              </c:numCache>
            </c:numRef>
          </c:xVal>
          <c:yVal>
            <c:numRef>
              <c:f>'estimates new'!$AV$76:$AV$78</c:f>
              <c:numCache>
                <c:formatCode>General</c:formatCode>
                <c:ptCount val="3"/>
                <c:pt idx="0">
                  <c:v>0.43333333333333335</c:v>
                </c:pt>
                <c:pt idx="1">
                  <c:v>0.51724137931034486</c:v>
                </c:pt>
                <c:pt idx="2">
                  <c:v>0.72727272727272729</c:v>
                </c:pt>
              </c:numCache>
            </c:numRef>
          </c:yVal>
          <c:smooth val="0"/>
          <c:extLst>
            <c:ext xmlns:c16="http://schemas.microsoft.com/office/drawing/2014/chart" uri="{C3380CC4-5D6E-409C-BE32-E72D297353CC}">
              <c16:uniqueId val="{00000005-6424-4076-84D1-416B958299D7}"/>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injection pt</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0704492267728445"/>
          <c:y val="9.2235039787028919E-2"/>
          <c:w val="0.26158610222618817"/>
          <c:h val="0.18967973043460359"/>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12 mm distance from injection pt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Extension rate 0.3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rates'!$G$14:$V$14</c:f>
              <c:numCache>
                <c:formatCode>General</c:formatCode>
                <c:ptCount val="16"/>
                <c:pt idx="0">
                  <c:v>2.7621358640099518</c:v>
                </c:pt>
                <c:pt idx="1">
                  <c:v>2.749859704614352</c:v>
                </c:pt>
                <c:pt idx="2">
                  <c:v>2.7130312264275527</c:v>
                </c:pt>
                <c:pt idx="3">
                  <c:v>2.6516504294495538</c:v>
                </c:pt>
                <c:pt idx="4">
                  <c:v>2.5657173136803553</c:v>
                </c:pt>
                <c:pt idx="5">
                  <c:v>2.4552318791199572</c:v>
                </c:pt>
                <c:pt idx="6">
                  <c:v>2.3201941257683596</c:v>
                </c:pt>
                <c:pt idx="7">
                  <c:v>2.160604053625562</c:v>
                </c:pt>
                <c:pt idx="8">
                  <c:v>1.9764616626915654</c:v>
                </c:pt>
                <c:pt idx="9">
                  <c:v>1.7677669529663689</c:v>
                </c:pt>
                <c:pt idx="10">
                  <c:v>1.534519924449973</c:v>
                </c:pt>
                <c:pt idx="11">
                  <c:v>1.2767205771423773</c:v>
                </c:pt>
                <c:pt idx="12">
                  <c:v>0.99436891104358227</c:v>
                </c:pt>
                <c:pt idx="13">
                  <c:v>0.68746492615358723</c:v>
                </c:pt>
                <c:pt idx="14">
                  <c:v>0.35600862247239301</c:v>
                </c:pt>
                <c:pt idx="15">
                  <c:v>6.1331736667334975E-16</c:v>
                </c:pt>
              </c:numCache>
            </c:numRef>
          </c:yVal>
          <c:smooth val="0"/>
          <c:extLst>
            <c:ext xmlns:c16="http://schemas.microsoft.com/office/drawing/2014/chart" uri="{C3380CC4-5D6E-409C-BE32-E72D297353CC}">
              <c16:uniqueId val="{00000000-E711-4F64-8E0E-57B0ACB8FF8A}"/>
            </c:ext>
          </c:extLst>
        </c:ser>
        <c:ser>
          <c:idx val="1"/>
          <c:order val="1"/>
          <c:tx>
            <c:v>Extension rate 0.5 mm Newtonian</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'shear rates'!$CM$261:$DL$261</c:f>
              <c:numCache>
                <c:formatCode>General</c:formatCode>
                <c:ptCount val="26"/>
                <c:pt idx="0">
                  <c:v>0</c:v>
                </c:pt>
                <c:pt idx="1">
                  <c:v>0.04</c:v>
                </c:pt>
                <c:pt idx="2">
                  <c:v>0.08</c:v>
                </c:pt>
                <c:pt idx="3">
                  <c:v>0.12000000000000001</c:v>
                </c:pt>
                <c:pt idx="4">
                  <c:v>0.16</c:v>
                </c:pt>
                <c:pt idx="5">
                  <c:v>0.2</c:v>
                </c:pt>
                <c:pt idx="6">
                  <c:v>0.24</c:v>
                </c:pt>
                <c:pt idx="7">
                  <c:v>0.28000000000000003</c:v>
                </c:pt>
                <c:pt idx="8">
                  <c:v>0.32</c:v>
                </c:pt>
                <c:pt idx="9">
                  <c:v>0.36000000000000004</c:v>
                </c:pt>
                <c:pt idx="10">
                  <c:v>0.4</c:v>
                </c:pt>
                <c:pt idx="11">
                  <c:v>0.44</c:v>
                </c:pt>
                <c:pt idx="12">
                  <c:v>0.48</c:v>
                </c:pt>
                <c:pt idx="13">
                  <c:v>0.52</c:v>
                </c:pt>
                <c:pt idx="14">
                  <c:v>0.56000000000000005</c:v>
                </c:pt>
                <c:pt idx="15">
                  <c:v>0.60000000000000009</c:v>
                </c:pt>
                <c:pt idx="16">
                  <c:v>0.64</c:v>
                </c:pt>
                <c:pt idx="17">
                  <c:v>0.68</c:v>
                </c:pt>
                <c:pt idx="18">
                  <c:v>0.72000000000000008</c:v>
                </c:pt>
                <c:pt idx="19">
                  <c:v>0.76</c:v>
                </c:pt>
                <c:pt idx="20">
                  <c:v>0.8</c:v>
                </c:pt>
                <c:pt idx="21">
                  <c:v>0.84</c:v>
                </c:pt>
                <c:pt idx="22">
                  <c:v>0.88</c:v>
                </c:pt>
                <c:pt idx="23">
                  <c:v>0.92</c:v>
                </c:pt>
                <c:pt idx="24">
                  <c:v>0.96</c:v>
                </c:pt>
                <c:pt idx="25">
                  <c:v>1</c:v>
                </c:pt>
              </c:numCache>
            </c:numRef>
          </c:xVal>
          <c:yVal>
            <c:numRef>
              <c:f>'shear rates'!$G$27:$AF$27</c:f>
              <c:numCache>
                <c:formatCode>General</c:formatCode>
                <c:ptCount val="26"/>
                <c:pt idx="0">
                  <c:v>1.6572815184059708</c:v>
                </c:pt>
                <c:pt idx="1">
                  <c:v>1.6546298679765212</c:v>
                </c:pt>
                <c:pt idx="2">
                  <c:v>1.6466749166881727</c:v>
                </c:pt>
                <c:pt idx="3">
                  <c:v>1.6334166645409249</c:v>
                </c:pt>
                <c:pt idx="4">
                  <c:v>1.614855111534778</c:v>
                </c:pt>
                <c:pt idx="5">
                  <c:v>1.5909902576697319</c:v>
                </c:pt>
                <c:pt idx="6">
                  <c:v>1.5618221029457868</c:v>
                </c:pt>
                <c:pt idx="7">
                  <c:v>1.5273506473629426</c:v>
                </c:pt>
                <c:pt idx="8">
                  <c:v>1.4875758909211994</c:v>
                </c:pt>
                <c:pt idx="9">
                  <c:v>1.4424978336205569</c:v>
                </c:pt>
                <c:pt idx="10">
                  <c:v>1.3921164754610154</c:v>
                </c:pt>
                <c:pt idx="11">
                  <c:v>1.3364318164425748</c:v>
                </c:pt>
                <c:pt idx="12">
                  <c:v>1.2754438565652351</c:v>
                </c:pt>
                <c:pt idx="13">
                  <c:v>1.2091525958289964</c:v>
                </c:pt>
                <c:pt idx="14">
                  <c:v>1.1375580342338583</c:v>
                </c:pt>
                <c:pt idx="15">
                  <c:v>1.0606601717798212</c:v>
                </c:pt>
                <c:pt idx="16">
                  <c:v>0.97845900846688505</c:v>
                </c:pt>
                <c:pt idx="17">
                  <c:v>0.89095454429504972</c:v>
                </c:pt>
                <c:pt idx="18">
                  <c:v>0.79814677926431543</c:v>
                </c:pt>
                <c:pt idx="19">
                  <c:v>0.70003571337468184</c:v>
                </c:pt>
                <c:pt idx="20">
                  <c:v>0.59662134662614952</c:v>
                </c:pt>
                <c:pt idx="21">
                  <c:v>0.48790367901871762</c:v>
                </c:pt>
                <c:pt idx="22">
                  <c:v>0.37388271055238687</c:v>
                </c:pt>
                <c:pt idx="23">
                  <c:v>0.25455844122715687</c:v>
                </c:pt>
                <c:pt idx="24">
                  <c:v>0.12993087104302797</c:v>
                </c:pt>
                <c:pt idx="25">
                  <c:v>0</c:v>
                </c:pt>
              </c:numCache>
            </c:numRef>
          </c:yVal>
          <c:smooth val="0"/>
          <c:extLst>
            <c:ext xmlns:c16="http://schemas.microsoft.com/office/drawing/2014/chart" uri="{C3380CC4-5D6E-409C-BE32-E72D297353CC}">
              <c16:uniqueId val="{00000001-E711-4F64-8E0E-57B0ACB8FF8A}"/>
            </c:ext>
          </c:extLst>
        </c:ser>
        <c:ser>
          <c:idx val="2"/>
          <c:order val="2"/>
          <c:tx>
            <c:v>Extension rate 1mm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rates'!$CM$262:$EK$262</c:f>
              <c:numCache>
                <c:formatCode>General</c:formatCode>
                <c:ptCount val="51"/>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pt idx="50">
                  <c:v>1.0000000000000013</c:v>
                </c:pt>
              </c:numCache>
            </c:numRef>
          </c:xVal>
          <c:yVal>
            <c:numRef>
              <c:f>'shear rates'!$G$40:$BE$40</c:f>
              <c:numCache>
                <c:formatCode>General</c:formatCode>
                <c:ptCount val="51"/>
                <c:pt idx="0">
                  <c:v>0.82864075920298541</c:v>
                </c:pt>
                <c:pt idx="1">
                  <c:v>0.82830930289930427</c:v>
                </c:pt>
                <c:pt idx="2">
                  <c:v>0.82731493398826061</c:v>
                </c:pt>
                <c:pt idx="3">
                  <c:v>0.82565765246985467</c:v>
                </c:pt>
                <c:pt idx="4">
                  <c:v>0.82333745834408634</c:v>
                </c:pt>
                <c:pt idx="5">
                  <c:v>0.8203543516109556</c:v>
                </c:pt>
                <c:pt idx="6">
                  <c:v>0.81670833227046247</c:v>
                </c:pt>
                <c:pt idx="7">
                  <c:v>0.81239940032260693</c:v>
                </c:pt>
                <c:pt idx="8">
                  <c:v>0.807427555767389</c:v>
                </c:pt>
                <c:pt idx="9">
                  <c:v>0.80179279860480868</c:v>
                </c:pt>
                <c:pt idx="10">
                  <c:v>0.79549512883486595</c:v>
                </c:pt>
                <c:pt idx="11">
                  <c:v>0.78853454645756094</c:v>
                </c:pt>
                <c:pt idx="12">
                  <c:v>0.78091105147289341</c:v>
                </c:pt>
                <c:pt idx="13">
                  <c:v>0.7726246438808636</c:v>
                </c:pt>
                <c:pt idx="14">
                  <c:v>0.76367532368147129</c:v>
                </c:pt>
                <c:pt idx="15">
                  <c:v>0.75406309087471679</c:v>
                </c:pt>
                <c:pt idx="16">
                  <c:v>0.74378794546059968</c:v>
                </c:pt>
                <c:pt idx="17">
                  <c:v>0.73284988743912027</c:v>
                </c:pt>
                <c:pt idx="18">
                  <c:v>0.72124891681027847</c:v>
                </c:pt>
                <c:pt idx="19">
                  <c:v>0.70898503357407427</c:v>
                </c:pt>
                <c:pt idx="20">
                  <c:v>0.69605823773050768</c:v>
                </c:pt>
                <c:pt idx="21">
                  <c:v>0.68246852927957879</c:v>
                </c:pt>
                <c:pt idx="22">
                  <c:v>0.6682159082212874</c:v>
                </c:pt>
                <c:pt idx="23">
                  <c:v>0.65330037455563372</c:v>
                </c:pt>
                <c:pt idx="24">
                  <c:v>0.63772192828261753</c:v>
                </c:pt>
                <c:pt idx="25">
                  <c:v>0.62148056940223906</c:v>
                </c:pt>
                <c:pt idx="26">
                  <c:v>0.60457629791449818</c:v>
                </c:pt>
                <c:pt idx="27">
                  <c:v>0.5870091138193948</c:v>
                </c:pt>
                <c:pt idx="28">
                  <c:v>0.56877901711692902</c:v>
                </c:pt>
                <c:pt idx="29">
                  <c:v>0.54988600780710095</c:v>
                </c:pt>
                <c:pt idx="30">
                  <c:v>0.53033008588991037</c:v>
                </c:pt>
                <c:pt idx="31">
                  <c:v>0.51011125136535751</c:v>
                </c:pt>
                <c:pt idx="32">
                  <c:v>0.48922950423344214</c:v>
                </c:pt>
                <c:pt idx="33">
                  <c:v>0.46768484449416442</c:v>
                </c:pt>
                <c:pt idx="34">
                  <c:v>0.44547727214752447</c:v>
                </c:pt>
                <c:pt idx="35">
                  <c:v>0.42260678719352202</c:v>
                </c:pt>
                <c:pt idx="36">
                  <c:v>0.39907338963215705</c:v>
                </c:pt>
                <c:pt idx="37">
                  <c:v>0.3748770794634298</c:v>
                </c:pt>
                <c:pt idx="38">
                  <c:v>0.35001785668734009</c:v>
                </c:pt>
                <c:pt idx="39">
                  <c:v>0.32449572130388815</c:v>
                </c:pt>
                <c:pt idx="40">
                  <c:v>0.29831067331307365</c:v>
                </c:pt>
                <c:pt idx="41">
                  <c:v>0.2714627127148968</c:v>
                </c:pt>
                <c:pt idx="42">
                  <c:v>0.24395183950935762</c:v>
                </c:pt>
                <c:pt idx="43">
                  <c:v>0.215778053696456</c:v>
                </c:pt>
                <c:pt idx="44">
                  <c:v>0.18694135527619204</c:v>
                </c:pt>
                <c:pt idx="45">
                  <c:v>0.15744174424856561</c:v>
                </c:pt>
                <c:pt idx="46">
                  <c:v>0.12727922061357677</c:v>
                </c:pt>
                <c:pt idx="47">
                  <c:v>9.645378437122562E-2</c:v>
                </c:pt>
                <c:pt idx="48">
                  <c:v>6.4965435521512058E-2</c:v>
                </c:pt>
                <c:pt idx="49">
                  <c:v>3.2814174064436173E-2</c:v>
                </c:pt>
                <c:pt idx="50">
                  <c:v>2.2079425200240588E-15</c:v>
                </c:pt>
              </c:numCache>
            </c:numRef>
          </c:yVal>
          <c:smooth val="0"/>
          <c:extLst>
            <c:ext xmlns:c16="http://schemas.microsoft.com/office/drawing/2014/chart" uri="{C3380CC4-5D6E-409C-BE32-E72D297353CC}">
              <c16:uniqueId val="{00000005-E711-4F64-8E0E-57B0ACB8FF8A}"/>
            </c:ext>
          </c:extLst>
        </c:ser>
        <c:ser>
          <c:idx val="3"/>
          <c:order val="3"/>
          <c:tx>
            <c:v>Extension 0.3 mm shear thinning</c:v>
          </c:tx>
          <c:spPr>
            <a:ln w="12700" cap="rnd">
              <a:solidFill>
                <a:schemeClr val="tx1"/>
              </a:solidFill>
              <a:round/>
            </a:ln>
            <a:effectLst/>
          </c:spPr>
          <c:marker>
            <c:symbol val="triangle"/>
            <c:size val="5"/>
            <c:spPr>
              <a:solidFill>
                <a:schemeClr val="tx1"/>
              </a:solidFill>
              <a:ln w="127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rates'!$G$109:$AK$109</c:f>
              <c:numCache>
                <c:formatCode>General</c:formatCode>
                <c:ptCount val="31"/>
                <c:pt idx="0">
                  <c:v>2.4793027798956428</c:v>
                </c:pt>
                <c:pt idx="1">
                  <c:v>2.4791678254867482</c:v>
                </c:pt>
                <c:pt idx="2">
                  <c:v>2.4783046244123605</c:v>
                </c:pt>
                <c:pt idx="3">
                  <c:v>2.4760851423975043</c:v>
                </c:pt>
                <c:pt idx="4">
                  <c:v>2.4719201802683424</c:v>
                </c:pt>
                <c:pt idx="5">
                  <c:v>2.4652433273384089</c:v>
                </c:pt>
                <c:pt idx="6">
                  <c:v>2.4555043539065062</c:v>
                </c:pt>
                <c:pt idx="7">
                  <c:v>2.4421655316159052</c:v>
                </c:pt>
                <c:pt idx="8">
                  <c:v>2.4246992855805192</c:v>
                </c:pt>
                <c:pt idx="9">
                  <c:v>2.4025865677004106</c:v>
                </c:pt>
                <c:pt idx="10">
                  <c:v>2.3753156647141811</c:v>
                </c:pt>
                <c:pt idx="11">
                  <c:v>2.3423812884104085</c:v>
                </c:pt>
                <c:pt idx="12">
                  <c:v>2.3032838592160831</c:v>
                </c:pt>
                <c:pt idx="13">
                  <c:v>2.2575289279928894</c:v>
                </c:pt>
                <c:pt idx="14">
                  <c:v>2.2046266999653072</c:v>
                </c:pt>
                <c:pt idx="15">
                  <c:v>2.1440916362060283</c:v>
                </c:pt>
                <c:pt idx="16">
                  <c:v>2.0754421153681695</c:v>
                </c:pt>
                <c:pt idx="17">
                  <c:v>1.9982001431239025</c:v>
                </c:pt>
                <c:pt idx="18">
                  <c:v>1.9118911000058494</c:v>
                </c:pt>
                <c:pt idx="19">
                  <c:v>1.8160435206060128</c:v>
                </c:pt>
                <c:pt idx="20">
                  <c:v>1.7101888987012615</c:v>
                </c:pt>
                <c:pt idx="21">
                  <c:v>1.5938615140527168</c:v>
                </c:pt>
                <c:pt idx="22">
                  <c:v>1.466598277502583</c:v>
                </c:pt>
                <c:pt idx="23">
                  <c:v>1.3279385916542852</c:v>
                </c:pt>
                <c:pt idx="24">
                  <c:v>1.1774242249298597</c:v>
                </c:pt>
                <c:pt idx="25">
                  <c:v>1.0145991971934341</c:v>
                </c:pt>
                <c:pt idx="26">
                  <c:v>0.83900967544030758</c:v>
                </c:pt>
                <c:pt idx="27">
                  <c:v>0.65020387829815718</c:v>
                </c:pt>
                <c:pt idx="28">
                  <c:v>0.44773198828529714</c:v>
                </c:pt>
                <c:pt idx="29">
                  <c:v>0.23114607093171344</c:v>
                </c:pt>
                <c:pt idx="30">
                  <c:v>3.3030948375087592E-15</c:v>
                </c:pt>
              </c:numCache>
            </c:numRef>
          </c:yVal>
          <c:smooth val="0"/>
          <c:extLst>
            <c:ext xmlns:c16="http://schemas.microsoft.com/office/drawing/2014/chart" uri="{C3380CC4-5D6E-409C-BE32-E72D297353CC}">
              <c16:uniqueId val="{00000001-7041-4335-BD4E-C0F8689E6623}"/>
            </c:ext>
          </c:extLst>
        </c:ser>
        <c:ser>
          <c:idx val="4"/>
          <c:order val="4"/>
          <c:tx>
            <c:v>Extension rate 0.5 mm shear thinning</c:v>
          </c:tx>
          <c:spPr>
            <a:ln w="12700" cap="rnd">
              <a:solidFill>
                <a:srgbClr val="00B050"/>
              </a:solidFill>
              <a:round/>
            </a:ln>
            <a:effectLst/>
          </c:spPr>
          <c:marker>
            <c:symbol val="triangle"/>
            <c:size val="5"/>
            <c:spPr>
              <a:solidFill>
                <a:srgbClr val="00B050"/>
              </a:solidFill>
              <a:ln w="25400">
                <a:solidFill>
                  <a:srgbClr val="00B050"/>
                </a:solidFill>
              </a:ln>
              <a:effectLst/>
            </c:spPr>
          </c:marker>
          <c:dPt>
            <c:idx val="0"/>
            <c:marker>
              <c:symbol val="triangle"/>
              <c:size val="5"/>
              <c:spPr>
                <a:solidFill>
                  <a:srgbClr val="00B050"/>
                </a:solidFill>
                <a:ln w="25400">
                  <a:solidFill>
                    <a:srgbClr val="00B050"/>
                  </a:solidFill>
                </a:ln>
                <a:effectLst/>
              </c:spPr>
            </c:marker>
            <c:bubble3D val="0"/>
            <c:spPr>
              <a:ln w="12700" cap="rnd">
                <a:solidFill>
                  <a:srgbClr val="00B050"/>
                </a:solidFill>
                <a:round/>
              </a:ln>
              <a:effectLst/>
            </c:spPr>
            <c:extLst>
              <c:ext xmlns:c16="http://schemas.microsoft.com/office/drawing/2014/chart" uri="{C3380CC4-5D6E-409C-BE32-E72D297353CC}">
                <c16:uniqueId val="{00000001-0B6F-40DA-9941-B755A5E95EB4}"/>
              </c:ext>
            </c:extLst>
          </c:dPt>
          <c:xVal>
            <c:numRef>
              <c:f>'shear rates'!$CM$269:$EK$269</c:f>
              <c:numCache>
                <c:formatCode>General</c:formatCode>
                <c:ptCount val="51"/>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pt idx="50">
                  <c:v>1.0000000000000013</c:v>
                </c:pt>
              </c:numCache>
            </c:numRef>
          </c:xVal>
          <c:yVal>
            <c:numRef>
              <c:f>'shear rates'!$G$122:$BE$122</c:f>
              <c:numCache>
                <c:formatCode>General</c:formatCode>
                <c:ptCount val="51"/>
                <c:pt idx="0">
                  <c:v>1.4875816679373854</c:v>
                </c:pt>
                <c:pt idx="1">
                  <c:v>1.4875631365885369</c:v>
                </c:pt>
                <c:pt idx="2">
                  <c:v>1.4874446055944994</c:v>
                </c:pt>
                <c:pt idx="3">
                  <c:v>1.4871398360370061</c:v>
                </c:pt>
                <c:pt idx="4">
                  <c:v>1.4865679216639296</c:v>
                </c:pt>
                <c:pt idx="5">
                  <c:v>1.4856510854385023</c:v>
                </c:pt>
                <c:pt idx="6">
                  <c:v>1.4843137722260442</c:v>
                </c:pt>
                <c:pt idx="7">
                  <c:v>1.482482143521789</c:v>
                </c:pt>
                <c:pt idx="8">
                  <c:v>1.4800837550511261</c:v>
                </c:pt>
                <c:pt idx="9">
                  <c:v>1.4770473334004048</c:v>
                </c:pt>
                <c:pt idx="10">
                  <c:v>1.4733026123439037</c:v>
                </c:pt>
                <c:pt idx="11">
                  <c:v>1.4687802079156476</c:v>
                </c:pt>
                <c:pt idx="12">
                  <c:v>1.463411520034906</c:v>
                </c:pt>
                <c:pt idx="13">
                  <c:v>1.4571286531097891</c:v>
                </c:pt>
                <c:pt idx="14">
                  <c:v>1.4498643506651381</c:v>
                </c:pt>
                <c:pt idx="15">
                  <c:v>1.4415519406202462</c:v>
                </c:pt>
                <c:pt idx="16">
                  <c:v>1.4321252888394069</c:v>
                </c:pt>
                <c:pt idx="17">
                  <c:v>1.4215187592332976</c:v>
                </c:pt>
                <c:pt idx="18">
                  <c:v>1.4096671791336641</c:v>
                </c:pt>
                <c:pt idx="19">
                  <c:v>1.3965058089738838</c:v>
                </c:pt>
                <c:pt idx="20">
                  <c:v>1.3819703155296497</c:v>
                </c:pt>
                <c:pt idx="21">
                  <c:v>1.3659967481358211</c:v>
                </c:pt>
                <c:pt idx="22">
                  <c:v>1.3485215174157967</c:v>
                </c:pt>
                <c:pt idx="23">
                  <c:v>1.3294813761507225</c:v>
                </c:pt>
                <c:pt idx="24">
                  <c:v>1.3088134019856026</c:v>
                </c:pt>
                <c:pt idx="25">
                  <c:v>1.2864549817236168</c:v>
                </c:pt>
                <c:pt idx="26">
                  <c:v>1.2623437970026008</c:v>
                </c:pt>
                <c:pt idx="27">
                  <c:v>1.2364178111815707</c:v>
                </c:pt>
                <c:pt idx="28">
                  <c:v>1.2086152572924098</c:v>
                </c:pt>
                <c:pt idx="29">
                  <c:v>1.1788746269339248</c:v>
                </c:pt>
                <c:pt idx="30">
                  <c:v>1.1471346600035091</c:v>
                </c:pt>
                <c:pt idx="31">
                  <c:v>1.1133343351765279</c:v>
                </c:pt>
                <c:pt idx="32">
                  <c:v>1.0774128610558464</c:v>
                </c:pt>
                <c:pt idx="33">
                  <c:v>1.0393096679242344</c:v>
                </c:pt>
                <c:pt idx="34">
                  <c:v>0.99896440004101361</c:v>
                </c:pt>
                <c:pt idx="35">
                  <c:v>0.95631690843162909</c:v>
                </c:pt>
                <c:pt idx="36">
                  <c:v>0.91130724412502584</c:v>
                </c:pt>
                <c:pt idx="37">
                  <c:v>0.86387565179902459</c:v>
                </c:pt>
                <c:pt idx="38">
                  <c:v>0.8139625637984268</c:v>
                </c:pt>
                <c:pt idx="39">
                  <c:v>0.76150859449450281</c:v>
                </c:pt>
                <c:pt idx="40">
                  <c:v>0.70645453495791344</c:v>
                </c:pt>
                <c:pt idx="41">
                  <c:v>0.64874134792005611</c:v>
                </c:pt>
                <c:pt idx="42">
                  <c:v>0.5883101630003974</c:v>
                </c:pt>
                <c:pt idx="43">
                  <c:v>0.52510227217961047</c:v>
                </c:pt>
                <c:pt idx="44">
                  <c:v>0.45905912550030714</c:v>
                </c:pt>
                <c:pt idx="45">
                  <c:v>0.39012232697889143</c:v>
                </c:pt>
                <c:pt idx="46">
                  <c:v>0.31823363071361105</c:v>
                </c:pt>
                <c:pt idx="47">
                  <c:v>0.24333493717523783</c:v>
                </c:pt>
                <c:pt idx="48">
                  <c:v>0.16536828966802711</c:v>
                </c:pt>
                <c:pt idx="49">
                  <c:v>8.427587094967802E-2</c:v>
                </c:pt>
                <c:pt idx="50">
                  <c:v>5.6152612237648894E-15</c:v>
                </c:pt>
              </c:numCache>
            </c:numRef>
          </c:yVal>
          <c:smooth val="0"/>
          <c:extLst>
            <c:ext xmlns:c16="http://schemas.microsoft.com/office/drawing/2014/chart" uri="{C3380CC4-5D6E-409C-BE32-E72D297353CC}">
              <c16:uniqueId val="{00000002-7041-4335-BD4E-C0F8689E6623}"/>
            </c:ext>
          </c:extLst>
        </c:ser>
        <c:ser>
          <c:idx val="5"/>
          <c:order val="5"/>
          <c:tx>
            <c:v>Extension rate 1 mm shear thinning</c:v>
          </c:tx>
          <c:spPr>
            <a:ln w="12700" cap="rnd">
              <a:solidFill>
                <a:srgbClr val="FF0000"/>
              </a:solidFill>
              <a:round/>
            </a:ln>
            <a:effectLst/>
          </c:spPr>
          <c:marker>
            <c:symbol val="triangle"/>
            <c:size val="5"/>
            <c:spPr>
              <a:solidFill>
                <a:srgbClr val="FF0000"/>
              </a:solidFill>
              <a:ln w="25400">
                <a:solidFill>
                  <a:srgbClr val="FF0000"/>
                </a:solidFill>
              </a:ln>
              <a:effectLst/>
            </c:spPr>
          </c:marker>
          <c:xVal>
            <c:numRef>
              <c:f>'shear rates'!$CM$270:$GI$270</c:f>
              <c:numCache>
                <c:formatCode>General</c:formatCode>
                <c:ptCount val="101"/>
                <c:pt idx="0">
                  <c:v>0</c:v>
                </c:pt>
                <c:pt idx="1">
                  <c:v>0.01</c:v>
                </c:pt>
                <c:pt idx="2">
                  <c:v>0.02</c:v>
                </c:pt>
                <c:pt idx="3">
                  <c:v>3.0000000000000002E-2</c:v>
                </c:pt>
                <c:pt idx="4">
                  <c:v>0.04</c:v>
                </c:pt>
                <c:pt idx="5">
                  <c:v>0.05</c:v>
                </c:pt>
                <c:pt idx="6">
                  <c:v>0.06</c:v>
                </c:pt>
                <c:pt idx="7">
                  <c:v>7.0000000000000007E-2</c:v>
                </c:pt>
                <c:pt idx="8">
                  <c:v>0.08</c:v>
                </c:pt>
                <c:pt idx="9">
                  <c:v>9.0000000000000011E-2</c:v>
                </c:pt>
                <c:pt idx="10">
                  <c:v>0.1</c:v>
                </c:pt>
                <c:pt idx="11">
                  <c:v>0.11</c:v>
                </c:pt>
                <c:pt idx="12">
                  <c:v>0.12</c:v>
                </c:pt>
                <c:pt idx="13">
                  <c:v>0.13</c:v>
                </c:pt>
                <c:pt idx="14">
                  <c:v>0.14000000000000001</c:v>
                </c:pt>
                <c:pt idx="15">
                  <c:v>0.15000000000000002</c:v>
                </c:pt>
                <c:pt idx="16">
                  <c:v>0.16</c:v>
                </c:pt>
                <c:pt idx="17">
                  <c:v>0.17</c:v>
                </c:pt>
                <c:pt idx="18">
                  <c:v>0.18000000000000002</c:v>
                </c:pt>
                <c:pt idx="19">
                  <c:v>0.19</c:v>
                </c:pt>
                <c:pt idx="20">
                  <c:v>0.2</c:v>
                </c:pt>
                <c:pt idx="21">
                  <c:v>0.21</c:v>
                </c:pt>
                <c:pt idx="22">
                  <c:v>0.22</c:v>
                </c:pt>
                <c:pt idx="23">
                  <c:v>0.23</c:v>
                </c:pt>
                <c:pt idx="24">
                  <c:v>0.24</c:v>
                </c:pt>
                <c:pt idx="25">
                  <c:v>0.25</c:v>
                </c:pt>
                <c:pt idx="26">
                  <c:v>0.26</c:v>
                </c:pt>
                <c:pt idx="27">
                  <c:v>0.27000000000000007</c:v>
                </c:pt>
                <c:pt idx="28">
                  <c:v>0.28000000000000008</c:v>
                </c:pt>
                <c:pt idx="29">
                  <c:v>0.29000000000000009</c:v>
                </c:pt>
                <c:pt idx="30">
                  <c:v>0.30000000000000016</c:v>
                </c:pt>
                <c:pt idx="31">
                  <c:v>0.31000000000000016</c:v>
                </c:pt>
                <c:pt idx="32">
                  <c:v>0.32000000000000017</c:v>
                </c:pt>
                <c:pt idx="33">
                  <c:v>0.33000000000000018</c:v>
                </c:pt>
                <c:pt idx="34">
                  <c:v>0.34000000000000025</c:v>
                </c:pt>
                <c:pt idx="35">
                  <c:v>0.35000000000000026</c:v>
                </c:pt>
                <c:pt idx="36">
                  <c:v>0.36000000000000026</c:v>
                </c:pt>
                <c:pt idx="37">
                  <c:v>0.37000000000000033</c:v>
                </c:pt>
                <c:pt idx="38">
                  <c:v>0.38000000000000034</c:v>
                </c:pt>
                <c:pt idx="39">
                  <c:v>0.39000000000000035</c:v>
                </c:pt>
                <c:pt idx="40">
                  <c:v>0.40000000000000041</c:v>
                </c:pt>
                <c:pt idx="41">
                  <c:v>0.41000000000000042</c:v>
                </c:pt>
                <c:pt idx="42">
                  <c:v>0.42000000000000043</c:v>
                </c:pt>
                <c:pt idx="43">
                  <c:v>0.43000000000000049</c:v>
                </c:pt>
                <c:pt idx="44">
                  <c:v>0.4400000000000005</c:v>
                </c:pt>
                <c:pt idx="45">
                  <c:v>0.45000000000000051</c:v>
                </c:pt>
                <c:pt idx="46">
                  <c:v>0.46000000000000052</c:v>
                </c:pt>
                <c:pt idx="47">
                  <c:v>0.47000000000000058</c:v>
                </c:pt>
                <c:pt idx="48">
                  <c:v>0.48000000000000059</c:v>
                </c:pt>
                <c:pt idx="49">
                  <c:v>0.4900000000000006</c:v>
                </c:pt>
                <c:pt idx="50">
                  <c:v>0.50000000000000067</c:v>
                </c:pt>
                <c:pt idx="51">
                  <c:v>0.51000000000000068</c:v>
                </c:pt>
                <c:pt idx="52">
                  <c:v>0.52000000000000068</c:v>
                </c:pt>
                <c:pt idx="53">
                  <c:v>0.53000000000000069</c:v>
                </c:pt>
                <c:pt idx="54">
                  <c:v>0.5400000000000007</c:v>
                </c:pt>
                <c:pt idx="55">
                  <c:v>0.55000000000000082</c:v>
                </c:pt>
                <c:pt idx="56">
                  <c:v>0.56000000000000083</c:v>
                </c:pt>
                <c:pt idx="57">
                  <c:v>0.57000000000000084</c:v>
                </c:pt>
                <c:pt idx="58">
                  <c:v>0.58000000000000085</c:v>
                </c:pt>
                <c:pt idx="59">
                  <c:v>0.59000000000000086</c:v>
                </c:pt>
                <c:pt idx="60">
                  <c:v>0.60000000000000087</c:v>
                </c:pt>
                <c:pt idx="61">
                  <c:v>0.61000000000000099</c:v>
                </c:pt>
                <c:pt idx="62">
                  <c:v>0.62000000000000099</c:v>
                </c:pt>
                <c:pt idx="63">
                  <c:v>0.630000000000001</c:v>
                </c:pt>
                <c:pt idx="64">
                  <c:v>0.64000000000000101</c:v>
                </c:pt>
                <c:pt idx="65">
                  <c:v>0.65000000000000102</c:v>
                </c:pt>
                <c:pt idx="66">
                  <c:v>0.66000000000000103</c:v>
                </c:pt>
                <c:pt idx="67">
                  <c:v>0.67000000000000104</c:v>
                </c:pt>
                <c:pt idx="68">
                  <c:v>0.68000000000000116</c:v>
                </c:pt>
                <c:pt idx="69">
                  <c:v>0.69000000000000117</c:v>
                </c:pt>
                <c:pt idx="70">
                  <c:v>0.70000000000000118</c:v>
                </c:pt>
                <c:pt idx="71">
                  <c:v>0.71000000000000119</c:v>
                </c:pt>
                <c:pt idx="72">
                  <c:v>0.72000000000000119</c:v>
                </c:pt>
                <c:pt idx="73">
                  <c:v>0.7300000000000012</c:v>
                </c:pt>
                <c:pt idx="74">
                  <c:v>0.74000000000000132</c:v>
                </c:pt>
                <c:pt idx="75">
                  <c:v>0.75000000000000133</c:v>
                </c:pt>
                <c:pt idx="76">
                  <c:v>0.76000000000000134</c:v>
                </c:pt>
                <c:pt idx="77">
                  <c:v>0.77000000000000135</c:v>
                </c:pt>
                <c:pt idx="78">
                  <c:v>0.78000000000000136</c:v>
                </c:pt>
                <c:pt idx="79">
                  <c:v>0.79000000000000137</c:v>
                </c:pt>
                <c:pt idx="80">
                  <c:v>0.80000000000000138</c:v>
                </c:pt>
                <c:pt idx="81">
                  <c:v>0.8100000000000015</c:v>
                </c:pt>
                <c:pt idx="82">
                  <c:v>0.82000000000000151</c:v>
                </c:pt>
                <c:pt idx="83">
                  <c:v>0.83000000000000151</c:v>
                </c:pt>
                <c:pt idx="84">
                  <c:v>0.84000000000000152</c:v>
                </c:pt>
                <c:pt idx="85">
                  <c:v>0.85000000000000153</c:v>
                </c:pt>
                <c:pt idx="86">
                  <c:v>0.86000000000000154</c:v>
                </c:pt>
                <c:pt idx="87">
                  <c:v>0.87000000000000166</c:v>
                </c:pt>
                <c:pt idx="88">
                  <c:v>0.88000000000000167</c:v>
                </c:pt>
                <c:pt idx="89">
                  <c:v>0.89000000000000168</c:v>
                </c:pt>
                <c:pt idx="90">
                  <c:v>0.90000000000000169</c:v>
                </c:pt>
                <c:pt idx="91">
                  <c:v>0.9100000000000017</c:v>
                </c:pt>
                <c:pt idx="92">
                  <c:v>0.92000000000000171</c:v>
                </c:pt>
                <c:pt idx="93">
                  <c:v>0.93000000000000171</c:v>
                </c:pt>
                <c:pt idx="94">
                  <c:v>0.94000000000000183</c:v>
                </c:pt>
                <c:pt idx="95">
                  <c:v>0.95000000000000184</c:v>
                </c:pt>
                <c:pt idx="96">
                  <c:v>0.96000000000000185</c:v>
                </c:pt>
                <c:pt idx="97">
                  <c:v>0.97000000000000186</c:v>
                </c:pt>
                <c:pt idx="98">
                  <c:v>0.98000000000000187</c:v>
                </c:pt>
                <c:pt idx="99">
                  <c:v>0.99000000000000188</c:v>
                </c:pt>
                <c:pt idx="100">
                  <c:v>1.000000000000002</c:v>
                </c:pt>
              </c:numCache>
            </c:numRef>
          </c:xVal>
          <c:yVal>
            <c:numRef>
              <c:f>'shear rates'!$G$135:$DC$135</c:f>
              <c:numCache>
                <c:formatCode>General</c:formatCode>
                <c:ptCount val="101"/>
                <c:pt idx="0">
                  <c:v>0.74379083396869272</c:v>
                </c:pt>
                <c:pt idx="1">
                  <c:v>0.74378958121435146</c:v>
                </c:pt>
                <c:pt idx="2">
                  <c:v>0.74378156829426845</c:v>
                </c:pt>
                <c:pt idx="3">
                  <c:v>0.74376096529394964</c:v>
                </c:pt>
                <c:pt idx="4">
                  <c:v>0.74372230279724971</c:v>
                </c:pt>
                <c:pt idx="5">
                  <c:v>0.7436603229289187</c:v>
                </c:pt>
                <c:pt idx="6">
                  <c:v>0.74356991801850303</c:v>
                </c:pt>
                <c:pt idx="7">
                  <c:v>0.74344609644298854</c:v>
                </c:pt>
                <c:pt idx="8">
                  <c:v>0.7432839608319648</c:v>
                </c:pt>
                <c:pt idx="9">
                  <c:v>0.74307869296744344</c:v>
                </c:pt>
                <c:pt idx="10">
                  <c:v>0.74282554271925116</c:v>
                </c:pt>
                <c:pt idx="11">
                  <c:v>0.74251981959964763</c:v>
                </c:pt>
                <c:pt idx="12">
                  <c:v>0.74215688611302211</c:v>
                </c:pt>
                <c:pt idx="13">
                  <c:v>0.74173215238854606</c:v>
                </c:pt>
                <c:pt idx="14">
                  <c:v>0.74124107176089449</c:v>
                </c:pt>
                <c:pt idx="15">
                  <c:v>0.74067913707091626</c:v>
                </c:pt>
                <c:pt idx="16">
                  <c:v>0.74004187752556305</c:v>
                </c:pt>
                <c:pt idx="17">
                  <c:v>0.73932485600066655</c:v>
                </c:pt>
                <c:pt idx="18">
                  <c:v>0.73852366670020242</c:v>
                </c:pt>
                <c:pt idx="19">
                  <c:v>0.73763393310663772</c:v>
                </c:pt>
                <c:pt idx="20">
                  <c:v>0.73665130617195185</c:v>
                </c:pt>
                <c:pt idx="21">
                  <c:v>0.73557146270984874</c:v>
                </c:pt>
                <c:pt idx="22">
                  <c:v>0.73439010395782378</c:v>
                </c:pt>
                <c:pt idx="23">
                  <c:v>0.73310295428388472</c:v>
                </c:pt>
                <c:pt idx="24">
                  <c:v>0.73170576001745302</c:v>
                </c:pt>
                <c:pt idx="25">
                  <c:v>0.73019428838762868</c:v>
                </c:pt>
                <c:pt idx="26">
                  <c:v>0.72856432655489456</c:v>
                </c:pt>
                <c:pt idx="27">
                  <c:v>0.72681168072461921</c:v>
                </c:pt>
                <c:pt idx="28">
                  <c:v>0.72493217533256904</c:v>
                </c:pt>
                <c:pt idx="29">
                  <c:v>0.72292165229412486</c:v>
                </c:pt>
                <c:pt idx="30">
                  <c:v>0.72077597031012308</c:v>
                </c:pt>
                <c:pt idx="31">
                  <c:v>0.71849100422324408</c:v>
                </c:pt>
                <c:pt idx="32">
                  <c:v>0.71606264441970346</c:v>
                </c:pt>
                <c:pt idx="33">
                  <c:v>0.71348679627169875</c:v>
                </c:pt>
                <c:pt idx="34">
                  <c:v>0.7107593796166487</c:v>
                </c:pt>
                <c:pt idx="35">
                  <c:v>0.70787632826975422</c:v>
                </c:pt>
                <c:pt idx="36">
                  <c:v>0.70483358956683206</c:v>
                </c:pt>
                <c:pt idx="37">
                  <c:v>0.70162712393473048</c:v>
                </c:pt>
                <c:pt idx="38">
                  <c:v>0.69825290448694177</c:v>
                </c:pt>
                <c:pt idx="39">
                  <c:v>0.69470691664229289</c:v>
                </c:pt>
                <c:pt idx="40">
                  <c:v>0.69098515776482472</c:v>
                </c:pt>
                <c:pt idx="41">
                  <c:v>0.68708363682316975</c:v>
                </c:pt>
                <c:pt idx="42">
                  <c:v>0.68299837406791031</c:v>
                </c:pt>
                <c:pt idx="43">
                  <c:v>0.67872540072555476</c:v>
                </c:pt>
                <c:pt idx="44">
                  <c:v>0.67426075870789803</c:v>
                </c:pt>
                <c:pt idx="45">
                  <c:v>0.66960050033565588</c:v>
                </c:pt>
                <c:pt idx="46">
                  <c:v>0.66474068807536102</c:v>
                </c:pt>
                <c:pt idx="47">
                  <c:v>0.65967739428860672</c:v>
                </c:pt>
                <c:pt idx="48">
                  <c:v>0.65440670099280096</c:v>
                </c:pt>
                <c:pt idx="49">
                  <c:v>0.64892469963266874</c:v>
                </c:pt>
                <c:pt idx="50">
                  <c:v>0.64322749086180808</c:v>
                </c:pt>
                <c:pt idx="51">
                  <c:v>0.63731118433365863</c:v>
                </c:pt>
                <c:pt idx="52">
                  <c:v>0.63117189850130007</c:v>
                </c:pt>
                <c:pt idx="53">
                  <c:v>0.62480576042553793</c:v>
                </c:pt>
                <c:pt idx="54">
                  <c:v>0.6182089055907849</c:v>
                </c:pt>
                <c:pt idx="55">
                  <c:v>0.61137747772827722</c:v>
                </c:pt>
                <c:pt idx="56">
                  <c:v>0.60430762864620435</c:v>
                </c:pt>
                <c:pt idx="57">
                  <c:v>0.59699551806636175</c:v>
                </c:pt>
                <c:pt idx="58">
                  <c:v>0.58943731346696182</c:v>
                </c:pt>
                <c:pt idx="59">
                  <c:v>0.58162918993127055</c:v>
                </c:pt>
                <c:pt idx="60">
                  <c:v>0.57356733000175419</c:v>
                </c:pt>
                <c:pt idx="61">
                  <c:v>0.56524792353944564</c:v>
                </c:pt>
                <c:pt idx="62">
                  <c:v>0.5566671675882634</c:v>
                </c:pt>
                <c:pt idx="63">
                  <c:v>0.54782126624402483</c:v>
                </c:pt>
                <c:pt idx="64">
                  <c:v>0.53870643052792255</c:v>
                </c:pt>
                <c:pt idx="65">
                  <c:v>0.52931887826424273</c:v>
                </c:pt>
                <c:pt idx="66">
                  <c:v>0.51965483396211654</c:v>
                </c:pt>
                <c:pt idx="67">
                  <c:v>0.50971052870111544</c:v>
                </c:pt>
                <c:pt idx="68">
                  <c:v>0.49948220002050614</c:v>
                </c:pt>
                <c:pt idx="69">
                  <c:v>0.48896609181199674</c:v>
                </c:pt>
                <c:pt idx="70">
                  <c:v>0.47815845421581377</c:v>
                </c:pt>
                <c:pt idx="71">
                  <c:v>0.46705554351995998</c:v>
                </c:pt>
                <c:pt idx="72">
                  <c:v>0.45565362206251209</c:v>
                </c:pt>
                <c:pt idx="73">
                  <c:v>0.44394895813682411</c:v>
                </c:pt>
                <c:pt idx="74">
                  <c:v>0.43193782589951152</c:v>
                </c:pt>
                <c:pt idx="75">
                  <c:v>0.41961650528109823</c:v>
                </c:pt>
                <c:pt idx="76">
                  <c:v>0.40698128189921257</c:v>
                </c:pt>
                <c:pt idx="77">
                  <c:v>0.39402844697422845</c:v>
                </c:pt>
                <c:pt idx="78">
                  <c:v>0.38075429724725052</c:v>
                </c:pt>
                <c:pt idx="79">
                  <c:v>0.3671551349003494</c:v>
                </c:pt>
                <c:pt idx="80">
                  <c:v>0.353227267478956</c:v>
                </c:pt>
                <c:pt idx="81">
                  <c:v>0.33896700781633049</c:v>
                </c:pt>
                <c:pt idx="82">
                  <c:v>0.32437067396002706</c:v>
                </c:pt>
                <c:pt idx="83">
                  <c:v>0.3094345891002736</c:v>
                </c:pt>
                <c:pt idx="84">
                  <c:v>0.29415508150019765</c:v>
                </c:pt>
                <c:pt idx="85">
                  <c:v>0.27852848442782774</c:v>
                </c:pt>
                <c:pt idx="86">
                  <c:v>0.26255113608980435</c:v>
                </c:pt>
                <c:pt idx="87">
                  <c:v>0.24621937956673723</c:v>
                </c:pt>
                <c:pt idx="88">
                  <c:v>0.22952956275015252</c:v>
                </c:pt>
                <c:pt idx="89">
                  <c:v>0.21247803828096748</c:v>
                </c:pt>
                <c:pt idx="90">
                  <c:v>0.19506116348944455</c:v>
                </c:pt>
                <c:pt idx="91">
                  <c:v>0.17727530033656932</c:v>
                </c:pt>
                <c:pt idx="92">
                  <c:v>0.15911681535680428</c:v>
                </c:pt>
                <c:pt idx="93">
                  <c:v>0.14058207960217123</c:v>
                </c:pt>
                <c:pt idx="94">
                  <c:v>0.12166746858761766</c:v>
                </c:pt>
                <c:pt idx="95">
                  <c:v>0.10236936223762458</c:v>
                </c:pt>
                <c:pt idx="96">
                  <c:v>8.2684144834012235E-2</c:v>
                </c:pt>
                <c:pt idx="97">
                  <c:v>6.2608204964908321E-2</c:v>
                </c:pt>
                <c:pt idx="98">
                  <c:v>4.2137935474837601E-2</c:v>
                </c:pt>
                <c:pt idx="99">
                  <c:v>2.1269733415899293E-2</c:v>
                </c:pt>
                <c:pt idx="100">
                  <c:v>4.2940232887613863E-15</c:v>
                </c:pt>
              </c:numCache>
            </c:numRef>
          </c:yVal>
          <c:smooth val="0"/>
          <c:extLst>
            <c:ext xmlns:c16="http://schemas.microsoft.com/office/drawing/2014/chart" uri="{C3380CC4-5D6E-409C-BE32-E72D297353CC}">
              <c16:uniqueId val="{00000003-7041-4335-BD4E-C0F8689E6623}"/>
            </c:ext>
          </c:extLst>
        </c:ser>
        <c:ser>
          <c:idx val="6"/>
          <c:order val="6"/>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rates'!$CN$277:$DC$277</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rates'!$G$14:$V$14</c:f>
              <c:numCache>
                <c:formatCode>General</c:formatCode>
                <c:ptCount val="16"/>
                <c:pt idx="0">
                  <c:v>2.7621358640099518</c:v>
                </c:pt>
                <c:pt idx="1">
                  <c:v>2.749859704614352</c:v>
                </c:pt>
                <c:pt idx="2">
                  <c:v>2.7130312264275527</c:v>
                </c:pt>
                <c:pt idx="3">
                  <c:v>2.6516504294495538</c:v>
                </c:pt>
                <c:pt idx="4">
                  <c:v>2.5657173136803553</c:v>
                </c:pt>
                <c:pt idx="5">
                  <c:v>2.4552318791199572</c:v>
                </c:pt>
                <c:pt idx="6">
                  <c:v>2.3201941257683596</c:v>
                </c:pt>
                <c:pt idx="7">
                  <c:v>2.160604053625562</c:v>
                </c:pt>
                <c:pt idx="8">
                  <c:v>1.9764616626915654</c:v>
                </c:pt>
                <c:pt idx="9">
                  <c:v>1.7677669529663689</c:v>
                </c:pt>
                <c:pt idx="10">
                  <c:v>1.534519924449973</c:v>
                </c:pt>
                <c:pt idx="11">
                  <c:v>1.2767205771423773</c:v>
                </c:pt>
                <c:pt idx="12">
                  <c:v>0.99436891104358227</c:v>
                </c:pt>
                <c:pt idx="13">
                  <c:v>0.68746492615358723</c:v>
                </c:pt>
                <c:pt idx="14">
                  <c:v>0.35600862247239301</c:v>
                </c:pt>
                <c:pt idx="15">
                  <c:v>6.1331736667334975E-16</c:v>
                </c:pt>
              </c:numCache>
            </c:numRef>
          </c:yVal>
          <c:smooth val="0"/>
          <c:extLst>
            <c:ext xmlns:c16="http://schemas.microsoft.com/office/drawing/2014/chart" uri="{C3380CC4-5D6E-409C-BE32-E72D297353CC}">
              <c16:uniqueId val="{00000004-E683-463B-9C11-B1DE30A0E38E}"/>
            </c:ext>
          </c:extLst>
        </c:ser>
        <c:ser>
          <c:idx val="7"/>
          <c:order val="7"/>
          <c:spPr>
            <a:ln w="12700" cap="rnd">
              <a:solidFill>
                <a:schemeClr val="tx1">
                  <a:lumMod val="95000"/>
                  <a:lumOff val="5000"/>
                </a:schemeClr>
              </a:solidFill>
              <a:round/>
            </a:ln>
            <a:effectLst/>
          </c:spPr>
          <c:marker>
            <c:symbol val="triangle"/>
            <c:size val="5"/>
            <c:spPr>
              <a:solidFill>
                <a:schemeClr val="tx1"/>
              </a:solidFill>
              <a:ln w="12700">
                <a:solidFill>
                  <a:schemeClr val="tx1"/>
                </a:solidFill>
              </a:ln>
              <a:effectLst/>
            </c:spPr>
          </c:marker>
          <c:xVal>
            <c:numRef>
              <c:f>'shear rates'!$CN$278:$DR$278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rates'!$G$109:$AK$109</c:f>
              <c:numCache>
                <c:formatCode>General</c:formatCode>
                <c:ptCount val="31"/>
                <c:pt idx="0">
                  <c:v>2.4793027798956428</c:v>
                </c:pt>
                <c:pt idx="1">
                  <c:v>2.4791678254867482</c:v>
                </c:pt>
                <c:pt idx="2">
                  <c:v>2.4783046244123605</c:v>
                </c:pt>
                <c:pt idx="3">
                  <c:v>2.4760851423975043</c:v>
                </c:pt>
                <c:pt idx="4">
                  <c:v>2.4719201802683424</c:v>
                </c:pt>
                <c:pt idx="5">
                  <c:v>2.4652433273384089</c:v>
                </c:pt>
                <c:pt idx="6">
                  <c:v>2.4555043539065062</c:v>
                </c:pt>
                <c:pt idx="7">
                  <c:v>2.4421655316159052</c:v>
                </c:pt>
                <c:pt idx="8">
                  <c:v>2.4246992855805192</c:v>
                </c:pt>
                <c:pt idx="9">
                  <c:v>2.4025865677004106</c:v>
                </c:pt>
                <c:pt idx="10">
                  <c:v>2.3753156647141811</c:v>
                </c:pt>
                <c:pt idx="11">
                  <c:v>2.3423812884104085</c:v>
                </c:pt>
                <c:pt idx="12">
                  <c:v>2.3032838592160831</c:v>
                </c:pt>
                <c:pt idx="13">
                  <c:v>2.2575289279928894</c:v>
                </c:pt>
                <c:pt idx="14">
                  <c:v>2.2046266999653072</c:v>
                </c:pt>
                <c:pt idx="15">
                  <c:v>2.1440916362060283</c:v>
                </c:pt>
                <c:pt idx="16">
                  <c:v>2.0754421153681695</c:v>
                </c:pt>
                <c:pt idx="17">
                  <c:v>1.9982001431239025</c:v>
                </c:pt>
                <c:pt idx="18">
                  <c:v>1.9118911000058494</c:v>
                </c:pt>
                <c:pt idx="19">
                  <c:v>1.8160435206060128</c:v>
                </c:pt>
                <c:pt idx="20">
                  <c:v>1.7101888987012615</c:v>
                </c:pt>
                <c:pt idx="21">
                  <c:v>1.5938615140527168</c:v>
                </c:pt>
                <c:pt idx="22">
                  <c:v>1.466598277502583</c:v>
                </c:pt>
                <c:pt idx="23">
                  <c:v>1.3279385916542852</c:v>
                </c:pt>
                <c:pt idx="24">
                  <c:v>1.1774242249298597</c:v>
                </c:pt>
                <c:pt idx="25">
                  <c:v>1.0145991971934341</c:v>
                </c:pt>
                <c:pt idx="26">
                  <c:v>0.83900967544030758</c:v>
                </c:pt>
                <c:pt idx="27">
                  <c:v>0.65020387829815718</c:v>
                </c:pt>
                <c:pt idx="28">
                  <c:v>0.44773198828529714</c:v>
                </c:pt>
                <c:pt idx="29">
                  <c:v>0.23114607093171344</c:v>
                </c:pt>
                <c:pt idx="30">
                  <c:v>3.3030948375087592E-15</c:v>
                </c:pt>
              </c:numCache>
            </c:numRef>
          </c:yVal>
          <c:smooth val="0"/>
          <c:extLst>
            <c:ext xmlns:c16="http://schemas.microsoft.com/office/drawing/2014/chart" uri="{C3380CC4-5D6E-409C-BE32-E72D297353CC}">
              <c16:uniqueId val="{00000005-E683-463B-9C11-B1DE30A0E38E}"/>
            </c:ext>
          </c:extLst>
        </c:ser>
        <c:ser>
          <c:idx val="8"/>
          <c:order val="8"/>
          <c:spPr>
            <a:ln w="12700" cap="rnd">
              <a:solidFill>
                <a:srgbClr val="00B050"/>
              </a:solidFill>
              <a:round/>
            </a:ln>
            <a:effectLst/>
          </c:spPr>
          <c:marker>
            <c:symbol val="circle"/>
            <c:size val="5"/>
            <c:spPr>
              <a:solidFill>
                <a:srgbClr val="00B050"/>
              </a:solidFill>
              <a:ln w="25400">
                <a:solidFill>
                  <a:srgbClr val="00B050"/>
                </a:solidFill>
              </a:ln>
              <a:effectLst/>
            </c:spPr>
          </c:marker>
          <c:xVal>
            <c:numRef>
              <c:f>'shear rates'!$CN$280:$DM$280</c:f>
              <c:numCache>
                <c:formatCode>General</c:formatCode>
                <c:ptCount val="26"/>
                <c:pt idx="0">
                  <c:v>0</c:v>
                </c:pt>
                <c:pt idx="1">
                  <c:v>-0.04</c:v>
                </c:pt>
                <c:pt idx="2">
                  <c:v>-0.08</c:v>
                </c:pt>
                <c:pt idx="3">
                  <c:v>-0.12000000000000001</c:v>
                </c:pt>
                <c:pt idx="4">
                  <c:v>-0.16</c:v>
                </c:pt>
                <c:pt idx="5">
                  <c:v>-0.2</c:v>
                </c:pt>
                <c:pt idx="6">
                  <c:v>-0.24</c:v>
                </c:pt>
                <c:pt idx="7">
                  <c:v>-0.28000000000000003</c:v>
                </c:pt>
                <c:pt idx="8">
                  <c:v>-0.32</c:v>
                </c:pt>
                <c:pt idx="9">
                  <c:v>-0.36000000000000004</c:v>
                </c:pt>
                <c:pt idx="10">
                  <c:v>-0.4</c:v>
                </c:pt>
                <c:pt idx="11">
                  <c:v>-0.44</c:v>
                </c:pt>
                <c:pt idx="12">
                  <c:v>-0.48</c:v>
                </c:pt>
                <c:pt idx="13">
                  <c:v>-0.52</c:v>
                </c:pt>
                <c:pt idx="14">
                  <c:v>-0.56000000000000005</c:v>
                </c:pt>
                <c:pt idx="15">
                  <c:v>-0.60000000000000009</c:v>
                </c:pt>
                <c:pt idx="16">
                  <c:v>-0.64</c:v>
                </c:pt>
                <c:pt idx="17">
                  <c:v>-0.68</c:v>
                </c:pt>
                <c:pt idx="18">
                  <c:v>-0.72000000000000008</c:v>
                </c:pt>
                <c:pt idx="19">
                  <c:v>-0.76</c:v>
                </c:pt>
                <c:pt idx="20">
                  <c:v>-0.8</c:v>
                </c:pt>
                <c:pt idx="21">
                  <c:v>-0.84</c:v>
                </c:pt>
                <c:pt idx="22">
                  <c:v>-0.88</c:v>
                </c:pt>
                <c:pt idx="23">
                  <c:v>-0.92</c:v>
                </c:pt>
                <c:pt idx="24">
                  <c:v>-0.96</c:v>
                </c:pt>
                <c:pt idx="25">
                  <c:v>-1</c:v>
                </c:pt>
              </c:numCache>
            </c:numRef>
          </c:xVal>
          <c:yVal>
            <c:numRef>
              <c:f>'shear rates'!$G$27:$AF$27</c:f>
              <c:numCache>
                <c:formatCode>General</c:formatCode>
                <c:ptCount val="26"/>
                <c:pt idx="0">
                  <c:v>1.6572815184059708</c:v>
                </c:pt>
                <c:pt idx="1">
                  <c:v>1.6546298679765212</c:v>
                </c:pt>
                <c:pt idx="2">
                  <c:v>1.6466749166881727</c:v>
                </c:pt>
                <c:pt idx="3">
                  <c:v>1.6334166645409249</c:v>
                </c:pt>
                <c:pt idx="4">
                  <c:v>1.614855111534778</c:v>
                </c:pt>
                <c:pt idx="5">
                  <c:v>1.5909902576697319</c:v>
                </c:pt>
                <c:pt idx="6">
                  <c:v>1.5618221029457868</c:v>
                </c:pt>
                <c:pt idx="7">
                  <c:v>1.5273506473629426</c:v>
                </c:pt>
                <c:pt idx="8">
                  <c:v>1.4875758909211994</c:v>
                </c:pt>
                <c:pt idx="9">
                  <c:v>1.4424978336205569</c:v>
                </c:pt>
                <c:pt idx="10">
                  <c:v>1.3921164754610154</c:v>
                </c:pt>
                <c:pt idx="11">
                  <c:v>1.3364318164425748</c:v>
                </c:pt>
                <c:pt idx="12">
                  <c:v>1.2754438565652351</c:v>
                </c:pt>
                <c:pt idx="13">
                  <c:v>1.2091525958289964</c:v>
                </c:pt>
                <c:pt idx="14">
                  <c:v>1.1375580342338583</c:v>
                </c:pt>
                <c:pt idx="15">
                  <c:v>1.0606601717798212</c:v>
                </c:pt>
                <c:pt idx="16">
                  <c:v>0.97845900846688505</c:v>
                </c:pt>
                <c:pt idx="17">
                  <c:v>0.89095454429504972</c:v>
                </c:pt>
                <c:pt idx="18">
                  <c:v>0.79814677926431543</c:v>
                </c:pt>
                <c:pt idx="19">
                  <c:v>0.70003571337468184</c:v>
                </c:pt>
                <c:pt idx="20">
                  <c:v>0.59662134662614952</c:v>
                </c:pt>
                <c:pt idx="21">
                  <c:v>0.48790367901871762</c:v>
                </c:pt>
                <c:pt idx="22">
                  <c:v>0.37388271055238687</c:v>
                </c:pt>
                <c:pt idx="23">
                  <c:v>0.25455844122715687</c:v>
                </c:pt>
                <c:pt idx="24">
                  <c:v>0.12993087104302797</c:v>
                </c:pt>
                <c:pt idx="25">
                  <c:v>0</c:v>
                </c:pt>
              </c:numCache>
            </c:numRef>
          </c:yVal>
          <c:smooth val="0"/>
          <c:extLst>
            <c:ext xmlns:c16="http://schemas.microsoft.com/office/drawing/2014/chart" uri="{C3380CC4-5D6E-409C-BE32-E72D297353CC}">
              <c16:uniqueId val="{00000006-E683-463B-9C11-B1DE30A0E38E}"/>
            </c:ext>
          </c:extLst>
        </c:ser>
        <c:ser>
          <c:idx val="9"/>
          <c:order val="9"/>
          <c:spPr>
            <a:ln w="12700" cap="rnd">
              <a:solidFill>
                <a:srgbClr val="00B050"/>
              </a:solidFill>
              <a:round/>
            </a:ln>
            <a:effectLst/>
          </c:spPr>
          <c:marker>
            <c:symbol val="triangle"/>
            <c:size val="5"/>
            <c:spPr>
              <a:solidFill>
                <a:srgbClr val="00B050"/>
              </a:solidFill>
              <a:ln w="25400">
                <a:solidFill>
                  <a:srgbClr val="00B050"/>
                </a:solidFill>
              </a:ln>
              <a:effectLst/>
            </c:spPr>
          </c:marker>
          <c:xVal>
            <c:numRef>
              <c:f>'shear rates'!$CN$281:$EL$281</c:f>
              <c:numCache>
                <c:formatCode>General</c:formatCode>
                <c:ptCount val="51"/>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pt idx="50">
                  <c:v>-1.0000000000000013</c:v>
                </c:pt>
              </c:numCache>
            </c:numRef>
          </c:xVal>
          <c:yVal>
            <c:numRef>
              <c:f>'shear rates'!$G$122:$BE$122</c:f>
              <c:numCache>
                <c:formatCode>General</c:formatCode>
                <c:ptCount val="51"/>
                <c:pt idx="0">
                  <c:v>1.4875816679373854</c:v>
                </c:pt>
                <c:pt idx="1">
                  <c:v>1.4875631365885369</c:v>
                </c:pt>
                <c:pt idx="2">
                  <c:v>1.4874446055944994</c:v>
                </c:pt>
                <c:pt idx="3">
                  <c:v>1.4871398360370061</c:v>
                </c:pt>
                <c:pt idx="4">
                  <c:v>1.4865679216639296</c:v>
                </c:pt>
                <c:pt idx="5">
                  <c:v>1.4856510854385023</c:v>
                </c:pt>
                <c:pt idx="6">
                  <c:v>1.4843137722260442</c:v>
                </c:pt>
                <c:pt idx="7">
                  <c:v>1.482482143521789</c:v>
                </c:pt>
                <c:pt idx="8">
                  <c:v>1.4800837550511261</c:v>
                </c:pt>
                <c:pt idx="9">
                  <c:v>1.4770473334004048</c:v>
                </c:pt>
                <c:pt idx="10">
                  <c:v>1.4733026123439037</c:v>
                </c:pt>
                <c:pt idx="11">
                  <c:v>1.4687802079156476</c:v>
                </c:pt>
                <c:pt idx="12">
                  <c:v>1.463411520034906</c:v>
                </c:pt>
                <c:pt idx="13">
                  <c:v>1.4571286531097891</c:v>
                </c:pt>
                <c:pt idx="14">
                  <c:v>1.4498643506651381</c:v>
                </c:pt>
                <c:pt idx="15">
                  <c:v>1.4415519406202462</c:v>
                </c:pt>
                <c:pt idx="16">
                  <c:v>1.4321252888394069</c:v>
                </c:pt>
                <c:pt idx="17">
                  <c:v>1.4215187592332976</c:v>
                </c:pt>
                <c:pt idx="18">
                  <c:v>1.4096671791336641</c:v>
                </c:pt>
                <c:pt idx="19">
                  <c:v>1.3965058089738838</c:v>
                </c:pt>
                <c:pt idx="20">
                  <c:v>1.3819703155296497</c:v>
                </c:pt>
                <c:pt idx="21">
                  <c:v>1.3659967481358211</c:v>
                </c:pt>
                <c:pt idx="22">
                  <c:v>1.3485215174157967</c:v>
                </c:pt>
                <c:pt idx="23">
                  <c:v>1.3294813761507225</c:v>
                </c:pt>
                <c:pt idx="24">
                  <c:v>1.3088134019856026</c:v>
                </c:pt>
                <c:pt idx="25">
                  <c:v>1.2864549817236168</c:v>
                </c:pt>
                <c:pt idx="26">
                  <c:v>1.2623437970026008</c:v>
                </c:pt>
                <c:pt idx="27">
                  <c:v>1.2364178111815707</c:v>
                </c:pt>
                <c:pt idx="28">
                  <c:v>1.2086152572924098</c:v>
                </c:pt>
                <c:pt idx="29">
                  <c:v>1.1788746269339248</c:v>
                </c:pt>
                <c:pt idx="30">
                  <c:v>1.1471346600035091</c:v>
                </c:pt>
                <c:pt idx="31">
                  <c:v>1.1133343351765279</c:v>
                </c:pt>
                <c:pt idx="32">
                  <c:v>1.0774128610558464</c:v>
                </c:pt>
                <c:pt idx="33">
                  <c:v>1.0393096679242344</c:v>
                </c:pt>
                <c:pt idx="34">
                  <c:v>0.99896440004101361</c:v>
                </c:pt>
                <c:pt idx="35">
                  <c:v>0.95631690843162909</c:v>
                </c:pt>
                <c:pt idx="36">
                  <c:v>0.91130724412502584</c:v>
                </c:pt>
                <c:pt idx="37">
                  <c:v>0.86387565179902459</c:v>
                </c:pt>
                <c:pt idx="38">
                  <c:v>0.8139625637984268</c:v>
                </c:pt>
                <c:pt idx="39">
                  <c:v>0.76150859449450281</c:v>
                </c:pt>
                <c:pt idx="40">
                  <c:v>0.70645453495791344</c:v>
                </c:pt>
                <c:pt idx="41">
                  <c:v>0.64874134792005611</c:v>
                </c:pt>
                <c:pt idx="42">
                  <c:v>0.5883101630003974</c:v>
                </c:pt>
                <c:pt idx="43">
                  <c:v>0.52510227217961047</c:v>
                </c:pt>
                <c:pt idx="44">
                  <c:v>0.45905912550030714</c:v>
                </c:pt>
                <c:pt idx="45">
                  <c:v>0.39012232697889143</c:v>
                </c:pt>
                <c:pt idx="46">
                  <c:v>0.31823363071361105</c:v>
                </c:pt>
                <c:pt idx="47">
                  <c:v>0.24333493717523783</c:v>
                </c:pt>
                <c:pt idx="48">
                  <c:v>0.16536828966802711</c:v>
                </c:pt>
                <c:pt idx="49">
                  <c:v>8.427587094967802E-2</c:v>
                </c:pt>
                <c:pt idx="50">
                  <c:v>5.6152612237648894E-15</c:v>
                </c:pt>
              </c:numCache>
            </c:numRef>
          </c:yVal>
          <c:smooth val="0"/>
          <c:extLst>
            <c:ext xmlns:c16="http://schemas.microsoft.com/office/drawing/2014/chart" uri="{C3380CC4-5D6E-409C-BE32-E72D297353CC}">
              <c16:uniqueId val="{00000007-E683-463B-9C11-B1DE30A0E38E}"/>
            </c:ext>
          </c:extLst>
        </c:ser>
        <c:ser>
          <c:idx val="10"/>
          <c:order val="10"/>
          <c:spPr>
            <a:ln w="15875" cap="rnd">
              <a:solidFill>
                <a:srgbClr val="FF0000"/>
              </a:solidFill>
              <a:round/>
            </a:ln>
            <a:effectLst/>
          </c:spPr>
          <c:marker>
            <c:symbol val="circle"/>
            <c:size val="5"/>
            <c:spPr>
              <a:solidFill>
                <a:srgbClr val="FF0000"/>
              </a:solidFill>
              <a:ln w="25400">
                <a:solidFill>
                  <a:srgbClr val="FF0000"/>
                </a:solidFill>
              </a:ln>
              <a:effectLst/>
            </c:spPr>
          </c:marker>
          <c:xVal>
            <c:numRef>
              <c:f>'shear rates'!$CN$283:$EL$283</c:f>
              <c:numCache>
                <c:formatCode>General</c:formatCode>
                <c:ptCount val="51"/>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pt idx="50">
                  <c:v>-1.0000000000000013</c:v>
                </c:pt>
              </c:numCache>
            </c:numRef>
          </c:xVal>
          <c:yVal>
            <c:numRef>
              <c:f>'shear rates'!$G$40:$BE$40</c:f>
              <c:numCache>
                <c:formatCode>General</c:formatCode>
                <c:ptCount val="51"/>
                <c:pt idx="0">
                  <c:v>0.82864075920298541</c:v>
                </c:pt>
                <c:pt idx="1">
                  <c:v>0.82830930289930427</c:v>
                </c:pt>
                <c:pt idx="2">
                  <c:v>0.82731493398826061</c:v>
                </c:pt>
                <c:pt idx="3">
                  <c:v>0.82565765246985467</c:v>
                </c:pt>
                <c:pt idx="4">
                  <c:v>0.82333745834408634</c:v>
                </c:pt>
                <c:pt idx="5">
                  <c:v>0.8203543516109556</c:v>
                </c:pt>
                <c:pt idx="6">
                  <c:v>0.81670833227046247</c:v>
                </c:pt>
                <c:pt idx="7">
                  <c:v>0.81239940032260693</c:v>
                </c:pt>
                <c:pt idx="8">
                  <c:v>0.807427555767389</c:v>
                </c:pt>
                <c:pt idx="9">
                  <c:v>0.80179279860480868</c:v>
                </c:pt>
                <c:pt idx="10">
                  <c:v>0.79549512883486595</c:v>
                </c:pt>
                <c:pt idx="11">
                  <c:v>0.78853454645756094</c:v>
                </c:pt>
                <c:pt idx="12">
                  <c:v>0.78091105147289341</c:v>
                </c:pt>
                <c:pt idx="13">
                  <c:v>0.7726246438808636</c:v>
                </c:pt>
                <c:pt idx="14">
                  <c:v>0.76367532368147129</c:v>
                </c:pt>
                <c:pt idx="15">
                  <c:v>0.75406309087471679</c:v>
                </c:pt>
                <c:pt idx="16">
                  <c:v>0.74378794546059968</c:v>
                </c:pt>
                <c:pt idx="17">
                  <c:v>0.73284988743912027</c:v>
                </c:pt>
                <c:pt idx="18">
                  <c:v>0.72124891681027847</c:v>
                </c:pt>
                <c:pt idx="19">
                  <c:v>0.70898503357407427</c:v>
                </c:pt>
                <c:pt idx="20">
                  <c:v>0.69605823773050768</c:v>
                </c:pt>
                <c:pt idx="21">
                  <c:v>0.68246852927957879</c:v>
                </c:pt>
                <c:pt idx="22">
                  <c:v>0.6682159082212874</c:v>
                </c:pt>
                <c:pt idx="23">
                  <c:v>0.65330037455563372</c:v>
                </c:pt>
                <c:pt idx="24">
                  <c:v>0.63772192828261753</c:v>
                </c:pt>
                <c:pt idx="25">
                  <c:v>0.62148056940223906</c:v>
                </c:pt>
                <c:pt idx="26">
                  <c:v>0.60457629791449818</c:v>
                </c:pt>
                <c:pt idx="27">
                  <c:v>0.5870091138193948</c:v>
                </c:pt>
                <c:pt idx="28">
                  <c:v>0.56877901711692902</c:v>
                </c:pt>
                <c:pt idx="29">
                  <c:v>0.54988600780710095</c:v>
                </c:pt>
                <c:pt idx="30">
                  <c:v>0.53033008588991037</c:v>
                </c:pt>
                <c:pt idx="31">
                  <c:v>0.51011125136535751</c:v>
                </c:pt>
                <c:pt idx="32">
                  <c:v>0.48922950423344214</c:v>
                </c:pt>
                <c:pt idx="33">
                  <c:v>0.46768484449416442</c:v>
                </c:pt>
                <c:pt idx="34">
                  <c:v>0.44547727214752447</c:v>
                </c:pt>
                <c:pt idx="35">
                  <c:v>0.42260678719352202</c:v>
                </c:pt>
                <c:pt idx="36">
                  <c:v>0.39907338963215705</c:v>
                </c:pt>
                <c:pt idx="37">
                  <c:v>0.3748770794634298</c:v>
                </c:pt>
                <c:pt idx="38">
                  <c:v>0.35001785668734009</c:v>
                </c:pt>
                <c:pt idx="39">
                  <c:v>0.32449572130388815</c:v>
                </c:pt>
                <c:pt idx="40">
                  <c:v>0.29831067331307365</c:v>
                </c:pt>
                <c:pt idx="41">
                  <c:v>0.2714627127148968</c:v>
                </c:pt>
                <c:pt idx="42">
                  <c:v>0.24395183950935762</c:v>
                </c:pt>
                <c:pt idx="43">
                  <c:v>0.215778053696456</c:v>
                </c:pt>
                <c:pt idx="44">
                  <c:v>0.18694135527619204</c:v>
                </c:pt>
                <c:pt idx="45">
                  <c:v>0.15744174424856561</c:v>
                </c:pt>
                <c:pt idx="46">
                  <c:v>0.12727922061357677</c:v>
                </c:pt>
                <c:pt idx="47">
                  <c:v>9.645378437122562E-2</c:v>
                </c:pt>
                <c:pt idx="48">
                  <c:v>6.4965435521512058E-2</c:v>
                </c:pt>
                <c:pt idx="49">
                  <c:v>3.2814174064436173E-2</c:v>
                </c:pt>
                <c:pt idx="50">
                  <c:v>2.2079425200240588E-15</c:v>
                </c:pt>
              </c:numCache>
            </c:numRef>
          </c:yVal>
          <c:smooth val="0"/>
          <c:extLst>
            <c:ext xmlns:c16="http://schemas.microsoft.com/office/drawing/2014/chart" uri="{C3380CC4-5D6E-409C-BE32-E72D297353CC}">
              <c16:uniqueId val="{00000008-E683-463B-9C11-B1DE30A0E38E}"/>
            </c:ext>
          </c:extLst>
        </c:ser>
        <c:ser>
          <c:idx val="11"/>
          <c:order val="11"/>
          <c:spPr>
            <a:ln w="19050" cap="rnd">
              <a:solidFill>
                <a:srgbClr val="FF0000"/>
              </a:solidFill>
              <a:round/>
            </a:ln>
            <a:effectLst/>
          </c:spPr>
          <c:marker>
            <c:symbol val="triangle"/>
            <c:size val="5"/>
            <c:spPr>
              <a:solidFill>
                <a:srgbClr val="FF0000"/>
              </a:solidFill>
              <a:ln w="25400">
                <a:solidFill>
                  <a:srgbClr val="FF0000"/>
                </a:solidFill>
              </a:ln>
              <a:effectLst/>
            </c:spPr>
          </c:marker>
          <c:xVal>
            <c:numRef>
              <c:f>'shear rates'!$CN$284:$GJ$284</c:f>
              <c:numCache>
                <c:formatCode>General</c:formatCode>
                <c:ptCount val="101"/>
                <c:pt idx="0">
                  <c:v>0</c:v>
                </c:pt>
                <c:pt idx="1">
                  <c:v>-0.01</c:v>
                </c:pt>
                <c:pt idx="2">
                  <c:v>-0.02</c:v>
                </c:pt>
                <c:pt idx="3">
                  <c:v>-3.0000000000000002E-2</c:v>
                </c:pt>
                <c:pt idx="4">
                  <c:v>-0.04</c:v>
                </c:pt>
                <c:pt idx="5">
                  <c:v>-0.05</c:v>
                </c:pt>
                <c:pt idx="6">
                  <c:v>-0.06</c:v>
                </c:pt>
                <c:pt idx="7">
                  <c:v>-7.0000000000000007E-2</c:v>
                </c:pt>
                <c:pt idx="8">
                  <c:v>-0.08</c:v>
                </c:pt>
                <c:pt idx="9">
                  <c:v>-9.0000000000000011E-2</c:v>
                </c:pt>
                <c:pt idx="10">
                  <c:v>-0.1</c:v>
                </c:pt>
                <c:pt idx="11">
                  <c:v>-0.11</c:v>
                </c:pt>
                <c:pt idx="12">
                  <c:v>-0.12</c:v>
                </c:pt>
                <c:pt idx="13">
                  <c:v>-0.13</c:v>
                </c:pt>
                <c:pt idx="14">
                  <c:v>-0.14000000000000001</c:v>
                </c:pt>
                <c:pt idx="15">
                  <c:v>-0.15000000000000002</c:v>
                </c:pt>
                <c:pt idx="16">
                  <c:v>-0.16</c:v>
                </c:pt>
                <c:pt idx="17">
                  <c:v>-0.17</c:v>
                </c:pt>
                <c:pt idx="18">
                  <c:v>-0.18000000000000002</c:v>
                </c:pt>
                <c:pt idx="19">
                  <c:v>-0.19</c:v>
                </c:pt>
                <c:pt idx="20">
                  <c:v>-0.2</c:v>
                </c:pt>
                <c:pt idx="21">
                  <c:v>-0.21</c:v>
                </c:pt>
                <c:pt idx="22">
                  <c:v>-0.22</c:v>
                </c:pt>
                <c:pt idx="23">
                  <c:v>-0.23</c:v>
                </c:pt>
                <c:pt idx="24">
                  <c:v>-0.24</c:v>
                </c:pt>
                <c:pt idx="25">
                  <c:v>-0.25</c:v>
                </c:pt>
                <c:pt idx="26">
                  <c:v>-0.26</c:v>
                </c:pt>
                <c:pt idx="27">
                  <c:v>-0.27000000000000007</c:v>
                </c:pt>
                <c:pt idx="28">
                  <c:v>-0.28000000000000008</c:v>
                </c:pt>
                <c:pt idx="29">
                  <c:v>-0.29000000000000009</c:v>
                </c:pt>
                <c:pt idx="30">
                  <c:v>-0.30000000000000016</c:v>
                </c:pt>
                <c:pt idx="31">
                  <c:v>-0.31000000000000016</c:v>
                </c:pt>
                <c:pt idx="32">
                  <c:v>-0.32000000000000017</c:v>
                </c:pt>
                <c:pt idx="33">
                  <c:v>-0.33000000000000018</c:v>
                </c:pt>
                <c:pt idx="34">
                  <c:v>-0.34000000000000025</c:v>
                </c:pt>
                <c:pt idx="35">
                  <c:v>-0.35000000000000026</c:v>
                </c:pt>
                <c:pt idx="36">
                  <c:v>-0.36000000000000026</c:v>
                </c:pt>
                <c:pt idx="37">
                  <c:v>-0.37000000000000033</c:v>
                </c:pt>
                <c:pt idx="38">
                  <c:v>-0.38000000000000034</c:v>
                </c:pt>
                <c:pt idx="39">
                  <c:v>-0.39000000000000035</c:v>
                </c:pt>
                <c:pt idx="40">
                  <c:v>-0.40000000000000041</c:v>
                </c:pt>
                <c:pt idx="41">
                  <c:v>-0.41000000000000042</c:v>
                </c:pt>
                <c:pt idx="42">
                  <c:v>-0.42000000000000043</c:v>
                </c:pt>
                <c:pt idx="43">
                  <c:v>-0.43000000000000049</c:v>
                </c:pt>
                <c:pt idx="44">
                  <c:v>-0.4400000000000005</c:v>
                </c:pt>
                <c:pt idx="45">
                  <c:v>-0.45000000000000051</c:v>
                </c:pt>
                <c:pt idx="46">
                  <c:v>-0.46000000000000052</c:v>
                </c:pt>
                <c:pt idx="47">
                  <c:v>-0.47000000000000058</c:v>
                </c:pt>
                <c:pt idx="48">
                  <c:v>-0.48000000000000059</c:v>
                </c:pt>
                <c:pt idx="49">
                  <c:v>-0.4900000000000006</c:v>
                </c:pt>
                <c:pt idx="50">
                  <c:v>-0.50000000000000067</c:v>
                </c:pt>
                <c:pt idx="51">
                  <c:v>-0.51000000000000068</c:v>
                </c:pt>
                <c:pt idx="52">
                  <c:v>-0.52000000000000068</c:v>
                </c:pt>
                <c:pt idx="53">
                  <c:v>-0.53000000000000069</c:v>
                </c:pt>
                <c:pt idx="54">
                  <c:v>-0.5400000000000007</c:v>
                </c:pt>
                <c:pt idx="55">
                  <c:v>-0.55000000000000082</c:v>
                </c:pt>
                <c:pt idx="56">
                  <c:v>-0.56000000000000083</c:v>
                </c:pt>
                <c:pt idx="57">
                  <c:v>-0.57000000000000084</c:v>
                </c:pt>
                <c:pt idx="58">
                  <c:v>-0.58000000000000085</c:v>
                </c:pt>
                <c:pt idx="59">
                  <c:v>-0.59000000000000086</c:v>
                </c:pt>
                <c:pt idx="60">
                  <c:v>-0.60000000000000087</c:v>
                </c:pt>
                <c:pt idx="61">
                  <c:v>-0.61000000000000099</c:v>
                </c:pt>
                <c:pt idx="62">
                  <c:v>-0.62000000000000099</c:v>
                </c:pt>
                <c:pt idx="63">
                  <c:v>-0.630000000000001</c:v>
                </c:pt>
                <c:pt idx="64">
                  <c:v>-0.64000000000000101</c:v>
                </c:pt>
                <c:pt idx="65">
                  <c:v>-0.65000000000000102</c:v>
                </c:pt>
                <c:pt idx="66">
                  <c:v>-0.66000000000000103</c:v>
                </c:pt>
                <c:pt idx="67">
                  <c:v>-0.67000000000000104</c:v>
                </c:pt>
                <c:pt idx="68">
                  <c:v>-0.68000000000000116</c:v>
                </c:pt>
                <c:pt idx="69">
                  <c:v>-0.69000000000000117</c:v>
                </c:pt>
                <c:pt idx="70">
                  <c:v>-0.70000000000000118</c:v>
                </c:pt>
                <c:pt idx="71">
                  <c:v>-0.71000000000000119</c:v>
                </c:pt>
                <c:pt idx="72">
                  <c:v>-0.72000000000000119</c:v>
                </c:pt>
                <c:pt idx="73">
                  <c:v>-0.7300000000000012</c:v>
                </c:pt>
                <c:pt idx="74">
                  <c:v>-0.74000000000000132</c:v>
                </c:pt>
                <c:pt idx="75">
                  <c:v>-0.75000000000000133</c:v>
                </c:pt>
                <c:pt idx="76">
                  <c:v>-0.76000000000000134</c:v>
                </c:pt>
                <c:pt idx="77">
                  <c:v>-0.77000000000000135</c:v>
                </c:pt>
                <c:pt idx="78">
                  <c:v>-0.78000000000000136</c:v>
                </c:pt>
                <c:pt idx="79">
                  <c:v>-0.79000000000000137</c:v>
                </c:pt>
                <c:pt idx="80">
                  <c:v>-0.80000000000000138</c:v>
                </c:pt>
                <c:pt idx="81">
                  <c:v>-0.8100000000000015</c:v>
                </c:pt>
                <c:pt idx="82">
                  <c:v>-0.82000000000000151</c:v>
                </c:pt>
                <c:pt idx="83">
                  <c:v>-0.83000000000000151</c:v>
                </c:pt>
                <c:pt idx="84">
                  <c:v>-0.84000000000000152</c:v>
                </c:pt>
                <c:pt idx="85">
                  <c:v>-0.85000000000000153</c:v>
                </c:pt>
                <c:pt idx="86">
                  <c:v>-0.86000000000000154</c:v>
                </c:pt>
                <c:pt idx="87">
                  <c:v>-0.87000000000000166</c:v>
                </c:pt>
                <c:pt idx="88">
                  <c:v>-0.88000000000000167</c:v>
                </c:pt>
                <c:pt idx="89">
                  <c:v>-0.89000000000000168</c:v>
                </c:pt>
                <c:pt idx="90">
                  <c:v>-0.90000000000000169</c:v>
                </c:pt>
                <c:pt idx="91">
                  <c:v>-0.9100000000000017</c:v>
                </c:pt>
                <c:pt idx="92">
                  <c:v>-0.92000000000000171</c:v>
                </c:pt>
                <c:pt idx="93">
                  <c:v>-0.93000000000000171</c:v>
                </c:pt>
                <c:pt idx="94">
                  <c:v>-0.94000000000000183</c:v>
                </c:pt>
                <c:pt idx="95">
                  <c:v>-0.95000000000000184</c:v>
                </c:pt>
                <c:pt idx="96">
                  <c:v>-0.96000000000000185</c:v>
                </c:pt>
                <c:pt idx="97">
                  <c:v>-0.97000000000000186</c:v>
                </c:pt>
                <c:pt idx="98">
                  <c:v>-0.98000000000000187</c:v>
                </c:pt>
                <c:pt idx="99">
                  <c:v>-0.99000000000000188</c:v>
                </c:pt>
                <c:pt idx="100">
                  <c:v>-1.000000000000002</c:v>
                </c:pt>
              </c:numCache>
            </c:numRef>
          </c:xVal>
          <c:yVal>
            <c:numRef>
              <c:f>'shear rates'!$G$135:$DC$135</c:f>
              <c:numCache>
                <c:formatCode>General</c:formatCode>
                <c:ptCount val="101"/>
                <c:pt idx="0">
                  <c:v>0.74379083396869272</c:v>
                </c:pt>
                <c:pt idx="1">
                  <c:v>0.74378958121435146</c:v>
                </c:pt>
                <c:pt idx="2">
                  <c:v>0.74378156829426845</c:v>
                </c:pt>
                <c:pt idx="3">
                  <c:v>0.74376096529394964</c:v>
                </c:pt>
                <c:pt idx="4">
                  <c:v>0.74372230279724971</c:v>
                </c:pt>
                <c:pt idx="5">
                  <c:v>0.7436603229289187</c:v>
                </c:pt>
                <c:pt idx="6">
                  <c:v>0.74356991801850303</c:v>
                </c:pt>
                <c:pt idx="7">
                  <c:v>0.74344609644298854</c:v>
                </c:pt>
                <c:pt idx="8">
                  <c:v>0.7432839608319648</c:v>
                </c:pt>
                <c:pt idx="9">
                  <c:v>0.74307869296744344</c:v>
                </c:pt>
                <c:pt idx="10">
                  <c:v>0.74282554271925116</c:v>
                </c:pt>
                <c:pt idx="11">
                  <c:v>0.74251981959964763</c:v>
                </c:pt>
                <c:pt idx="12">
                  <c:v>0.74215688611302211</c:v>
                </c:pt>
                <c:pt idx="13">
                  <c:v>0.74173215238854606</c:v>
                </c:pt>
                <c:pt idx="14">
                  <c:v>0.74124107176089449</c:v>
                </c:pt>
                <c:pt idx="15">
                  <c:v>0.74067913707091626</c:v>
                </c:pt>
                <c:pt idx="16">
                  <c:v>0.74004187752556305</c:v>
                </c:pt>
                <c:pt idx="17">
                  <c:v>0.73932485600066655</c:v>
                </c:pt>
                <c:pt idx="18">
                  <c:v>0.73852366670020242</c:v>
                </c:pt>
                <c:pt idx="19">
                  <c:v>0.73763393310663772</c:v>
                </c:pt>
                <c:pt idx="20">
                  <c:v>0.73665130617195185</c:v>
                </c:pt>
                <c:pt idx="21">
                  <c:v>0.73557146270984874</c:v>
                </c:pt>
                <c:pt idx="22">
                  <c:v>0.73439010395782378</c:v>
                </c:pt>
                <c:pt idx="23">
                  <c:v>0.73310295428388472</c:v>
                </c:pt>
                <c:pt idx="24">
                  <c:v>0.73170576001745302</c:v>
                </c:pt>
                <c:pt idx="25">
                  <c:v>0.73019428838762868</c:v>
                </c:pt>
                <c:pt idx="26">
                  <c:v>0.72856432655489456</c:v>
                </c:pt>
                <c:pt idx="27">
                  <c:v>0.72681168072461921</c:v>
                </c:pt>
                <c:pt idx="28">
                  <c:v>0.72493217533256904</c:v>
                </c:pt>
                <c:pt idx="29">
                  <c:v>0.72292165229412486</c:v>
                </c:pt>
                <c:pt idx="30">
                  <c:v>0.72077597031012308</c:v>
                </c:pt>
                <c:pt idx="31">
                  <c:v>0.71849100422324408</c:v>
                </c:pt>
                <c:pt idx="32">
                  <c:v>0.71606264441970346</c:v>
                </c:pt>
                <c:pt idx="33">
                  <c:v>0.71348679627169875</c:v>
                </c:pt>
                <c:pt idx="34">
                  <c:v>0.7107593796166487</c:v>
                </c:pt>
                <c:pt idx="35">
                  <c:v>0.70787632826975422</c:v>
                </c:pt>
                <c:pt idx="36">
                  <c:v>0.70483358956683206</c:v>
                </c:pt>
                <c:pt idx="37">
                  <c:v>0.70162712393473048</c:v>
                </c:pt>
                <c:pt idx="38">
                  <c:v>0.69825290448694177</c:v>
                </c:pt>
                <c:pt idx="39">
                  <c:v>0.69470691664229289</c:v>
                </c:pt>
                <c:pt idx="40">
                  <c:v>0.69098515776482472</c:v>
                </c:pt>
                <c:pt idx="41">
                  <c:v>0.68708363682316975</c:v>
                </c:pt>
                <c:pt idx="42">
                  <c:v>0.68299837406791031</c:v>
                </c:pt>
                <c:pt idx="43">
                  <c:v>0.67872540072555476</c:v>
                </c:pt>
                <c:pt idx="44">
                  <c:v>0.67426075870789803</c:v>
                </c:pt>
                <c:pt idx="45">
                  <c:v>0.66960050033565588</c:v>
                </c:pt>
                <c:pt idx="46">
                  <c:v>0.66474068807536102</c:v>
                </c:pt>
                <c:pt idx="47">
                  <c:v>0.65967739428860672</c:v>
                </c:pt>
                <c:pt idx="48">
                  <c:v>0.65440670099280096</c:v>
                </c:pt>
                <c:pt idx="49">
                  <c:v>0.64892469963266874</c:v>
                </c:pt>
                <c:pt idx="50">
                  <c:v>0.64322749086180808</c:v>
                </c:pt>
                <c:pt idx="51">
                  <c:v>0.63731118433365863</c:v>
                </c:pt>
                <c:pt idx="52">
                  <c:v>0.63117189850130007</c:v>
                </c:pt>
                <c:pt idx="53">
                  <c:v>0.62480576042553793</c:v>
                </c:pt>
                <c:pt idx="54">
                  <c:v>0.6182089055907849</c:v>
                </c:pt>
                <c:pt idx="55">
                  <c:v>0.61137747772827722</c:v>
                </c:pt>
                <c:pt idx="56">
                  <c:v>0.60430762864620435</c:v>
                </c:pt>
                <c:pt idx="57">
                  <c:v>0.59699551806636175</c:v>
                </c:pt>
                <c:pt idx="58">
                  <c:v>0.58943731346696182</c:v>
                </c:pt>
                <c:pt idx="59">
                  <c:v>0.58162918993127055</c:v>
                </c:pt>
                <c:pt idx="60">
                  <c:v>0.57356733000175419</c:v>
                </c:pt>
                <c:pt idx="61">
                  <c:v>0.56524792353944564</c:v>
                </c:pt>
                <c:pt idx="62">
                  <c:v>0.5566671675882634</c:v>
                </c:pt>
                <c:pt idx="63">
                  <c:v>0.54782126624402483</c:v>
                </c:pt>
                <c:pt idx="64">
                  <c:v>0.53870643052792255</c:v>
                </c:pt>
                <c:pt idx="65">
                  <c:v>0.52931887826424273</c:v>
                </c:pt>
                <c:pt idx="66">
                  <c:v>0.51965483396211654</c:v>
                </c:pt>
                <c:pt idx="67">
                  <c:v>0.50971052870111544</c:v>
                </c:pt>
                <c:pt idx="68">
                  <c:v>0.49948220002050614</c:v>
                </c:pt>
                <c:pt idx="69">
                  <c:v>0.48896609181199674</c:v>
                </c:pt>
                <c:pt idx="70">
                  <c:v>0.47815845421581377</c:v>
                </c:pt>
                <c:pt idx="71">
                  <c:v>0.46705554351995998</c:v>
                </c:pt>
                <c:pt idx="72">
                  <c:v>0.45565362206251209</c:v>
                </c:pt>
                <c:pt idx="73">
                  <c:v>0.44394895813682411</c:v>
                </c:pt>
                <c:pt idx="74">
                  <c:v>0.43193782589951152</c:v>
                </c:pt>
                <c:pt idx="75">
                  <c:v>0.41961650528109823</c:v>
                </c:pt>
                <c:pt idx="76">
                  <c:v>0.40698128189921257</c:v>
                </c:pt>
                <c:pt idx="77">
                  <c:v>0.39402844697422845</c:v>
                </c:pt>
                <c:pt idx="78">
                  <c:v>0.38075429724725052</c:v>
                </c:pt>
                <c:pt idx="79">
                  <c:v>0.3671551349003494</c:v>
                </c:pt>
                <c:pt idx="80">
                  <c:v>0.353227267478956</c:v>
                </c:pt>
                <c:pt idx="81">
                  <c:v>0.33896700781633049</c:v>
                </c:pt>
                <c:pt idx="82">
                  <c:v>0.32437067396002706</c:v>
                </c:pt>
                <c:pt idx="83">
                  <c:v>0.3094345891002736</c:v>
                </c:pt>
                <c:pt idx="84">
                  <c:v>0.29415508150019765</c:v>
                </c:pt>
                <c:pt idx="85">
                  <c:v>0.27852848442782774</c:v>
                </c:pt>
                <c:pt idx="86">
                  <c:v>0.26255113608980435</c:v>
                </c:pt>
                <c:pt idx="87">
                  <c:v>0.24621937956673723</c:v>
                </c:pt>
                <c:pt idx="88">
                  <c:v>0.22952956275015252</c:v>
                </c:pt>
                <c:pt idx="89">
                  <c:v>0.21247803828096748</c:v>
                </c:pt>
                <c:pt idx="90">
                  <c:v>0.19506116348944455</c:v>
                </c:pt>
                <c:pt idx="91">
                  <c:v>0.17727530033656932</c:v>
                </c:pt>
                <c:pt idx="92">
                  <c:v>0.15911681535680428</c:v>
                </c:pt>
                <c:pt idx="93">
                  <c:v>0.14058207960217123</c:v>
                </c:pt>
                <c:pt idx="94">
                  <c:v>0.12166746858761766</c:v>
                </c:pt>
                <c:pt idx="95">
                  <c:v>0.10236936223762458</c:v>
                </c:pt>
                <c:pt idx="96">
                  <c:v>8.2684144834012235E-2</c:v>
                </c:pt>
                <c:pt idx="97">
                  <c:v>6.2608204964908321E-2</c:v>
                </c:pt>
                <c:pt idx="98">
                  <c:v>4.2137935474837601E-2</c:v>
                </c:pt>
                <c:pt idx="99">
                  <c:v>2.1269733415899293E-2</c:v>
                </c:pt>
                <c:pt idx="100">
                  <c:v>4.2940232887613863E-15</c:v>
                </c:pt>
              </c:numCache>
            </c:numRef>
          </c:yVal>
          <c:smooth val="0"/>
          <c:extLst>
            <c:ext xmlns:c16="http://schemas.microsoft.com/office/drawing/2014/chart" uri="{C3380CC4-5D6E-409C-BE32-E72D297353CC}">
              <c16:uniqueId val="{00000009-E683-463B-9C11-B1DE30A0E38E}"/>
            </c:ext>
          </c:extLst>
        </c:ser>
        <c:ser>
          <c:idx val="12"/>
          <c:order val="12"/>
          <c:tx>
            <c:v>Extension rate 1.6 mm Newtonian</c:v>
          </c:tx>
          <c:spPr>
            <a:ln w="12700" cap="rnd">
              <a:solidFill>
                <a:schemeClr val="accent2"/>
              </a:solidFill>
              <a:round/>
            </a:ln>
            <a:effectLst/>
          </c:spPr>
          <c:marker>
            <c:symbol val="circle"/>
            <c:size val="5"/>
            <c:spPr>
              <a:solidFill>
                <a:schemeClr val="accent2"/>
              </a:solidFill>
              <a:ln w="25400">
                <a:solidFill>
                  <a:schemeClr val="accent2"/>
                </a:solidFill>
              </a:ln>
              <a:effectLst/>
            </c:spPr>
          </c:marker>
          <c:xVal>
            <c:numRef>
              <c:f>'shear rates'!$CM$263:$FO$263</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rates'!$G$52:$CI$52</c:f>
              <c:numCache>
                <c:formatCode>General</c:formatCode>
                <c:ptCount val="81"/>
                <c:pt idx="0">
                  <c:v>0.51790047450186594</c:v>
                </c:pt>
                <c:pt idx="1">
                  <c:v>0.51781955255272505</c:v>
                </c:pt>
                <c:pt idx="2">
                  <c:v>0.51757678670530227</c:v>
                </c:pt>
                <c:pt idx="3">
                  <c:v>0.51717217695959761</c:v>
                </c:pt>
                <c:pt idx="4">
                  <c:v>0.51660572331561128</c:v>
                </c:pt>
                <c:pt idx="5">
                  <c:v>0.51587742577334306</c:v>
                </c:pt>
                <c:pt idx="6">
                  <c:v>0.51498728433279295</c:v>
                </c:pt>
                <c:pt idx="7">
                  <c:v>0.51393529899396106</c:v>
                </c:pt>
                <c:pt idx="8">
                  <c:v>0.51272146975684729</c:v>
                </c:pt>
                <c:pt idx="9">
                  <c:v>0.51134579662145163</c:v>
                </c:pt>
                <c:pt idx="10">
                  <c:v>0.5098082795877743</c:v>
                </c:pt>
                <c:pt idx="11">
                  <c:v>0.50810891865581498</c:v>
                </c:pt>
                <c:pt idx="12">
                  <c:v>0.50624771382557399</c:v>
                </c:pt>
                <c:pt idx="13">
                  <c:v>0.50422466509705111</c:v>
                </c:pt>
                <c:pt idx="14">
                  <c:v>0.50203977247024634</c:v>
                </c:pt>
                <c:pt idx="15">
                  <c:v>0.49969303594515974</c:v>
                </c:pt>
                <c:pt idx="16">
                  <c:v>0.4971844555217913</c:v>
                </c:pt>
                <c:pt idx="17">
                  <c:v>0.49451403120014104</c:v>
                </c:pt>
                <c:pt idx="18">
                  <c:v>0.49168176298020894</c:v>
                </c:pt>
                <c:pt idx="19">
                  <c:v>0.48868765086199506</c:v>
                </c:pt>
                <c:pt idx="20">
                  <c:v>0.4855316948454993</c:v>
                </c:pt>
                <c:pt idx="21">
                  <c:v>0.48221389493072175</c:v>
                </c:pt>
                <c:pt idx="22">
                  <c:v>0.47873425111766232</c:v>
                </c:pt>
                <c:pt idx="23">
                  <c:v>0.47509276340632106</c:v>
                </c:pt>
                <c:pt idx="24">
                  <c:v>0.47128943179669802</c:v>
                </c:pt>
                <c:pt idx="25">
                  <c:v>0.46732425628879309</c:v>
                </c:pt>
                <c:pt idx="26">
                  <c:v>0.46319723688260639</c:v>
                </c:pt>
                <c:pt idx="27">
                  <c:v>0.45890837357813774</c:v>
                </c:pt>
                <c:pt idx="28">
                  <c:v>0.45445766637538731</c:v>
                </c:pt>
                <c:pt idx="29">
                  <c:v>0.44984511527435511</c:v>
                </c:pt>
                <c:pt idx="30">
                  <c:v>0.44507072027504097</c:v>
                </c:pt>
                <c:pt idx="31">
                  <c:v>0.44013448137744504</c:v>
                </c:pt>
                <c:pt idx="32">
                  <c:v>0.43503639858156734</c:v>
                </c:pt>
                <c:pt idx="33">
                  <c:v>0.4297764718874077</c:v>
                </c:pt>
                <c:pt idx="34">
                  <c:v>0.42435470129496627</c:v>
                </c:pt>
                <c:pt idx="35">
                  <c:v>0.41877108680424302</c:v>
                </c:pt>
                <c:pt idx="36">
                  <c:v>0.41302562841523793</c:v>
                </c:pt>
                <c:pt idx="37">
                  <c:v>0.40711832612795096</c:v>
                </c:pt>
                <c:pt idx="38">
                  <c:v>0.40104917994238221</c:v>
                </c:pt>
                <c:pt idx="39">
                  <c:v>0.39481818985853162</c:v>
                </c:pt>
                <c:pt idx="40">
                  <c:v>0.3884253558763992</c:v>
                </c:pt>
                <c:pt idx="41">
                  <c:v>0.38187067799598495</c:v>
                </c:pt>
                <c:pt idx="42">
                  <c:v>0.37515415621728881</c:v>
                </c:pt>
                <c:pt idx="43">
                  <c:v>0.36827579054031095</c:v>
                </c:pt>
                <c:pt idx="44">
                  <c:v>0.36123558096505115</c:v>
                </c:pt>
                <c:pt idx="45">
                  <c:v>0.35403352749150957</c:v>
                </c:pt>
                <c:pt idx="46">
                  <c:v>0.3466696301196861</c:v>
                </c:pt>
                <c:pt idx="47">
                  <c:v>0.3391438888495808</c:v>
                </c:pt>
                <c:pt idx="48">
                  <c:v>0.33145630368119372</c:v>
                </c:pt>
                <c:pt idx="49">
                  <c:v>0.32360687461452481</c:v>
                </c:pt>
                <c:pt idx="50">
                  <c:v>0.31559560164957395</c:v>
                </c:pt>
                <c:pt idx="51">
                  <c:v>0.30742248478634143</c:v>
                </c:pt>
                <c:pt idx="52">
                  <c:v>0.29908752402482697</c:v>
                </c:pt>
                <c:pt idx="53">
                  <c:v>0.29059071936503073</c:v>
                </c:pt>
                <c:pt idx="54">
                  <c:v>0.28193207080695259</c:v>
                </c:pt>
                <c:pt idx="55">
                  <c:v>0.27311157835059269</c:v>
                </c:pt>
                <c:pt idx="56">
                  <c:v>0.26412924199595095</c:v>
                </c:pt>
                <c:pt idx="57">
                  <c:v>0.25498506174302732</c:v>
                </c:pt>
                <c:pt idx="58">
                  <c:v>0.24567903759182183</c:v>
                </c:pt>
                <c:pt idx="59">
                  <c:v>0.23621116954233459</c:v>
                </c:pt>
                <c:pt idx="60">
                  <c:v>0.22658145759456549</c:v>
                </c:pt>
                <c:pt idx="61">
                  <c:v>0.21678990174851451</c:v>
                </c:pt>
                <c:pt idx="62">
                  <c:v>0.20683650200418174</c:v>
                </c:pt>
                <c:pt idx="63">
                  <c:v>0.19672125836156712</c:v>
                </c:pt>
                <c:pt idx="64">
                  <c:v>0.18644417082067063</c:v>
                </c:pt>
                <c:pt idx="65">
                  <c:v>0.1760052393814924</c:v>
                </c:pt>
                <c:pt idx="66">
                  <c:v>0.16540446404403228</c:v>
                </c:pt>
                <c:pt idx="67">
                  <c:v>0.15464184480829032</c:v>
                </c:pt>
                <c:pt idx="68">
                  <c:v>0.14371738167426656</c:v>
                </c:pt>
                <c:pt idx="69">
                  <c:v>0.13263107464196092</c:v>
                </c:pt>
                <c:pt idx="70">
                  <c:v>0.12138292371137351</c:v>
                </c:pt>
                <c:pt idx="71">
                  <c:v>0.10997292888250418</c:v>
                </c:pt>
                <c:pt idx="72">
                  <c:v>9.8401090155353116E-2</c:v>
                </c:pt>
                <c:pt idx="73">
                  <c:v>8.6667407529920193E-2</c:v>
                </c:pt>
                <c:pt idx="74">
                  <c:v>7.477188100620541E-2</c:v>
                </c:pt>
                <c:pt idx="75">
                  <c:v>6.2714510584208724E-2</c:v>
                </c:pt>
                <c:pt idx="76">
                  <c:v>5.0495296263930338E-2</c:v>
                </c:pt>
                <c:pt idx="77">
                  <c:v>3.8114238045370036E-2</c:v>
                </c:pt>
                <c:pt idx="78">
                  <c:v>2.5571335928527877E-2</c:v>
                </c:pt>
                <c:pt idx="79">
                  <c:v>1.2866589913403977E-2</c:v>
                </c:pt>
                <c:pt idx="80">
                  <c:v>1.8399521000200492E-15</c:v>
                </c:pt>
              </c:numCache>
            </c:numRef>
          </c:yVal>
          <c:smooth val="0"/>
          <c:extLst>
            <c:ext xmlns:c16="http://schemas.microsoft.com/office/drawing/2014/chart" uri="{C3380CC4-5D6E-409C-BE32-E72D297353CC}">
              <c16:uniqueId val="{0000000A-E683-463B-9C11-B1DE30A0E38E}"/>
            </c:ext>
          </c:extLst>
        </c:ser>
        <c:ser>
          <c:idx val="13"/>
          <c:order val="13"/>
          <c:tx>
            <c:v>Extension rate 1.6 mm power law</c:v>
          </c:tx>
          <c:spPr>
            <a:ln w="12700" cap="rnd">
              <a:solidFill>
                <a:schemeClr val="accent2"/>
              </a:solidFill>
              <a:round/>
            </a:ln>
            <a:effectLst/>
          </c:spPr>
          <c:marker>
            <c:symbol val="triangle"/>
            <c:size val="5"/>
            <c:spPr>
              <a:solidFill>
                <a:schemeClr val="accent2"/>
              </a:solidFill>
              <a:ln w="25400">
                <a:solidFill>
                  <a:schemeClr val="accent2"/>
                </a:solidFill>
              </a:ln>
              <a:effectLst/>
            </c:spPr>
          </c:marker>
          <c:xVal>
            <c:numRef>
              <c:f>'shear rates'!$CM$271:$IP$271</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rates'!$G$147:$FJ$147</c:f>
              <c:numCache>
                <c:formatCode>General</c:formatCode>
                <c:ptCount val="160"/>
                <c:pt idx="0">
                  <c:v>0.46486927123043298</c:v>
                </c:pt>
                <c:pt idx="1">
                  <c:v>0.46486906962886371</c:v>
                </c:pt>
                <c:pt idx="2">
                  <c:v>0.46486778013641494</c:v>
                </c:pt>
                <c:pt idx="3">
                  <c:v>0.46486446456443153</c:v>
                </c:pt>
                <c:pt idx="4">
                  <c:v>0.4648582427380526</c:v>
                </c:pt>
                <c:pt idx="5">
                  <c:v>0.46484826852498673</c:v>
                </c:pt>
                <c:pt idx="6">
                  <c:v>0.46483371996489831</c:v>
                </c:pt>
                <c:pt idx="7">
                  <c:v>0.46481379377257831</c:v>
                </c:pt>
                <c:pt idx="8">
                  <c:v>0.46478770183057422</c:v>
                </c:pt>
                <c:pt idx="9">
                  <c:v>0.46475466875916827</c:v>
                </c:pt>
                <c:pt idx="10">
                  <c:v>0.46471393013578716</c:v>
                </c:pt>
                <c:pt idx="11">
                  <c:v>0.46466473113591511</c:v>
                </c:pt>
                <c:pt idx="12">
                  <c:v>0.46460632546288261</c:v>
                </c:pt>
                <c:pt idx="13">
                  <c:v>0.4645379744841171</c:v>
                </c:pt>
                <c:pt idx="14">
                  <c:v>0.46445894651996339</c:v>
                </c:pt>
                <c:pt idx="15">
                  <c:v>0.46436851624836284</c:v>
                </c:pt>
                <c:pt idx="16">
                  <c:v>0.46426596419953203</c:v>
                </c:pt>
                <c:pt idx="17">
                  <c:v>0.46415057632190809</c:v>
                </c:pt>
                <c:pt idx="18">
                  <c:v>0.46402164360546144</c:v>
                </c:pt>
                <c:pt idx="19">
                  <c:v>0.4638784617518526</c:v>
                </c:pt>
                <c:pt idx="20">
                  <c:v>0.46372033088331843</c:v>
                </c:pt>
                <c:pt idx="21">
                  <c:v>0.46354655528393718</c:v>
                </c:pt>
                <c:pt idx="22">
                  <c:v>0.46335644316822583</c:v>
                </c:pt>
                <c:pt idx="23">
                  <c:v>0.46314930647301766</c:v>
                </c:pt>
                <c:pt idx="24">
                  <c:v>0.46292446066932275</c:v>
                </c:pt>
                <c:pt idx="25">
                  <c:v>0.46268122459146666</c:v>
                </c:pt>
                <c:pt idx="26">
                  <c:v>0.46241892028126563</c:v>
                </c:pt>
                <c:pt idx="27">
                  <c:v>0.46213687284536592</c:v>
                </c:pt>
                <c:pt idx="28">
                  <c:v>0.46183441032417066</c:v>
                </c:pt>
                <c:pt idx="29">
                  <c:v>0.46151086357101895</c:v>
                </c:pt>
                <c:pt idx="30">
                  <c:v>0.46116556614047721</c:v>
                </c:pt>
                <c:pt idx="31">
                  <c:v>0.46079785418476465</c:v>
                </c:pt>
                <c:pt idx="32">
                  <c:v>0.46040706635746992</c:v>
                </c:pt>
                <c:pt idx="33">
                  <c:v>0.45999254372382542</c:v>
                </c:pt>
                <c:pt idx="34">
                  <c:v>0.45955362967690355</c:v>
                </c:pt>
                <c:pt idx="35">
                  <c:v>0.45908966985917415</c:v>
                </c:pt>
                <c:pt idx="36">
                  <c:v>0.45860001208893481</c:v>
                </c:pt>
                <c:pt idx="37">
                  <c:v>0.4580840062911789</c:v>
                </c:pt>
                <c:pt idx="38">
                  <c:v>0.45754100443251922</c:v>
                </c:pt>
                <c:pt idx="39">
                  <c:v>0.45697036045982475</c:v>
                </c:pt>
                <c:pt idx="40">
                  <c:v>0.45637143024226795</c:v>
                </c:pt>
                <c:pt idx="41">
                  <c:v>0.4557435715165094</c:v>
                </c:pt>
                <c:pt idx="42">
                  <c:v>0.45508614383477608</c:v>
                </c:pt>
                <c:pt idx="43">
                  <c:v>0.4543985085156142</c:v>
                </c:pt>
                <c:pt idx="44">
                  <c:v>0.45368002859711737</c:v>
                </c:pt>
                <c:pt idx="45">
                  <c:v>0.45293006879245196</c:v>
                </c:pt>
                <c:pt idx="46">
                  <c:v>0.45214799544751683</c:v>
                </c:pt>
                <c:pt idx="47">
                  <c:v>0.45133317650058985</c:v>
                </c:pt>
                <c:pt idx="48">
                  <c:v>0.45048498144382693</c:v>
                </c:pt>
                <c:pt idx="49">
                  <c:v>0.4496027812864905</c:v>
                </c:pt>
                <c:pt idx="50">
                  <c:v>0.44868594851979626</c:v>
                </c:pt>
                <c:pt idx="51">
                  <c:v>0.44773385708327429</c:v>
                </c:pt>
                <c:pt idx="52">
                  <c:v>0.44674588233255119</c:v>
                </c:pt>
                <c:pt idx="53">
                  <c:v>0.44572140100846647</c:v>
                </c:pt>
                <c:pt idx="54">
                  <c:v>0.4446597912074422</c:v>
                </c:pt>
                <c:pt idx="55">
                  <c:v>0.4435604323530345</c:v>
                </c:pt>
                <c:pt idx="56">
                  <c:v>0.44242270516859633</c:v>
                </c:pt>
                <c:pt idx="57">
                  <c:v>0.44124599165099099</c:v>
                </c:pt>
                <c:pt idx="58">
                  <c:v>0.440029675045296</c:v>
                </c:pt>
                <c:pt idx="59">
                  <c:v>0.43877313982044469</c:v>
                </c:pt>
                <c:pt idx="60">
                  <c:v>0.43747577164575457</c:v>
                </c:pt>
                <c:pt idx="61">
                  <c:v>0.43613695736829566</c:v>
                </c:pt>
                <c:pt idx="62">
                  <c:v>0.43475608499105572</c:v>
                </c:pt>
                <c:pt idx="63">
                  <c:v>0.43333254365186102</c:v>
                </c:pt>
                <c:pt idx="64">
                  <c:v>0.43186572360301539</c:v>
                </c:pt>
                <c:pt idx="65">
                  <c:v>0.4303550161916217</c:v>
                </c:pt>
                <c:pt idx="66">
                  <c:v>0.42879981384055255</c:v>
                </c:pt>
                <c:pt idx="67">
                  <c:v>0.4271995100300397</c:v>
                </c:pt>
                <c:pt idx="68">
                  <c:v>0.42555349927985181</c:v>
                </c:pt>
                <c:pt idx="69">
                  <c:v>0.42386117713203497</c:v>
                </c:pt>
                <c:pt idx="70">
                  <c:v>0.42212194013418836</c:v>
                </c:pt>
                <c:pt idx="71">
                  <c:v>0.42033518582325219</c:v>
                </c:pt>
                <c:pt idx="72">
                  <c:v>0.41850031270978483</c:v>
                </c:pt>
                <c:pt idx="73">
                  <c:v>0.41661672026270768</c:v>
                </c:pt>
                <c:pt idx="74">
                  <c:v>0.41468380889449707</c:v>
                </c:pt>
                <c:pt idx="75">
                  <c:v>0.41270097994680521</c:v>
                </c:pt>
                <c:pt idx="76">
                  <c:v>0.41066763567649078</c:v>
                </c:pt>
                <c:pt idx="77">
                  <c:v>0.40858317924204407</c:v>
                </c:pt>
                <c:pt idx="78">
                  <c:v>0.40644701469038758</c:v>
                </c:pt>
                <c:pt idx="79">
                  <c:v>0.40425854694404056</c:v>
                </c:pt>
                <c:pt idx="80">
                  <c:v>0.40201718178862994</c:v>
                </c:pt>
                <c:pt idx="81">
                  <c:v>0.39972232586073531</c:v>
                </c:pt>
                <c:pt idx="82">
                  <c:v>0.39737338663605487</c:v>
                </c:pt>
                <c:pt idx="83">
                  <c:v>0.39496977241788062</c:v>
                </c:pt>
                <c:pt idx="84">
                  <c:v>0.392510892325869</c:v>
                </c:pt>
                <c:pt idx="85">
                  <c:v>0.38999615628509848</c:v>
                </c:pt>
                <c:pt idx="86">
                  <c:v>0.38742497501540191</c:v>
                </c:pt>
                <c:pt idx="87">
                  <c:v>0.3847967600209638</c:v>
                </c:pt>
                <c:pt idx="88">
                  <c:v>0.38211092358017312</c:v>
                </c:pt>
                <c:pt idx="89">
                  <c:v>0.37936687873572278</c:v>
                </c:pt>
                <c:pt idx="90">
                  <c:v>0.37656403928494614</c:v>
                </c:pt>
                <c:pt idx="91">
                  <c:v>0.37370181977038325</c:v>
                </c:pt>
                <c:pt idx="92">
                  <c:v>0.37077963547056891</c:v>
                </c:pt>
                <c:pt idx="93">
                  <c:v>0.36779690239103319</c:v>
                </c:pt>
                <c:pt idx="94">
                  <c:v>0.36475303725551017</c:v>
                </c:pt>
                <c:pt idx="95">
                  <c:v>0.36164745749734534</c:v>
                </c:pt>
                <c:pt idx="96">
                  <c:v>0.35847958125109619</c:v>
                </c:pt>
                <c:pt idx="97">
                  <c:v>0.3552488273443199</c:v>
                </c:pt>
                <c:pt idx="98">
                  <c:v>0.35195461528954158</c:v>
                </c:pt>
                <c:pt idx="99">
                  <c:v>0.34859636527639687</c:v>
                </c:pt>
                <c:pt idx="100">
                  <c:v>0.34517349816394483</c:v>
                </c:pt>
                <c:pt idx="101">
                  <c:v>0.34168543547314451</c:v>
                </c:pt>
                <c:pt idx="102">
                  <c:v>0.33813159937948939</c:v>
                </c:pt>
                <c:pt idx="103">
                  <c:v>0.33451141270579798</c:v>
                </c:pt>
                <c:pt idx="104">
                  <c:v>0.33082429891515158</c:v>
                </c:pt>
                <c:pt idx="105">
                  <c:v>0.32706968210397802</c:v>
                </c:pt>
                <c:pt idx="106">
                  <c:v>0.32324698699527576</c:v>
                </c:pt>
                <c:pt idx="107">
                  <c:v>0.31935563893197422</c:v>
                </c:pt>
                <c:pt idx="108">
                  <c:v>0.31539506387042587</c:v>
                </c:pt>
                <c:pt idx="109">
                  <c:v>0.31136468837402814</c:v>
                </c:pt>
                <c:pt idx="110">
                  <c:v>0.30726393960696835</c:v>
                </c:pt>
                <c:pt idx="111">
                  <c:v>0.30309224532809115</c:v>
                </c:pt>
                <c:pt idx="112">
                  <c:v>0.29884903388488349</c:v>
                </c:pt>
                <c:pt idx="113">
                  <c:v>0.29453373420757345</c:v>
                </c:pt>
                <c:pt idx="114">
                  <c:v>0.29014577580334094</c:v>
                </c:pt>
                <c:pt idx="115">
                  <c:v>0.28568458875063685</c:v>
                </c:pt>
                <c:pt idx="116">
                  <c:v>0.28114960369360609</c:v>
                </c:pt>
                <c:pt idx="117">
                  <c:v>0.27654025183661518</c:v>
                </c:pt>
                <c:pt idx="118">
                  <c:v>0.27185596493887765</c:v>
                </c:pt>
                <c:pt idx="119">
                  <c:v>0.2670961753091774</c:v>
                </c:pt>
                <c:pt idx="120">
                  <c:v>0.26226031580068626</c:v>
                </c:pt>
                <c:pt idx="121">
                  <c:v>0.25734781980587373</c:v>
                </c:pt>
                <c:pt idx="122">
                  <c:v>0.25235812125150603</c:v>
                </c:pt>
                <c:pt idx="123">
                  <c:v>0.24729065459373245</c:v>
                </c:pt>
                <c:pt idx="124">
                  <c:v>0.2421448548132574</c:v>
                </c:pt>
                <c:pt idx="125">
                  <c:v>0.23692015741059455</c:v>
                </c:pt>
                <c:pt idx="126">
                  <c:v>0.23161599840140207</c:v>
                </c:pt>
                <c:pt idx="127">
                  <c:v>0.22623181431189732</c:v>
                </c:pt>
                <c:pt idx="128">
                  <c:v>0.22076704217434726</c:v>
                </c:pt>
                <c:pt idx="129">
                  <c:v>0.21522111952263492</c:v>
                </c:pt>
                <c:pt idx="130">
                  <c:v>0.20959348438789874</c:v>
                </c:pt>
                <c:pt idx="131">
                  <c:v>0.20388357529424248</c:v>
                </c:pt>
                <c:pt idx="132">
                  <c:v>0.1980908312545166</c:v>
                </c:pt>
                <c:pt idx="133">
                  <c:v>0.19221469176616574</c:v>
                </c:pt>
                <c:pt idx="134">
                  <c:v>0.18625459680714387</c:v>
                </c:pt>
                <c:pt idx="135">
                  <c:v>0.18020998683189429</c:v>
                </c:pt>
                <c:pt idx="136">
                  <c:v>0.17408030276739214</c:v>
                </c:pt>
                <c:pt idx="137">
                  <c:v>0.16786498600924976</c:v>
                </c:pt>
                <c:pt idx="138">
                  <c:v>0.16156347841788224</c:v>
                </c:pt>
                <c:pt idx="139">
                  <c:v>0.15517522231473171</c:v>
                </c:pt>
                <c:pt idx="140">
                  <c:v>0.14869966047855002</c:v>
                </c:pt>
                <c:pt idx="141">
                  <c:v>0.14213623614173765</c:v>
                </c:pt>
                <c:pt idx="142">
                  <c:v>0.13548439298673762</c:v>
                </c:pt>
                <c:pt idx="143">
                  <c:v>0.12874357514248391</c:v>
                </c:pt>
                <c:pt idx="144">
                  <c:v>0.12191322718090265</c:v>
                </c:pt>
                <c:pt idx="145">
                  <c:v>0.11499279411346412</c:v>
                </c:pt>
                <c:pt idx="146">
                  <c:v>0.10798172138778669</c:v>
                </c:pt>
                <c:pt idx="147">
                  <c:v>0.10087945488428962</c:v>
                </c:pt>
                <c:pt idx="148">
                  <c:v>9.3685440912893631E-2</c:v>
                </c:pt>
                <c:pt idx="149">
                  <c:v>8.6399126209769903E-2</c:v>
                </c:pt>
                <c:pt idx="150">
                  <c:v>7.9019957934135396E-2</c:v>
                </c:pt>
                <c:pt idx="151">
                  <c:v>7.1547383665092668E-2</c:v>
                </c:pt>
                <c:pt idx="152">
                  <c:v>6.398085139851506E-2</c:v>
                </c:pt>
                <c:pt idx="153">
                  <c:v>5.6319809543975689E-2</c:v>
                </c:pt>
                <c:pt idx="154">
                  <c:v>4.8563706921717784E-2</c:v>
                </c:pt>
                <c:pt idx="155">
                  <c:v>4.0711992759668289E-2</c:v>
                </c:pt>
                <c:pt idx="156">
                  <c:v>3.2764116690492097E-2</c:v>
                </c:pt>
                <c:pt idx="157">
                  <c:v>2.471952874868551E-2</c:v>
                </c:pt>
                <c:pt idx="158">
                  <c:v>1.6577679367710117E-2</c:v>
                </c:pt>
                <c:pt idx="159">
                  <c:v>8.338019377165249E-3</c:v>
                </c:pt>
              </c:numCache>
            </c:numRef>
          </c:yVal>
          <c:smooth val="0"/>
          <c:extLst>
            <c:ext xmlns:c16="http://schemas.microsoft.com/office/drawing/2014/chart" uri="{C3380CC4-5D6E-409C-BE32-E72D297353CC}">
              <c16:uniqueId val="{0000000B-E683-463B-9C11-B1DE30A0E38E}"/>
            </c:ext>
          </c:extLst>
        </c:ser>
        <c:ser>
          <c:idx val="14"/>
          <c:order val="14"/>
          <c:spPr>
            <a:ln w="12700" cap="rnd">
              <a:solidFill>
                <a:schemeClr val="accent2"/>
              </a:solidFill>
              <a:round/>
            </a:ln>
            <a:effectLst/>
          </c:spPr>
          <c:marker>
            <c:symbol val="circle"/>
            <c:size val="5"/>
            <c:spPr>
              <a:solidFill>
                <a:schemeClr val="accent2"/>
              </a:solidFill>
              <a:ln w="25400">
                <a:solidFill>
                  <a:schemeClr val="accent2"/>
                </a:solidFill>
              </a:ln>
              <a:effectLst/>
            </c:spPr>
          </c:marker>
          <c:xVal>
            <c:numRef>
              <c:f>'shear rates'!$CN$286:$FP$286</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rates'!$G$52:$CI$52</c:f>
              <c:numCache>
                <c:formatCode>General</c:formatCode>
                <c:ptCount val="81"/>
                <c:pt idx="0">
                  <c:v>0.51790047450186594</c:v>
                </c:pt>
                <c:pt idx="1">
                  <c:v>0.51781955255272505</c:v>
                </c:pt>
                <c:pt idx="2">
                  <c:v>0.51757678670530227</c:v>
                </c:pt>
                <c:pt idx="3">
                  <c:v>0.51717217695959761</c:v>
                </c:pt>
                <c:pt idx="4">
                  <c:v>0.51660572331561128</c:v>
                </c:pt>
                <c:pt idx="5">
                  <c:v>0.51587742577334306</c:v>
                </c:pt>
                <c:pt idx="6">
                  <c:v>0.51498728433279295</c:v>
                </c:pt>
                <c:pt idx="7">
                  <c:v>0.51393529899396106</c:v>
                </c:pt>
                <c:pt idx="8">
                  <c:v>0.51272146975684729</c:v>
                </c:pt>
                <c:pt idx="9">
                  <c:v>0.51134579662145163</c:v>
                </c:pt>
                <c:pt idx="10">
                  <c:v>0.5098082795877743</c:v>
                </c:pt>
                <c:pt idx="11">
                  <c:v>0.50810891865581498</c:v>
                </c:pt>
                <c:pt idx="12">
                  <c:v>0.50624771382557399</c:v>
                </c:pt>
                <c:pt idx="13">
                  <c:v>0.50422466509705111</c:v>
                </c:pt>
                <c:pt idx="14">
                  <c:v>0.50203977247024634</c:v>
                </c:pt>
                <c:pt idx="15">
                  <c:v>0.49969303594515974</c:v>
                </c:pt>
                <c:pt idx="16">
                  <c:v>0.4971844555217913</c:v>
                </c:pt>
                <c:pt idx="17">
                  <c:v>0.49451403120014104</c:v>
                </c:pt>
                <c:pt idx="18">
                  <c:v>0.49168176298020894</c:v>
                </c:pt>
                <c:pt idx="19">
                  <c:v>0.48868765086199506</c:v>
                </c:pt>
                <c:pt idx="20">
                  <c:v>0.4855316948454993</c:v>
                </c:pt>
                <c:pt idx="21">
                  <c:v>0.48221389493072175</c:v>
                </c:pt>
                <c:pt idx="22">
                  <c:v>0.47873425111766232</c:v>
                </c:pt>
                <c:pt idx="23">
                  <c:v>0.47509276340632106</c:v>
                </c:pt>
                <c:pt idx="24">
                  <c:v>0.47128943179669802</c:v>
                </c:pt>
                <c:pt idx="25">
                  <c:v>0.46732425628879309</c:v>
                </c:pt>
                <c:pt idx="26">
                  <c:v>0.46319723688260639</c:v>
                </c:pt>
                <c:pt idx="27">
                  <c:v>0.45890837357813774</c:v>
                </c:pt>
                <c:pt idx="28">
                  <c:v>0.45445766637538731</c:v>
                </c:pt>
                <c:pt idx="29">
                  <c:v>0.44984511527435511</c:v>
                </c:pt>
                <c:pt idx="30">
                  <c:v>0.44507072027504097</c:v>
                </c:pt>
                <c:pt idx="31">
                  <c:v>0.44013448137744504</c:v>
                </c:pt>
                <c:pt idx="32">
                  <c:v>0.43503639858156734</c:v>
                </c:pt>
                <c:pt idx="33">
                  <c:v>0.4297764718874077</c:v>
                </c:pt>
                <c:pt idx="34">
                  <c:v>0.42435470129496627</c:v>
                </c:pt>
                <c:pt idx="35">
                  <c:v>0.41877108680424302</c:v>
                </c:pt>
                <c:pt idx="36">
                  <c:v>0.41302562841523793</c:v>
                </c:pt>
                <c:pt idx="37">
                  <c:v>0.40711832612795096</c:v>
                </c:pt>
                <c:pt idx="38">
                  <c:v>0.40104917994238221</c:v>
                </c:pt>
                <c:pt idx="39">
                  <c:v>0.39481818985853162</c:v>
                </c:pt>
                <c:pt idx="40">
                  <c:v>0.3884253558763992</c:v>
                </c:pt>
                <c:pt idx="41">
                  <c:v>0.38187067799598495</c:v>
                </c:pt>
                <c:pt idx="42">
                  <c:v>0.37515415621728881</c:v>
                </c:pt>
                <c:pt idx="43">
                  <c:v>0.36827579054031095</c:v>
                </c:pt>
                <c:pt idx="44">
                  <c:v>0.36123558096505115</c:v>
                </c:pt>
                <c:pt idx="45">
                  <c:v>0.35403352749150957</c:v>
                </c:pt>
                <c:pt idx="46">
                  <c:v>0.3466696301196861</c:v>
                </c:pt>
                <c:pt idx="47">
                  <c:v>0.3391438888495808</c:v>
                </c:pt>
                <c:pt idx="48">
                  <c:v>0.33145630368119372</c:v>
                </c:pt>
                <c:pt idx="49">
                  <c:v>0.32360687461452481</c:v>
                </c:pt>
                <c:pt idx="50">
                  <c:v>0.31559560164957395</c:v>
                </c:pt>
                <c:pt idx="51">
                  <c:v>0.30742248478634143</c:v>
                </c:pt>
                <c:pt idx="52">
                  <c:v>0.29908752402482697</c:v>
                </c:pt>
                <c:pt idx="53">
                  <c:v>0.29059071936503073</c:v>
                </c:pt>
                <c:pt idx="54">
                  <c:v>0.28193207080695259</c:v>
                </c:pt>
                <c:pt idx="55">
                  <c:v>0.27311157835059269</c:v>
                </c:pt>
                <c:pt idx="56">
                  <c:v>0.26412924199595095</c:v>
                </c:pt>
                <c:pt idx="57">
                  <c:v>0.25498506174302732</c:v>
                </c:pt>
                <c:pt idx="58">
                  <c:v>0.24567903759182183</c:v>
                </c:pt>
                <c:pt idx="59">
                  <c:v>0.23621116954233459</c:v>
                </c:pt>
                <c:pt idx="60">
                  <c:v>0.22658145759456549</c:v>
                </c:pt>
                <c:pt idx="61">
                  <c:v>0.21678990174851451</c:v>
                </c:pt>
                <c:pt idx="62">
                  <c:v>0.20683650200418174</c:v>
                </c:pt>
                <c:pt idx="63">
                  <c:v>0.19672125836156712</c:v>
                </c:pt>
                <c:pt idx="64">
                  <c:v>0.18644417082067063</c:v>
                </c:pt>
                <c:pt idx="65">
                  <c:v>0.1760052393814924</c:v>
                </c:pt>
                <c:pt idx="66">
                  <c:v>0.16540446404403228</c:v>
                </c:pt>
                <c:pt idx="67">
                  <c:v>0.15464184480829032</c:v>
                </c:pt>
                <c:pt idx="68">
                  <c:v>0.14371738167426656</c:v>
                </c:pt>
                <c:pt idx="69">
                  <c:v>0.13263107464196092</c:v>
                </c:pt>
                <c:pt idx="70">
                  <c:v>0.12138292371137351</c:v>
                </c:pt>
                <c:pt idx="71">
                  <c:v>0.10997292888250418</c:v>
                </c:pt>
                <c:pt idx="72">
                  <c:v>9.8401090155353116E-2</c:v>
                </c:pt>
                <c:pt idx="73">
                  <c:v>8.6667407529920193E-2</c:v>
                </c:pt>
                <c:pt idx="74">
                  <c:v>7.477188100620541E-2</c:v>
                </c:pt>
                <c:pt idx="75">
                  <c:v>6.2714510584208724E-2</c:v>
                </c:pt>
                <c:pt idx="76">
                  <c:v>5.0495296263930338E-2</c:v>
                </c:pt>
                <c:pt idx="77">
                  <c:v>3.8114238045370036E-2</c:v>
                </c:pt>
                <c:pt idx="78">
                  <c:v>2.5571335928527877E-2</c:v>
                </c:pt>
                <c:pt idx="79">
                  <c:v>1.2866589913403977E-2</c:v>
                </c:pt>
                <c:pt idx="80">
                  <c:v>1.8399521000200492E-15</c:v>
                </c:pt>
              </c:numCache>
            </c:numRef>
          </c:yVal>
          <c:smooth val="0"/>
          <c:extLst>
            <c:ext xmlns:c16="http://schemas.microsoft.com/office/drawing/2014/chart" uri="{C3380CC4-5D6E-409C-BE32-E72D297353CC}">
              <c16:uniqueId val="{0000000D-E683-463B-9C11-B1DE30A0E38E}"/>
            </c:ext>
          </c:extLst>
        </c:ser>
        <c:ser>
          <c:idx val="15"/>
          <c:order val="15"/>
          <c:spPr>
            <a:ln w="12700" cap="rnd">
              <a:solidFill>
                <a:schemeClr val="accent2"/>
              </a:solidFill>
              <a:round/>
            </a:ln>
            <a:effectLst/>
          </c:spPr>
          <c:marker>
            <c:symbol val="triangle"/>
            <c:size val="5"/>
            <c:spPr>
              <a:solidFill>
                <a:schemeClr val="accent2"/>
              </a:solidFill>
              <a:ln w="25400">
                <a:solidFill>
                  <a:schemeClr val="accent2"/>
                </a:solidFill>
              </a:ln>
              <a:effectLst/>
            </c:spPr>
          </c:marker>
          <c:xVal>
            <c:numRef>
              <c:f>'shear rates'!$CN$287:$IQ$287</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rates'!$G$147:$FJ$147</c:f>
              <c:numCache>
                <c:formatCode>General</c:formatCode>
                <c:ptCount val="160"/>
                <c:pt idx="0">
                  <c:v>0.46486927123043298</c:v>
                </c:pt>
                <c:pt idx="1">
                  <c:v>0.46486906962886371</c:v>
                </c:pt>
                <c:pt idx="2">
                  <c:v>0.46486778013641494</c:v>
                </c:pt>
                <c:pt idx="3">
                  <c:v>0.46486446456443153</c:v>
                </c:pt>
                <c:pt idx="4">
                  <c:v>0.4648582427380526</c:v>
                </c:pt>
                <c:pt idx="5">
                  <c:v>0.46484826852498673</c:v>
                </c:pt>
                <c:pt idx="6">
                  <c:v>0.46483371996489831</c:v>
                </c:pt>
                <c:pt idx="7">
                  <c:v>0.46481379377257831</c:v>
                </c:pt>
                <c:pt idx="8">
                  <c:v>0.46478770183057422</c:v>
                </c:pt>
                <c:pt idx="9">
                  <c:v>0.46475466875916827</c:v>
                </c:pt>
                <c:pt idx="10">
                  <c:v>0.46471393013578716</c:v>
                </c:pt>
                <c:pt idx="11">
                  <c:v>0.46466473113591511</c:v>
                </c:pt>
                <c:pt idx="12">
                  <c:v>0.46460632546288261</c:v>
                </c:pt>
                <c:pt idx="13">
                  <c:v>0.4645379744841171</c:v>
                </c:pt>
                <c:pt idx="14">
                  <c:v>0.46445894651996339</c:v>
                </c:pt>
                <c:pt idx="15">
                  <c:v>0.46436851624836284</c:v>
                </c:pt>
                <c:pt idx="16">
                  <c:v>0.46426596419953203</c:v>
                </c:pt>
                <c:pt idx="17">
                  <c:v>0.46415057632190809</c:v>
                </c:pt>
                <c:pt idx="18">
                  <c:v>0.46402164360546144</c:v>
                </c:pt>
                <c:pt idx="19">
                  <c:v>0.4638784617518526</c:v>
                </c:pt>
                <c:pt idx="20">
                  <c:v>0.46372033088331843</c:v>
                </c:pt>
                <c:pt idx="21">
                  <c:v>0.46354655528393718</c:v>
                </c:pt>
                <c:pt idx="22">
                  <c:v>0.46335644316822583</c:v>
                </c:pt>
                <c:pt idx="23">
                  <c:v>0.46314930647301766</c:v>
                </c:pt>
                <c:pt idx="24">
                  <c:v>0.46292446066932275</c:v>
                </c:pt>
                <c:pt idx="25">
                  <c:v>0.46268122459146666</c:v>
                </c:pt>
                <c:pt idx="26">
                  <c:v>0.46241892028126563</c:v>
                </c:pt>
                <c:pt idx="27">
                  <c:v>0.46213687284536592</c:v>
                </c:pt>
                <c:pt idx="28">
                  <c:v>0.46183441032417066</c:v>
                </c:pt>
                <c:pt idx="29">
                  <c:v>0.46151086357101895</c:v>
                </c:pt>
                <c:pt idx="30">
                  <c:v>0.46116556614047721</c:v>
                </c:pt>
                <c:pt idx="31">
                  <c:v>0.46079785418476465</c:v>
                </c:pt>
                <c:pt idx="32">
                  <c:v>0.46040706635746992</c:v>
                </c:pt>
                <c:pt idx="33">
                  <c:v>0.45999254372382542</c:v>
                </c:pt>
                <c:pt idx="34">
                  <c:v>0.45955362967690355</c:v>
                </c:pt>
                <c:pt idx="35">
                  <c:v>0.45908966985917415</c:v>
                </c:pt>
                <c:pt idx="36">
                  <c:v>0.45860001208893481</c:v>
                </c:pt>
                <c:pt idx="37">
                  <c:v>0.4580840062911789</c:v>
                </c:pt>
                <c:pt idx="38">
                  <c:v>0.45754100443251922</c:v>
                </c:pt>
                <c:pt idx="39">
                  <c:v>0.45697036045982475</c:v>
                </c:pt>
                <c:pt idx="40">
                  <c:v>0.45637143024226795</c:v>
                </c:pt>
                <c:pt idx="41">
                  <c:v>0.4557435715165094</c:v>
                </c:pt>
                <c:pt idx="42">
                  <c:v>0.45508614383477608</c:v>
                </c:pt>
                <c:pt idx="43">
                  <c:v>0.4543985085156142</c:v>
                </c:pt>
                <c:pt idx="44">
                  <c:v>0.45368002859711737</c:v>
                </c:pt>
                <c:pt idx="45">
                  <c:v>0.45293006879245196</c:v>
                </c:pt>
                <c:pt idx="46">
                  <c:v>0.45214799544751683</c:v>
                </c:pt>
                <c:pt idx="47">
                  <c:v>0.45133317650058985</c:v>
                </c:pt>
                <c:pt idx="48">
                  <c:v>0.45048498144382693</c:v>
                </c:pt>
                <c:pt idx="49">
                  <c:v>0.4496027812864905</c:v>
                </c:pt>
                <c:pt idx="50">
                  <c:v>0.44868594851979626</c:v>
                </c:pt>
                <c:pt idx="51">
                  <c:v>0.44773385708327429</c:v>
                </c:pt>
                <c:pt idx="52">
                  <c:v>0.44674588233255119</c:v>
                </c:pt>
                <c:pt idx="53">
                  <c:v>0.44572140100846647</c:v>
                </c:pt>
                <c:pt idx="54">
                  <c:v>0.4446597912074422</c:v>
                </c:pt>
                <c:pt idx="55">
                  <c:v>0.4435604323530345</c:v>
                </c:pt>
                <c:pt idx="56">
                  <c:v>0.44242270516859633</c:v>
                </c:pt>
                <c:pt idx="57">
                  <c:v>0.44124599165099099</c:v>
                </c:pt>
                <c:pt idx="58">
                  <c:v>0.440029675045296</c:v>
                </c:pt>
                <c:pt idx="59">
                  <c:v>0.43877313982044469</c:v>
                </c:pt>
                <c:pt idx="60">
                  <c:v>0.43747577164575457</c:v>
                </c:pt>
                <c:pt idx="61">
                  <c:v>0.43613695736829566</c:v>
                </c:pt>
                <c:pt idx="62">
                  <c:v>0.43475608499105572</c:v>
                </c:pt>
                <c:pt idx="63">
                  <c:v>0.43333254365186102</c:v>
                </c:pt>
                <c:pt idx="64">
                  <c:v>0.43186572360301539</c:v>
                </c:pt>
                <c:pt idx="65">
                  <c:v>0.4303550161916217</c:v>
                </c:pt>
                <c:pt idx="66">
                  <c:v>0.42879981384055255</c:v>
                </c:pt>
                <c:pt idx="67">
                  <c:v>0.4271995100300397</c:v>
                </c:pt>
                <c:pt idx="68">
                  <c:v>0.42555349927985181</c:v>
                </c:pt>
                <c:pt idx="69">
                  <c:v>0.42386117713203497</c:v>
                </c:pt>
                <c:pt idx="70">
                  <c:v>0.42212194013418836</c:v>
                </c:pt>
                <c:pt idx="71">
                  <c:v>0.42033518582325219</c:v>
                </c:pt>
                <c:pt idx="72">
                  <c:v>0.41850031270978483</c:v>
                </c:pt>
                <c:pt idx="73">
                  <c:v>0.41661672026270768</c:v>
                </c:pt>
                <c:pt idx="74">
                  <c:v>0.41468380889449707</c:v>
                </c:pt>
                <c:pt idx="75">
                  <c:v>0.41270097994680521</c:v>
                </c:pt>
                <c:pt idx="76">
                  <c:v>0.41066763567649078</c:v>
                </c:pt>
                <c:pt idx="77">
                  <c:v>0.40858317924204407</c:v>
                </c:pt>
                <c:pt idx="78">
                  <c:v>0.40644701469038758</c:v>
                </c:pt>
                <c:pt idx="79">
                  <c:v>0.40425854694404056</c:v>
                </c:pt>
                <c:pt idx="80">
                  <c:v>0.40201718178862994</c:v>
                </c:pt>
                <c:pt idx="81">
                  <c:v>0.39972232586073531</c:v>
                </c:pt>
                <c:pt idx="82">
                  <c:v>0.39737338663605487</c:v>
                </c:pt>
                <c:pt idx="83">
                  <c:v>0.39496977241788062</c:v>
                </c:pt>
                <c:pt idx="84">
                  <c:v>0.392510892325869</c:v>
                </c:pt>
                <c:pt idx="85">
                  <c:v>0.38999615628509848</c:v>
                </c:pt>
                <c:pt idx="86">
                  <c:v>0.38742497501540191</c:v>
                </c:pt>
                <c:pt idx="87">
                  <c:v>0.3847967600209638</c:v>
                </c:pt>
                <c:pt idx="88">
                  <c:v>0.38211092358017312</c:v>
                </c:pt>
                <c:pt idx="89">
                  <c:v>0.37936687873572278</c:v>
                </c:pt>
                <c:pt idx="90">
                  <c:v>0.37656403928494614</c:v>
                </c:pt>
                <c:pt idx="91">
                  <c:v>0.37370181977038325</c:v>
                </c:pt>
                <c:pt idx="92">
                  <c:v>0.37077963547056891</c:v>
                </c:pt>
                <c:pt idx="93">
                  <c:v>0.36779690239103319</c:v>
                </c:pt>
                <c:pt idx="94">
                  <c:v>0.36475303725551017</c:v>
                </c:pt>
                <c:pt idx="95">
                  <c:v>0.36164745749734534</c:v>
                </c:pt>
                <c:pt idx="96">
                  <c:v>0.35847958125109619</c:v>
                </c:pt>
                <c:pt idx="97">
                  <c:v>0.3552488273443199</c:v>
                </c:pt>
                <c:pt idx="98">
                  <c:v>0.35195461528954158</c:v>
                </c:pt>
                <c:pt idx="99">
                  <c:v>0.34859636527639687</c:v>
                </c:pt>
                <c:pt idx="100">
                  <c:v>0.34517349816394483</c:v>
                </c:pt>
                <c:pt idx="101">
                  <c:v>0.34168543547314451</c:v>
                </c:pt>
                <c:pt idx="102">
                  <c:v>0.33813159937948939</c:v>
                </c:pt>
                <c:pt idx="103">
                  <c:v>0.33451141270579798</c:v>
                </c:pt>
                <c:pt idx="104">
                  <c:v>0.33082429891515158</c:v>
                </c:pt>
                <c:pt idx="105">
                  <c:v>0.32706968210397802</c:v>
                </c:pt>
                <c:pt idx="106">
                  <c:v>0.32324698699527576</c:v>
                </c:pt>
                <c:pt idx="107">
                  <c:v>0.31935563893197422</c:v>
                </c:pt>
                <c:pt idx="108">
                  <c:v>0.31539506387042587</c:v>
                </c:pt>
                <c:pt idx="109">
                  <c:v>0.31136468837402814</c:v>
                </c:pt>
                <c:pt idx="110">
                  <c:v>0.30726393960696835</c:v>
                </c:pt>
                <c:pt idx="111">
                  <c:v>0.30309224532809115</c:v>
                </c:pt>
                <c:pt idx="112">
                  <c:v>0.29884903388488349</c:v>
                </c:pt>
                <c:pt idx="113">
                  <c:v>0.29453373420757345</c:v>
                </c:pt>
                <c:pt idx="114">
                  <c:v>0.29014577580334094</c:v>
                </c:pt>
                <c:pt idx="115">
                  <c:v>0.28568458875063685</c:v>
                </c:pt>
                <c:pt idx="116">
                  <c:v>0.28114960369360609</c:v>
                </c:pt>
                <c:pt idx="117">
                  <c:v>0.27654025183661518</c:v>
                </c:pt>
                <c:pt idx="118">
                  <c:v>0.27185596493887765</c:v>
                </c:pt>
                <c:pt idx="119">
                  <c:v>0.2670961753091774</c:v>
                </c:pt>
                <c:pt idx="120">
                  <c:v>0.26226031580068626</c:v>
                </c:pt>
                <c:pt idx="121">
                  <c:v>0.25734781980587373</c:v>
                </c:pt>
                <c:pt idx="122">
                  <c:v>0.25235812125150603</c:v>
                </c:pt>
                <c:pt idx="123">
                  <c:v>0.24729065459373245</c:v>
                </c:pt>
                <c:pt idx="124">
                  <c:v>0.2421448548132574</c:v>
                </c:pt>
                <c:pt idx="125">
                  <c:v>0.23692015741059455</c:v>
                </c:pt>
                <c:pt idx="126">
                  <c:v>0.23161599840140207</c:v>
                </c:pt>
                <c:pt idx="127">
                  <c:v>0.22623181431189732</c:v>
                </c:pt>
                <c:pt idx="128">
                  <c:v>0.22076704217434726</c:v>
                </c:pt>
                <c:pt idx="129">
                  <c:v>0.21522111952263492</c:v>
                </c:pt>
                <c:pt idx="130">
                  <c:v>0.20959348438789874</c:v>
                </c:pt>
                <c:pt idx="131">
                  <c:v>0.20388357529424248</c:v>
                </c:pt>
                <c:pt idx="132">
                  <c:v>0.1980908312545166</c:v>
                </c:pt>
                <c:pt idx="133">
                  <c:v>0.19221469176616574</c:v>
                </c:pt>
                <c:pt idx="134">
                  <c:v>0.18625459680714387</c:v>
                </c:pt>
                <c:pt idx="135">
                  <c:v>0.18020998683189429</c:v>
                </c:pt>
                <c:pt idx="136">
                  <c:v>0.17408030276739214</c:v>
                </c:pt>
                <c:pt idx="137">
                  <c:v>0.16786498600924976</c:v>
                </c:pt>
                <c:pt idx="138">
                  <c:v>0.16156347841788224</c:v>
                </c:pt>
                <c:pt idx="139">
                  <c:v>0.15517522231473171</c:v>
                </c:pt>
                <c:pt idx="140">
                  <c:v>0.14869966047855002</c:v>
                </c:pt>
                <c:pt idx="141">
                  <c:v>0.14213623614173765</c:v>
                </c:pt>
                <c:pt idx="142">
                  <c:v>0.13548439298673762</c:v>
                </c:pt>
                <c:pt idx="143">
                  <c:v>0.12874357514248391</c:v>
                </c:pt>
                <c:pt idx="144">
                  <c:v>0.12191322718090265</c:v>
                </c:pt>
                <c:pt idx="145">
                  <c:v>0.11499279411346412</c:v>
                </c:pt>
                <c:pt idx="146">
                  <c:v>0.10798172138778669</c:v>
                </c:pt>
                <c:pt idx="147">
                  <c:v>0.10087945488428962</c:v>
                </c:pt>
                <c:pt idx="148">
                  <c:v>9.3685440912893631E-2</c:v>
                </c:pt>
                <c:pt idx="149">
                  <c:v>8.6399126209769903E-2</c:v>
                </c:pt>
                <c:pt idx="150">
                  <c:v>7.9019957934135396E-2</c:v>
                </c:pt>
                <c:pt idx="151">
                  <c:v>7.1547383665092668E-2</c:v>
                </c:pt>
                <c:pt idx="152">
                  <c:v>6.398085139851506E-2</c:v>
                </c:pt>
                <c:pt idx="153">
                  <c:v>5.6319809543975689E-2</c:v>
                </c:pt>
                <c:pt idx="154">
                  <c:v>4.8563706921717784E-2</c:v>
                </c:pt>
                <c:pt idx="155">
                  <c:v>4.0711992759668289E-2</c:v>
                </c:pt>
                <c:pt idx="156">
                  <c:v>3.2764116690492097E-2</c:v>
                </c:pt>
                <c:pt idx="157">
                  <c:v>2.471952874868551E-2</c:v>
                </c:pt>
                <c:pt idx="158">
                  <c:v>1.6577679367710117E-2</c:v>
                </c:pt>
                <c:pt idx="159">
                  <c:v>8.338019377165249E-3</c:v>
                </c:pt>
              </c:numCache>
            </c:numRef>
          </c:yVal>
          <c:smooth val="0"/>
          <c:extLst>
            <c:ext xmlns:c16="http://schemas.microsoft.com/office/drawing/2014/chart" uri="{C3380CC4-5D6E-409C-BE32-E72D297353CC}">
              <c16:uniqueId val="{0000000E-E683-463B-9C11-B1DE30A0E38E}"/>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Extension rate s</a:t>
                </a:r>
                <a:r>
                  <a:rPr lang="en-GB" sz="1600" baseline="30000">
                    <a:solidFill>
                      <a:schemeClr val="tx1"/>
                    </a:solidFill>
                  </a:rPr>
                  <a:t>-1</a:t>
                </a:r>
              </a:p>
            </c:rich>
          </c:tx>
          <c:layout>
            <c:manualLayout>
              <c:xMode val="edge"/>
              <c:yMode val="edge"/>
              <c:x val="3.7980225454255008E-2"/>
              <c:y val="0.4547697690945286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4"/>
        <c:delete val="1"/>
      </c:legendEntry>
      <c:legendEntry>
        <c:idx val="15"/>
        <c:delete val="1"/>
      </c:legendEntry>
      <c:layout>
        <c:manualLayout>
          <c:xMode val="edge"/>
          <c:yMode val="edge"/>
          <c:x val="3.7742269557453592E-2"/>
          <c:y val="1.233984943061933E-2"/>
          <c:w val="0.22791359867702463"/>
          <c:h val="0.39688397623645572"/>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No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1"/>
          <c:order val="0"/>
          <c:tx>
            <c:v>0.3 mm </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'shear rates'!$CK$2:$CK$4</c:f>
              <c:numCache>
                <c:formatCode>General</c:formatCode>
                <c:ptCount val="3"/>
                <c:pt idx="0">
                  <c:v>312.50000000000006</c:v>
                </c:pt>
                <c:pt idx="1">
                  <c:v>138.88888888888894</c:v>
                </c:pt>
                <c:pt idx="2">
                  <c:v>89.285714285714306</c:v>
                </c:pt>
              </c:numCache>
            </c:numRef>
          </c:xVal>
          <c:yVal>
            <c:numRef>
              <c:f>'shear rates'!$CO$3:$CO$5</c:f>
              <c:numCache>
                <c:formatCode>General</c:formatCode>
                <c:ptCount val="3"/>
                <c:pt idx="0">
                  <c:v>0.7021276595744681</c:v>
                </c:pt>
                <c:pt idx="1">
                  <c:v>0.88636363636363658</c:v>
                </c:pt>
                <c:pt idx="2">
                  <c:v>1</c:v>
                </c:pt>
              </c:numCache>
            </c:numRef>
          </c:yVal>
          <c:smooth val="0"/>
          <c:extLst>
            <c:ext xmlns:c16="http://schemas.microsoft.com/office/drawing/2014/chart" uri="{C3380CC4-5D6E-409C-BE32-E72D297353CC}">
              <c16:uniqueId val="{00000004-198B-48E2-BD8F-5ADA727190DA}"/>
            </c:ext>
          </c:extLst>
        </c:ser>
        <c:ser>
          <c:idx val="2"/>
          <c:order val="1"/>
          <c:tx>
            <c:v>0.5 mm</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'shear rates'!$CK$5:$CK$7</c:f>
              <c:numCache>
                <c:formatCode>General</c:formatCode>
                <c:ptCount val="3"/>
                <c:pt idx="0">
                  <c:v>112.50000000000001</c:v>
                </c:pt>
                <c:pt idx="1">
                  <c:v>50</c:v>
                </c:pt>
                <c:pt idx="2">
                  <c:v>32.142857142857139</c:v>
                </c:pt>
              </c:numCache>
            </c:numRef>
          </c:xVal>
          <c:yVal>
            <c:numRef>
              <c:f>'shear rates'!$CO$8:$CO$10</c:f>
              <c:numCache>
                <c:formatCode>General</c:formatCode>
                <c:ptCount val="3"/>
                <c:pt idx="0">
                  <c:v>0.6333333333333333</c:v>
                </c:pt>
                <c:pt idx="1">
                  <c:v>0.68421052631578938</c:v>
                </c:pt>
                <c:pt idx="2">
                  <c:v>0.94444444444444442</c:v>
                </c:pt>
              </c:numCache>
            </c:numRef>
          </c:yVal>
          <c:smooth val="0"/>
          <c:extLst>
            <c:ext xmlns:c16="http://schemas.microsoft.com/office/drawing/2014/chart" uri="{C3380CC4-5D6E-409C-BE32-E72D297353CC}">
              <c16:uniqueId val="{00000005-198B-48E2-BD8F-5ADA727190DA}"/>
            </c:ext>
          </c:extLst>
        </c:ser>
        <c:ser>
          <c:idx val="0"/>
          <c:order val="2"/>
          <c:tx>
            <c:v>1 mm</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'shear rates'!$CK$8:$CK$10</c:f>
              <c:numCache>
                <c:formatCode>General</c:formatCode>
                <c:ptCount val="3"/>
                <c:pt idx="0">
                  <c:v>28.125000000000039</c:v>
                </c:pt>
                <c:pt idx="1">
                  <c:v>12.500000000000016</c:v>
                </c:pt>
                <c:pt idx="2">
                  <c:v>8.0357142857142971</c:v>
                </c:pt>
              </c:numCache>
            </c:numRef>
          </c:xVal>
          <c:yVal>
            <c:numRef>
              <c:f>'shear rates'!$CO$13:$CO$15</c:f>
              <c:numCache>
                <c:formatCode>General</c:formatCode>
                <c:ptCount val="3"/>
                <c:pt idx="0">
                  <c:v>0.60714285714285721</c:v>
                </c:pt>
                <c:pt idx="1">
                  <c:v>0.59259259259259256</c:v>
                </c:pt>
                <c:pt idx="2">
                  <c:v>0.58749999999999991</c:v>
                </c:pt>
              </c:numCache>
            </c:numRef>
          </c:yVal>
          <c:smooth val="0"/>
          <c:extLst>
            <c:ext xmlns:c16="http://schemas.microsoft.com/office/drawing/2014/chart" uri="{C3380CC4-5D6E-409C-BE32-E72D297353CC}">
              <c16:uniqueId val="{00000006-198B-48E2-BD8F-5ADA727190DA}"/>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Total skin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8.3601611321920399E-2"/>
          <c:h val="0.13704313130874404"/>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12 mm distance from injection pt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 rate 0.3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rates'!$G$19:$V$19</c:f>
              <c:numCache>
                <c:formatCode>General</c:formatCode>
                <c:ptCount val="16"/>
                <c:pt idx="0">
                  <c:v>0</c:v>
                </c:pt>
                <c:pt idx="1">
                  <c:v>20.833333333333339</c:v>
                </c:pt>
                <c:pt idx="2">
                  <c:v>41.666666666666679</c:v>
                </c:pt>
                <c:pt idx="3">
                  <c:v>62.500000000000021</c:v>
                </c:pt>
                <c:pt idx="4">
                  <c:v>83.333333333333357</c:v>
                </c:pt>
                <c:pt idx="5">
                  <c:v>104.1666666666667</c:v>
                </c:pt>
                <c:pt idx="6">
                  <c:v>125.00000000000003</c:v>
                </c:pt>
                <c:pt idx="7">
                  <c:v>145.83333333333337</c:v>
                </c:pt>
                <c:pt idx="8">
                  <c:v>166.66666666666671</c:v>
                </c:pt>
                <c:pt idx="9">
                  <c:v>187.50000000000003</c:v>
                </c:pt>
                <c:pt idx="10">
                  <c:v>208.3333333333334</c:v>
                </c:pt>
                <c:pt idx="11">
                  <c:v>229.16666666666671</c:v>
                </c:pt>
                <c:pt idx="12">
                  <c:v>250.00000000000006</c:v>
                </c:pt>
                <c:pt idx="13">
                  <c:v>270.83333333333343</c:v>
                </c:pt>
                <c:pt idx="14">
                  <c:v>291.66666666666674</c:v>
                </c:pt>
                <c:pt idx="15">
                  <c:v>312.50000000000006</c:v>
                </c:pt>
              </c:numCache>
            </c:numRef>
          </c:yVal>
          <c:smooth val="0"/>
          <c:extLst>
            <c:ext xmlns:c16="http://schemas.microsoft.com/office/drawing/2014/chart" uri="{C3380CC4-5D6E-409C-BE32-E72D297353CC}">
              <c16:uniqueId val="{00000000-E860-4AED-A534-31225157F968}"/>
            </c:ext>
          </c:extLst>
        </c:ser>
        <c:ser>
          <c:idx val="1"/>
          <c:order val="1"/>
          <c:tx>
            <c:v>Shear rate 0.5 mm Newtonian</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'shear rates'!$CM$261:$DL$261</c:f>
              <c:numCache>
                <c:formatCode>General</c:formatCode>
                <c:ptCount val="26"/>
                <c:pt idx="0">
                  <c:v>0</c:v>
                </c:pt>
                <c:pt idx="1">
                  <c:v>0.04</c:v>
                </c:pt>
                <c:pt idx="2">
                  <c:v>0.08</c:v>
                </c:pt>
                <c:pt idx="3">
                  <c:v>0.12000000000000001</c:v>
                </c:pt>
                <c:pt idx="4">
                  <c:v>0.16</c:v>
                </c:pt>
                <c:pt idx="5">
                  <c:v>0.2</c:v>
                </c:pt>
                <c:pt idx="6">
                  <c:v>0.24</c:v>
                </c:pt>
                <c:pt idx="7">
                  <c:v>0.28000000000000003</c:v>
                </c:pt>
                <c:pt idx="8">
                  <c:v>0.32</c:v>
                </c:pt>
                <c:pt idx="9">
                  <c:v>0.36000000000000004</c:v>
                </c:pt>
                <c:pt idx="10">
                  <c:v>0.4</c:v>
                </c:pt>
                <c:pt idx="11">
                  <c:v>0.44</c:v>
                </c:pt>
                <c:pt idx="12">
                  <c:v>0.48</c:v>
                </c:pt>
                <c:pt idx="13">
                  <c:v>0.52</c:v>
                </c:pt>
                <c:pt idx="14">
                  <c:v>0.56000000000000005</c:v>
                </c:pt>
                <c:pt idx="15">
                  <c:v>0.60000000000000009</c:v>
                </c:pt>
                <c:pt idx="16">
                  <c:v>0.64</c:v>
                </c:pt>
                <c:pt idx="17">
                  <c:v>0.68</c:v>
                </c:pt>
                <c:pt idx="18">
                  <c:v>0.72000000000000008</c:v>
                </c:pt>
                <c:pt idx="19">
                  <c:v>0.76</c:v>
                </c:pt>
                <c:pt idx="20">
                  <c:v>0.8</c:v>
                </c:pt>
                <c:pt idx="21">
                  <c:v>0.84</c:v>
                </c:pt>
                <c:pt idx="22">
                  <c:v>0.88</c:v>
                </c:pt>
                <c:pt idx="23">
                  <c:v>0.92</c:v>
                </c:pt>
                <c:pt idx="24">
                  <c:v>0.96</c:v>
                </c:pt>
                <c:pt idx="25">
                  <c:v>1</c:v>
                </c:pt>
              </c:numCache>
            </c:numRef>
          </c:xVal>
          <c:yVal>
            <c:numRef>
              <c:f>'shear rates'!$G$32:$AF$32</c:f>
              <c:numCache>
                <c:formatCode>General</c:formatCode>
                <c:ptCount val="26"/>
                <c:pt idx="0">
                  <c:v>0</c:v>
                </c:pt>
                <c:pt idx="1">
                  <c:v>4.5</c:v>
                </c:pt>
                <c:pt idx="2">
                  <c:v>9</c:v>
                </c:pt>
                <c:pt idx="3">
                  <c:v>13.500000000000004</c:v>
                </c:pt>
                <c:pt idx="4">
                  <c:v>18</c:v>
                </c:pt>
                <c:pt idx="5">
                  <c:v>22.500000000000004</c:v>
                </c:pt>
                <c:pt idx="6">
                  <c:v>27.000000000000004</c:v>
                </c:pt>
                <c:pt idx="7">
                  <c:v>31.500000000000007</c:v>
                </c:pt>
                <c:pt idx="8">
                  <c:v>36</c:v>
                </c:pt>
                <c:pt idx="9">
                  <c:v>40.500000000000007</c:v>
                </c:pt>
                <c:pt idx="10">
                  <c:v>45.000000000000007</c:v>
                </c:pt>
                <c:pt idx="11">
                  <c:v>49.500000000000007</c:v>
                </c:pt>
                <c:pt idx="12">
                  <c:v>54.000000000000007</c:v>
                </c:pt>
                <c:pt idx="13">
                  <c:v>58.500000000000007</c:v>
                </c:pt>
                <c:pt idx="14">
                  <c:v>63.000000000000014</c:v>
                </c:pt>
                <c:pt idx="15">
                  <c:v>67.500000000000014</c:v>
                </c:pt>
                <c:pt idx="16">
                  <c:v>72</c:v>
                </c:pt>
                <c:pt idx="17">
                  <c:v>76.5</c:v>
                </c:pt>
                <c:pt idx="18">
                  <c:v>81.000000000000014</c:v>
                </c:pt>
                <c:pt idx="19">
                  <c:v>85.500000000000014</c:v>
                </c:pt>
                <c:pt idx="20">
                  <c:v>90.000000000000014</c:v>
                </c:pt>
                <c:pt idx="21">
                  <c:v>94.500000000000014</c:v>
                </c:pt>
                <c:pt idx="22">
                  <c:v>99.000000000000014</c:v>
                </c:pt>
                <c:pt idx="23">
                  <c:v>103.50000000000001</c:v>
                </c:pt>
                <c:pt idx="24">
                  <c:v>108.00000000000001</c:v>
                </c:pt>
                <c:pt idx="25">
                  <c:v>112.50000000000001</c:v>
                </c:pt>
              </c:numCache>
            </c:numRef>
          </c:yVal>
          <c:smooth val="0"/>
          <c:extLst>
            <c:ext xmlns:c16="http://schemas.microsoft.com/office/drawing/2014/chart" uri="{C3380CC4-5D6E-409C-BE32-E72D297353CC}">
              <c16:uniqueId val="{00000001-E860-4AED-A534-31225157F968}"/>
            </c:ext>
          </c:extLst>
        </c:ser>
        <c:ser>
          <c:idx val="2"/>
          <c:order val="2"/>
          <c:tx>
            <c:v>Shear rate 1mm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rates'!$CM$262:$EK$262</c:f>
              <c:numCache>
                <c:formatCode>General</c:formatCode>
                <c:ptCount val="51"/>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pt idx="50">
                  <c:v>1.0000000000000013</c:v>
                </c:pt>
              </c:numCache>
            </c:numRef>
          </c:xVal>
          <c:yVal>
            <c:numRef>
              <c:f>'shear rates'!$G$45:$BE$45</c:f>
              <c:numCache>
                <c:formatCode>General</c:formatCode>
                <c:ptCount val="51"/>
                <c:pt idx="0">
                  <c:v>0</c:v>
                </c:pt>
                <c:pt idx="1">
                  <c:v>0.5625</c:v>
                </c:pt>
                <c:pt idx="2">
                  <c:v>1.125</c:v>
                </c:pt>
                <c:pt idx="3">
                  <c:v>1.6875000000000004</c:v>
                </c:pt>
                <c:pt idx="4">
                  <c:v>2.25</c:v>
                </c:pt>
                <c:pt idx="5">
                  <c:v>2.8125000000000004</c:v>
                </c:pt>
                <c:pt idx="6">
                  <c:v>3.3750000000000004</c:v>
                </c:pt>
                <c:pt idx="7">
                  <c:v>3.9375000000000009</c:v>
                </c:pt>
                <c:pt idx="8">
                  <c:v>4.5</c:v>
                </c:pt>
                <c:pt idx="9">
                  <c:v>5.0625000000000009</c:v>
                </c:pt>
                <c:pt idx="10">
                  <c:v>5.6250000000000009</c:v>
                </c:pt>
                <c:pt idx="11">
                  <c:v>6.1875000000000009</c:v>
                </c:pt>
                <c:pt idx="12">
                  <c:v>6.7500000000000009</c:v>
                </c:pt>
                <c:pt idx="13">
                  <c:v>7.3125000000000009</c:v>
                </c:pt>
                <c:pt idx="14">
                  <c:v>7.8750000000000018</c:v>
                </c:pt>
                <c:pt idx="15">
                  <c:v>8.4375000000000018</c:v>
                </c:pt>
                <c:pt idx="16">
                  <c:v>9</c:v>
                </c:pt>
                <c:pt idx="17">
                  <c:v>9.5625</c:v>
                </c:pt>
                <c:pt idx="18">
                  <c:v>10.125000000000002</c:v>
                </c:pt>
                <c:pt idx="19">
                  <c:v>10.687500000000002</c:v>
                </c:pt>
                <c:pt idx="20">
                  <c:v>11.250000000000002</c:v>
                </c:pt>
                <c:pt idx="21">
                  <c:v>11.812500000000002</c:v>
                </c:pt>
                <c:pt idx="22">
                  <c:v>12.375000000000002</c:v>
                </c:pt>
                <c:pt idx="23">
                  <c:v>12.937500000000002</c:v>
                </c:pt>
                <c:pt idx="24">
                  <c:v>13.500000000000002</c:v>
                </c:pt>
                <c:pt idx="25">
                  <c:v>14.062500000000002</c:v>
                </c:pt>
                <c:pt idx="26">
                  <c:v>14.625000000000002</c:v>
                </c:pt>
                <c:pt idx="27">
                  <c:v>15.187500000000004</c:v>
                </c:pt>
                <c:pt idx="28">
                  <c:v>15.750000000000007</c:v>
                </c:pt>
                <c:pt idx="29">
                  <c:v>16.312500000000007</c:v>
                </c:pt>
                <c:pt idx="30">
                  <c:v>16.875000000000007</c:v>
                </c:pt>
                <c:pt idx="31">
                  <c:v>17.437500000000011</c:v>
                </c:pt>
                <c:pt idx="32">
                  <c:v>18.000000000000011</c:v>
                </c:pt>
                <c:pt idx="33">
                  <c:v>18.562500000000014</c:v>
                </c:pt>
                <c:pt idx="34">
                  <c:v>19.125000000000014</c:v>
                </c:pt>
                <c:pt idx="35">
                  <c:v>19.687500000000014</c:v>
                </c:pt>
                <c:pt idx="36">
                  <c:v>20.250000000000018</c:v>
                </c:pt>
                <c:pt idx="37">
                  <c:v>20.812500000000018</c:v>
                </c:pt>
                <c:pt idx="38">
                  <c:v>21.375000000000021</c:v>
                </c:pt>
                <c:pt idx="39">
                  <c:v>21.937500000000021</c:v>
                </c:pt>
                <c:pt idx="40">
                  <c:v>22.500000000000021</c:v>
                </c:pt>
                <c:pt idx="41">
                  <c:v>23.062500000000025</c:v>
                </c:pt>
                <c:pt idx="42">
                  <c:v>23.625000000000025</c:v>
                </c:pt>
                <c:pt idx="43">
                  <c:v>24.187500000000028</c:v>
                </c:pt>
                <c:pt idx="44">
                  <c:v>24.750000000000028</c:v>
                </c:pt>
                <c:pt idx="45">
                  <c:v>25.312500000000032</c:v>
                </c:pt>
                <c:pt idx="46">
                  <c:v>25.875000000000036</c:v>
                </c:pt>
                <c:pt idx="47">
                  <c:v>26.437500000000036</c:v>
                </c:pt>
                <c:pt idx="48">
                  <c:v>27.000000000000039</c:v>
                </c:pt>
                <c:pt idx="49">
                  <c:v>27.562500000000039</c:v>
                </c:pt>
                <c:pt idx="50">
                  <c:v>28.125000000000039</c:v>
                </c:pt>
              </c:numCache>
            </c:numRef>
          </c:yVal>
          <c:smooth val="0"/>
          <c:extLst>
            <c:ext xmlns:c16="http://schemas.microsoft.com/office/drawing/2014/chart" uri="{C3380CC4-5D6E-409C-BE32-E72D297353CC}">
              <c16:uniqueId val="{00000002-E860-4AED-A534-31225157F968}"/>
            </c:ext>
          </c:extLst>
        </c:ser>
        <c:ser>
          <c:idx val="3"/>
          <c:order val="3"/>
          <c:tx>
            <c:v>Shear 0.3 mm shear thinning</c:v>
          </c:tx>
          <c:spPr>
            <a:ln w="12700" cap="rnd">
              <a:solidFill>
                <a:schemeClr val="tx1"/>
              </a:solidFill>
              <a:round/>
            </a:ln>
            <a:effectLst/>
          </c:spPr>
          <c:marker>
            <c:symbol val="triangle"/>
            <c:size val="5"/>
            <c:spPr>
              <a:solidFill>
                <a:schemeClr val="tx1"/>
              </a:solidFill>
              <a:ln w="254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rates'!$G$114:$AK$114</c:f>
              <c:numCache>
                <c:formatCode>General</c:formatCode>
                <c:ptCount val="31"/>
                <c:pt idx="0">
                  <c:v>6.0731132075471692E-2</c:v>
                </c:pt>
                <c:pt idx="1">
                  <c:v>0.60041716309800286</c:v>
                </c:pt>
                <c:pt idx="2">
                  <c:v>2.3842753019359391</c:v>
                </c:pt>
                <c:pt idx="3">
                  <c:v>5.1937237212539289</c:v>
                </c:pt>
                <c:pt idx="4">
                  <c:v>8.981198652812882</c:v>
                </c:pt>
                <c:pt idx="5">
                  <c:v>13.714858958589572</c:v>
                </c:pt>
                <c:pt idx="6">
                  <c:v>19.370879018627459</c:v>
                </c:pt>
                <c:pt idx="7">
                  <c:v>25.930298609776322</c:v>
                </c:pt>
                <c:pt idx="8">
                  <c:v>33.377419826372922</c:v>
                </c:pt>
                <c:pt idx="9">
                  <c:v>41.698880149131064</c:v>
                </c:pt>
                <c:pt idx="10">
                  <c:v>50.883068692958368</c:v>
                </c:pt>
                <c:pt idx="11">
                  <c:v>60.919735200408979</c:v>
                </c:pt>
                <c:pt idx="12">
                  <c:v>71.799715591460512</c:v>
                </c:pt>
                <c:pt idx="13">
                  <c:v>83.514732099003382</c:v>
                </c:pt>
                <c:pt idx="14">
                  <c:v>96.057243321349617</c:v>
                </c:pt>
                <c:pt idx="15">
                  <c:v>109.42032892326151</c:v>
                </c:pt>
                <c:pt idx="16">
                  <c:v>123.59759912709821</c:v>
                </c:pt>
                <c:pt idx="17">
                  <c:v>138.58312240025268</c:v>
                </c:pt>
                <c:pt idx="18">
                  <c:v>154.37136679472241</c:v>
                </c:pt>
                <c:pt idx="19">
                  <c:v>170.95715172565278</c:v>
                </c:pt>
                <c:pt idx="20">
                  <c:v>188.33560786553883</c:v>
                </c:pt>
                <c:pt idx="21">
                  <c:v>206.50214344097031</c:v>
                </c:pt>
                <c:pt idx="22">
                  <c:v>225.45241564662024</c:v>
                </c:pt>
                <c:pt idx="23">
                  <c:v>245.18230619717934</c:v>
                </c:pt>
                <c:pt idx="24">
                  <c:v>265.6879002606417</c:v>
                </c:pt>
                <c:pt idx="25">
                  <c:v>286.9654681810996</c:v>
                </c:pt>
                <c:pt idx="26">
                  <c:v>309.0114495227287</c:v>
                </c:pt>
                <c:pt idx="27">
                  <c:v>331.82243906064326</c:v>
                </c:pt>
                <c:pt idx="28">
                  <c:v>355.39517441647655</c:v>
                </c:pt>
                <c:pt idx="29">
                  <c:v>379.72652509277719</c:v>
                </c:pt>
                <c:pt idx="30">
                  <c:v>404.8134827044031</c:v>
                </c:pt>
              </c:numCache>
            </c:numRef>
          </c:yVal>
          <c:smooth val="0"/>
          <c:extLst>
            <c:ext xmlns:c16="http://schemas.microsoft.com/office/drawing/2014/chart" uri="{C3380CC4-5D6E-409C-BE32-E72D297353CC}">
              <c16:uniqueId val="{00000003-E860-4AED-A534-31225157F968}"/>
            </c:ext>
          </c:extLst>
        </c:ser>
        <c:ser>
          <c:idx val="4"/>
          <c:order val="4"/>
          <c:tx>
            <c:v>Shear rate 0.5 mm shear thinning</c:v>
          </c:tx>
          <c:spPr>
            <a:ln w="12700" cap="rnd">
              <a:solidFill>
                <a:srgbClr val="00B050"/>
              </a:solidFill>
              <a:round/>
            </a:ln>
            <a:effectLst/>
          </c:spPr>
          <c:marker>
            <c:symbol val="triangle"/>
            <c:size val="5"/>
            <c:spPr>
              <a:solidFill>
                <a:srgbClr val="00B050"/>
              </a:solidFill>
              <a:ln w="25400">
                <a:solidFill>
                  <a:srgbClr val="00B050"/>
                </a:solidFill>
              </a:ln>
              <a:effectLst/>
            </c:spPr>
          </c:marker>
          <c:xVal>
            <c:numRef>
              <c:f>'shear rates'!$CM$269:$EK$269</c:f>
              <c:numCache>
                <c:formatCode>General</c:formatCode>
                <c:ptCount val="51"/>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pt idx="50">
                  <c:v>1.0000000000000013</c:v>
                </c:pt>
              </c:numCache>
            </c:numRef>
          </c:xVal>
          <c:yVal>
            <c:numRef>
              <c:f>'shear rates'!$G$127:$BE$127</c:f>
              <c:numCache>
                <c:formatCode>General</c:formatCode>
                <c:ptCount val="51"/>
                <c:pt idx="0">
                  <c:v>3.6438679245283018E-2</c:v>
                </c:pt>
                <c:pt idx="1">
                  <c:v>5.4347311363684175E-2</c:v>
                </c:pt>
                <c:pt idx="2">
                  <c:v>0.29929890455773112</c:v>
                </c:pt>
                <c:pt idx="3">
                  <c:v>0.68508006693017209</c:v>
                </c:pt>
                <c:pt idx="4">
                  <c:v>1.20515954997261</c:v>
                </c:pt>
                <c:pt idx="5">
                  <c:v>1.8551650679532981</c:v>
                </c:pt>
                <c:pt idx="6">
                  <c:v>2.6318249910042968</c:v>
                </c:pt>
                <c:pt idx="7">
                  <c:v>3.5325357842554017</c:v>
                </c:pt>
                <c:pt idx="8">
                  <c:v>4.5551418799973309</c:v>
                </c:pt>
                <c:pt idx="9">
                  <c:v>5.6978083955580949</c:v>
                </c:pt>
                <c:pt idx="10">
                  <c:v>6.9589409750077866</c:v>
                </c:pt>
                <c:pt idx="11">
                  <c:v>8.3371320978506063</c:v>
                </c:pt>
                <c:pt idx="12">
                  <c:v>9.8311233927212722</c:v>
                </c:pt>
                <c:pt idx="13">
                  <c:v>11.439778192865045</c:v>
                </c:pt>
                <c:pt idx="14">
                  <c:v>13.162060946004443</c:v>
                </c:pt>
                <c:pt idx="15">
                  <c:v>14.997021381989049</c:v>
                </c:pt>
                <c:pt idx="16">
                  <c:v>16.943782084515849</c:v>
                </c:pt>
                <c:pt idx="17">
                  <c:v>19.00152856148452</c:v>
                </c:pt>
                <c:pt idx="18">
                  <c:v>21.169501190003995</c:v>
                </c:pt>
                <c:pt idx="19">
                  <c:v>23.446988594833055</c:v>
                </c:pt>
                <c:pt idx="20">
                  <c:v>25.833322141227629</c:v>
                </c:pt>
                <c:pt idx="21">
                  <c:v>28.327871306957306</c:v>
                </c:pt>
                <c:pt idx="22">
                  <c:v>30.930039756999363</c:v>
                </c:pt>
                <c:pt idx="23">
                  <c:v>33.639261986437354</c:v>
                </c:pt>
                <c:pt idx="24">
                  <c:v>36.455000427672132</c:v>
                </c:pt>
                <c:pt idx="25">
                  <c:v>39.376742940675967</c:v>
                </c:pt>
                <c:pt idx="26">
                  <c:v>42.404000621982483</c:v>
                </c:pt>
                <c:pt idx="27">
                  <c:v>45.536305881012133</c:v>
                </c:pt>
                <c:pt idx="28">
                  <c:v>48.773210742244252</c:v>
                </c:pt>
                <c:pt idx="29">
                  <c:v>52.11428533946836</c:v>
                </c:pt>
                <c:pt idx="30">
                  <c:v>55.55911657440187</c:v>
                </c:pt>
                <c:pt idx="31">
                  <c:v>59.107306916765303</c:v>
                </c:pt>
                <c:pt idx="32">
                  <c:v>62.758473326746945</c:v>
                </c:pt>
                <c:pt idx="33">
                  <c:v>66.512246283882504</c:v>
                </c:pt>
                <c:pt idx="34">
                  <c:v>70.368268908890059</c:v>
                </c:pt>
                <c:pt idx="35">
                  <c:v>74.326196167051094</c:v>
                </c:pt>
                <c:pt idx="36">
                  <c:v>78.385694143420992</c:v>
                </c:pt>
                <c:pt idx="37">
                  <c:v>82.546439381552617</c:v>
                </c:pt>
                <c:pt idx="38">
                  <c:v>86.808118278578021</c:v>
                </c:pt>
                <c:pt idx="39">
                  <c:v>91.17042653047109</c:v>
                </c:pt>
                <c:pt idx="40">
                  <c:v>95.633068622133081</c:v>
                </c:pt>
                <c:pt idx="41">
                  <c:v>100.1957573576358</c:v>
                </c:pt>
                <c:pt idx="42">
                  <c:v>104.85821342654745</c:v>
                </c:pt>
                <c:pt idx="43">
                  <c:v>109.62016500276523</c:v>
                </c:pt>
                <c:pt idx="44">
                  <c:v>114.48134737271468</c:v>
                </c:pt>
                <c:pt idx="45">
                  <c:v>119.44150259013369</c:v>
                </c:pt>
                <c:pt idx="46">
                  <c:v>124.50037915499352</c:v>
                </c:pt>
                <c:pt idx="47">
                  <c:v>129.65773171436928</c:v>
                </c:pt>
                <c:pt idx="48">
                  <c:v>134.9133207833253</c:v>
                </c:pt>
                <c:pt idx="49">
                  <c:v>140.26691248407724</c:v>
                </c:pt>
                <c:pt idx="50">
                  <c:v>145.7182783018873</c:v>
                </c:pt>
              </c:numCache>
            </c:numRef>
          </c:yVal>
          <c:smooth val="0"/>
          <c:extLst>
            <c:ext xmlns:c16="http://schemas.microsoft.com/office/drawing/2014/chart" uri="{C3380CC4-5D6E-409C-BE32-E72D297353CC}">
              <c16:uniqueId val="{00000006-E860-4AED-A534-31225157F968}"/>
            </c:ext>
          </c:extLst>
        </c:ser>
        <c:ser>
          <c:idx val="5"/>
          <c:order val="5"/>
          <c:tx>
            <c:v>Shear rate 1 mm shear thinning</c:v>
          </c:tx>
          <c:spPr>
            <a:ln w="12700" cap="rnd">
              <a:solidFill>
                <a:srgbClr val="FF0000"/>
              </a:solidFill>
              <a:round/>
            </a:ln>
            <a:effectLst/>
          </c:spPr>
          <c:marker>
            <c:symbol val="triangle"/>
            <c:size val="5"/>
            <c:spPr>
              <a:solidFill>
                <a:srgbClr val="FF0000"/>
              </a:solidFill>
              <a:ln w="25400">
                <a:solidFill>
                  <a:srgbClr val="FF0000"/>
                </a:solidFill>
              </a:ln>
              <a:effectLst/>
            </c:spPr>
          </c:marker>
          <c:xVal>
            <c:numRef>
              <c:f>'shear rates'!$CM$270:$GI$270</c:f>
              <c:numCache>
                <c:formatCode>General</c:formatCode>
                <c:ptCount val="101"/>
                <c:pt idx="0">
                  <c:v>0</c:v>
                </c:pt>
                <c:pt idx="1">
                  <c:v>0.01</c:v>
                </c:pt>
                <c:pt idx="2">
                  <c:v>0.02</c:v>
                </c:pt>
                <c:pt idx="3">
                  <c:v>3.0000000000000002E-2</c:v>
                </c:pt>
                <c:pt idx="4">
                  <c:v>0.04</c:v>
                </c:pt>
                <c:pt idx="5">
                  <c:v>0.05</c:v>
                </c:pt>
                <c:pt idx="6">
                  <c:v>0.06</c:v>
                </c:pt>
                <c:pt idx="7">
                  <c:v>7.0000000000000007E-2</c:v>
                </c:pt>
                <c:pt idx="8">
                  <c:v>0.08</c:v>
                </c:pt>
                <c:pt idx="9">
                  <c:v>9.0000000000000011E-2</c:v>
                </c:pt>
                <c:pt idx="10">
                  <c:v>0.1</c:v>
                </c:pt>
                <c:pt idx="11">
                  <c:v>0.11</c:v>
                </c:pt>
                <c:pt idx="12">
                  <c:v>0.12</c:v>
                </c:pt>
                <c:pt idx="13">
                  <c:v>0.13</c:v>
                </c:pt>
                <c:pt idx="14">
                  <c:v>0.14000000000000001</c:v>
                </c:pt>
                <c:pt idx="15">
                  <c:v>0.15000000000000002</c:v>
                </c:pt>
                <c:pt idx="16">
                  <c:v>0.16</c:v>
                </c:pt>
                <c:pt idx="17">
                  <c:v>0.17</c:v>
                </c:pt>
                <c:pt idx="18">
                  <c:v>0.18000000000000002</c:v>
                </c:pt>
                <c:pt idx="19">
                  <c:v>0.19</c:v>
                </c:pt>
                <c:pt idx="20">
                  <c:v>0.2</c:v>
                </c:pt>
                <c:pt idx="21">
                  <c:v>0.21</c:v>
                </c:pt>
                <c:pt idx="22">
                  <c:v>0.22</c:v>
                </c:pt>
                <c:pt idx="23">
                  <c:v>0.23</c:v>
                </c:pt>
                <c:pt idx="24">
                  <c:v>0.24</c:v>
                </c:pt>
                <c:pt idx="25">
                  <c:v>0.25</c:v>
                </c:pt>
                <c:pt idx="26">
                  <c:v>0.26</c:v>
                </c:pt>
                <c:pt idx="27">
                  <c:v>0.27000000000000007</c:v>
                </c:pt>
                <c:pt idx="28">
                  <c:v>0.28000000000000008</c:v>
                </c:pt>
                <c:pt idx="29">
                  <c:v>0.29000000000000009</c:v>
                </c:pt>
                <c:pt idx="30">
                  <c:v>0.30000000000000016</c:v>
                </c:pt>
                <c:pt idx="31">
                  <c:v>0.31000000000000016</c:v>
                </c:pt>
                <c:pt idx="32">
                  <c:v>0.32000000000000017</c:v>
                </c:pt>
                <c:pt idx="33">
                  <c:v>0.33000000000000018</c:v>
                </c:pt>
                <c:pt idx="34">
                  <c:v>0.34000000000000025</c:v>
                </c:pt>
                <c:pt idx="35">
                  <c:v>0.35000000000000026</c:v>
                </c:pt>
                <c:pt idx="36">
                  <c:v>0.36000000000000026</c:v>
                </c:pt>
                <c:pt idx="37">
                  <c:v>0.37000000000000033</c:v>
                </c:pt>
                <c:pt idx="38">
                  <c:v>0.38000000000000034</c:v>
                </c:pt>
                <c:pt idx="39">
                  <c:v>0.39000000000000035</c:v>
                </c:pt>
                <c:pt idx="40">
                  <c:v>0.40000000000000041</c:v>
                </c:pt>
                <c:pt idx="41">
                  <c:v>0.41000000000000042</c:v>
                </c:pt>
                <c:pt idx="42">
                  <c:v>0.42000000000000043</c:v>
                </c:pt>
                <c:pt idx="43">
                  <c:v>0.43000000000000049</c:v>
                </c:pt>
                <c:pt idx="44">
                  <c:v>0.4400000000000005</c:v>
                </c:pt>
                <c:pt idx="45">
                  <c:v>0.45000000000000051</c:v>
                </c:pt>
                <c:pt idx="46">
                  <c:v>0.46000000000000052</c:v>
                </c:pt>
                <c:pt idx="47">
                  <c:v>0.47000000000000058</c:v>
                </c:pt>
                <c:pt idx="48">
                  <c:v>0.48000000000000059</c:v>
                </c:pt>
                <c:pt idx="49">
                  <c:v>0.4900000000000006</c:v>
                </c:pt>
                <c:pt idx="50">
                  <c:v>0.50000000000000067</c:v>
                </c:pt>
                <c:pt idx="51">
                  <c:v>0.51000000000000068</c:v>
                </c:pt>
                <c:pt idx="52">
                  <c:v>0.52000000000000068</c:v>
                </c:pt>
                <c:pt idx="53">
                  <c:v>0.53000000000000069</c:v>
                </c:pt>
                <c:pt idx="54">
                  <c:v>0.5400000000000007</c:v>
                </c:pt>
                <c:pt idx="55">
                  <c:v>0.55000000000000082</c:v>
                </c:pt>
                <c:pt idx="56">
                  <c:v>0.56000000000000083</c:v>
                </c:pt>
                <c:pt idx="57">
                  <c:v>0.57000000000000084</c:v>
                </c:pt>
                <c:pt idx="58">
                  <c:v>0.58000000000000085</c:v>
                </c:pt>
                <c:pt idx="59">
                  <c:v>0.59000000000000086</c:v>
                </c:pt>
                <c:pt idx="60">
                  <c:v>0.60000000000000087</c:v>
                </c:pt>
                <c:pt idx="61">
                  <c:v>0.61000000000000099</c:v>
                </c:pt>
                <c:pt idx="62">
                  <c:v>0.62000000000000099</c:v>
                </c:pt>
                <c:pt idx="63">
                  <c:v>0.630000000000001</c:v>
                </c:pt>
                <c:pt idx="64">
                  <c:v>0.64000000000000101</c:v>
                </c:pt>
                <c:pt idx="65">
                  <c:v>0.65000000000000102</c:v>
                </c:pt>
                <c:pt idx="66">
                  <c:v>0.66000000000000103</c:v>
                </c:pt>
                <c:pt idx="67">
                  <c:v>0.67000000000000104</c:v>
                </c:pt>
                <c:pt idx="68">
                  <c:v>0.68000000000000116</c:v>
                </c:pt>
                <c:pt idx="69">
                  <c:v>0.69000000000000117</c:v>
                </c:pt>
                <c:pt idx="70">
                  <c:v>0.70000000000000118</c:v>
                </c:pt>
                <c:pt idx="71">
                  <c:v>0.71000000000000119</c:v>
                </c:pt>
                <c:pt idx="72">
                  <c:v>0.72000000000000119</c:v>
                </c:pt>
                <c:pt idx="73">
                  <c:v>0.7300000000000012</c:v>
                </c:pt>
                <c:pt idx="74">
                  <c:v>0.74000000000000132</c:v>
                </c:pt>
                <c:pt idx="75">
                  <c:v>0.75000000000000133</c:v>
                </c:pt>
                <c:pt idx="76">
                  <c:v>0.76000000000000134</c:v>
                </c:pt>
                <c:pt idx="77">
                  <c:v>0.77000000000000135</c:v>
                </c:pt>
                <c:pt idx="78">
                  <c:v>0.78000000000000136</c:v>
                </c:pt>
                <c:pt idx="79">
                  <c:v>0.79000000000000137</c:v>
                </c:pt>
                <c:pt idx="80">
                  <c:v>0.80000000000000138</c:v>
                </c:pt>
                <c:pt idx="81">
                  <c:v>0.8100000000000015</c:v>
                </c:pt>
                <c:pt idx="82">
                  <c:v>0.82000000000000151</c:v>
                </c:pt>
                <c:pt idx="83">
                  <c:v>0.83000000000000151</c:v>
                </c:pt>
                <c:pt idx="84">
                  <c:v>0.84000000000000152</c:v>
                </c:pt>
                <c:pt idx="85">
                  <c:v>0.85000000000000153</c:v>
                </c:pt>
                <c:pt idx="86">
                  <c:v>0.86000000000000154</c:v>
                </c:pt>
                <c:pt idx="87">
                  <c:v>0.87000000000000166</c:v>
                </c:pt>
                <c:pt idx="88">
                  <c:v>0.88000000000000167</c:v>
                </c:pt>
                <c:pt idx="89">
                  <c:v>0.89000000000000168</c:v>
                </c:pt>
                <c:pt idx="90">
                  <c:v>0.90000000000000169</c:v>
                </c:pt>
                <c:pt idx="91">
                  <c:v>0.9100000000000017</c:v>
                </c:pt>
                <c:pt idx="92">
                  <c:v>0.92000000000000171</c:v>
                </c:pt>
                <c:pt idx="93">
                  <c:v>0.93000000000000171</c:v>
                </c:pt>
                <c:pt idx="94">
                  <c:v>0.94000000000000183</c:v>
                </c:pt>
                <c:pt idx="95">
                  <c:v>0.95000000000000184</c:v>
                </c:pt>
                <c:pt idx="96">
                  <c:v>0.96000000000000185</c:v>
                </c:pt>
                <c:pt idx="97">
                  <c:v>0.97000000000000186</c:v>
                </c:pt>
                <c:pt idx="98">
                  <c:v>0.98000000000000187</c:v>
                </c:pt>
                <c:pt idx="99">
                  <c:v>0.99000000000000188</c:v>
                </c:pt>
                <c:pt idx="100">
                  <c:v>1.000000000000002</c:v>
                </c:pt>
              </c:numCache>
            </c:numRef>
          </c:xVal>
          <c:yVal>
            <c:numRef>
              <c:f>'shear rates'!$G$140:$DC$140</c:f>
              <c:numCache>
                <c:formatCode>General</c:formatCode>
                <c:ptCount val="101"/>
                <c:pt idx="0">
                  <c:v>1.8219339622641509E-2</c:v>
                </c:pt>
                <c:pt idx="1">
                  <c:v>1.2082034411313617E-2</c:v>
                </c:pt>
                <c:pt idx="2">
                  <c:v>4.4771580296003302E-3</c:v>
                </c:pt>
                <c:pt idx="3">
                  <c:v>3.0556696539660418E-2</c:v>
                </c:pt>
                <c:pt idx="4">
                  <c:v>6.571505632811217E-2</c:v>
                </c:pt>
                <c:pt idx="5">
                  <c:v>0.10965666258405284</c:v>
                </c:pt>
                <c:pt idx="6">
                  <c:v>0.16216034692122194</c:v>
                </c:pt>
                <c:pt idx="7">
                  <c:v>0.22305010544276721</c:v>
                </c:pt>
                <c:pt idx="8">
                  <c:v>0.29218021768183228</c:v>
                </c:pt>
                <c:pt idx="9">
                  <c:v>0.36942664208851028</c:v>
                </c:pt>
                <c:pt idx="10">
                  <c:v>0.45468159717700468</c:v>
                </c:pt>
                <c:pt idx="11">
                  <c:v>0.54784993189134357</c:v>
                </c:pt>
                <c:pt idx="12">
                  <c:v>0.64884657793975464</c:v>
                </c:pt>
                <c:pt idx="13">
                  <c:v>0.75759469449304639</c:v>
                </c:pt>
                <c:pt idx="14">
                  <c:v>0.87402427625253121</c:v>
                </c:pt>
                <c:pt idx="15">
                  <c:v>0.99807108315311566</c:v>
                </c:pt>
                <c:pt idx="16">
                  <c:v>1.1296758001880141</c:v>
                </c:pt>
                <c:pt idx="17">
                  <c:v>1.2687833661459276</c:v>
                </c:pt>
                <c:pt idx="18">
                  <c:v>1.4153424290782055</c:v>
                </c:pt>
                <c:pt idx="19">
                  <c:v>1.5693048986688654</c:v>
                </c:pt>
                <c:pt idx="20">
                  <c:v>1.7306255739406224</c:v>
                </c:pt>
                <c:pt idx="21">
                  <c:v>1.899261830394426</c:v>
                </c:pt>
                <c:pt idx="22">
                  <c:v>2.0751733546513274</c:v>
                </c:pt>
                <c:pt idx="23">
                  <c:v>2.2583219175060552</c:v>
                </c:pt>
                <c:pt idx="24">
                  <c:v>2.4486711783689925</c:v>
                </c:pt>
                <c:pt idx="25">
                  <c:v>2.6461865156025932</c:v>
                </c:pt>
                <c:pt idx="26">
                  <c:v>2.8508348784049455</c:v>
                </c:pt>
                <c:pt idx="27">
                  <c:v>3.0625846567657233</c:v>
                </c:pt>
                <c:pt idx="28">
                  <c:v>3.2814055666897954</c:v>
                </c:pt>
                <c:pt idx="29">
                  <c:v>3.507268548405758</c:v>
                </c:pt>
                <c:pt idx="30">
                  <c:v>3.7401456756859472</c:v>
                </c:pt>
                <c:pt idx="31">
                  <c:v>3.980010074729246</c:v>
                </c:pt>
                <c:pt idx="32">
                  <c:v>4.2268358513176478</c:v>
                </c:pt>
                <c:pt idx="33">
                  <c:v>4.4805980251666853</c:v>
                </c:pt>
                <c:pt idx="34">
                  <c:v>4.7412724705598004</c:v>
                </c:pt>
                <c:pt idx="35">
                  <c:v>5.0088358624953955</c:v>
                </c:pt>
                <c:pt idx="36">
                  <c:v>5.2832656276896879</c:v>
                </c:pt>
                <c:pt idx="37">
                  <c:v>5.5645398998731626</c:v>
                </c:pt>
                <c:pt idx="38">
                  <c:v>5.8526374788969528</c:v>
                </c:pt>
                <c:pt idx="39">
                  <c:v>6.1475377932315469</c:v>
                </c:pt>
                <c:pt idx="40">
                  <c:v>6.4492208654955974</c:v>
                </c:pt>
                <c:pt idx="41">
                  <c:v>6.7576672806994651</c:v>
                </c:pt>
                <c:pt idx="42">
                  <c:v>7.0728581569280307</c:v>
                </c:pt>
                <c:pt idx="43">
                  <c:v>7.3947751182210197</c:v>
                </c:pt>
                <c:pt idx="44">
                  <c:v>7.7234002694385593</c:v>
                </c:pt>
                <c:pt idx="45">
                  <c:v>8.0587161729239387</c:v>
                </c:pt>
                <c:pt idx="46">
                  <c:v>8.4007058267980472</c:v>
                </c:pt>
                <c:pt idx="47">
                  <c:v>8.7493526447376588</c:v>
                </c:pt>
                <c:pt idx="48">
                  <c:v>9.1046404371067613</c:v>
                </c:pt>
                <c:pt idx="49">
                  <c:v>9.4665533933233892</c:v>
                </c:pt>
                <c:pt idx="50">
                  <c:v>9.8350760653577236</c:v>
                </c:pt>
                <c:pt idx="51">
                  <c:v>10.210193352267211</c:v>
                </c:pt>
                <c:pt idx="52">
                  <c:v>10.591890485684356</c:v>
                </c:pt>
                <c:pt idx="53">
                  <c:v>10.980153016181228</c:v>
                </c:pt>
                <c:pt idx="54">
                  <c:v>11.37496680044177</c:v>
                </c:pt>
                <c:pt idx="55">
                  <c:v>11.776317989180352</c:v>
                </c:pt>
                <c:pt idx="56">
                  <c:v>12.184193015749786</c:v>
                </c:pt>
                <c:pt idx="57">
                  <c:v>12.598578585387729</c:v>
                </c:pt>
                <c:pt idx="58">
                  <c:v>13.019461665055838</c:v>
                </c:pt>
                <c:pt idx="59">
                  <c:v>13.446829473827714</c:v>
                </c:pt>
                <c:pt idx="60">
                  <c:v>13.880669473789219</c:v>
                </c:pt>
                <c:pt idx="61">
                  <c:v>14.320969361413409</c:v>
                </c:pt>
                <c:pt idx="62">
                  <c:v>14.767717059380059</c:v>
                </c:pt>
                <c:pt idx="63">
                  <c:v>15.220900708808127</c:v>
                </c:pt>
                <c:pt idx="64">
                  <c:v>15.680508661875475</c:v>
                </c:pt>
                <c:pt idx="65">
                  <c:v>16.146529474800008</c:v>
                </c:pt>
                <c:pt idx="66">
                  <c:v>16.618951901159335</c:v>
                </c:pt>
                <c:pt idx="67">
                  <c:v>17.097764885527869</c:v>
                </c:pt>
                <c:pt idx="68">
                  <c:v>17.582957557411287</c:v>
                </c:pt>
                <c:pt idx="69">
                  <c:v>18.074519225461067</c:v>
                </c:pt>
                <c:pt idx="70">
                  <c:v>18.572439371951546</c:v>
                </c:pt>
                <c:pt idx="71">
                  <c:v>19.076707647503952</c:v>
                </c:pt>
                <c:pt idx="72">
                  <c:v>19.587313866043996</c:v>
                </c:pt>
                <c:pt idx="73">
                  <c:v>20.104247999978032</c:v>
                </c:pt>
                <c:pt idx="74">
                  <c:v>20.627500175576909</c:v>
                </c:pt>
                <c:pt idx="75">
                  <c:v>21.157060668554891</c:v>
                </c:pt>
                <c:pt idx="76">
                  <c:v>21.692919899833225</c:v>
                </c:pt>
                <c:pt idx="77">
                  <c:v>22.23506843147867</c:v>
                </c:pt>
                <c:pt idx="78">
                  <c:v>22.783496962806531</c:v>
                </c:pt>
                <c:pt idx="79">
                  <c:v>23.338196326640745</c:v>
                </c:pt>
                <c:pt idx="80">
                  <c:v>23.899157485722039</c:v>
                </c:pt>
                <c:pt idx="81">
                  <c:v>24.466371529256485</c:v>
                </c:pt>
                <c:pt idx="82">
                  <c:v>25.039829669597722</c:v>
                </c:pt>
                <c:pt idx="83">
                  <c:v>25.619523239055646</c:v>
                </c:pt>
                <c:pt idx="84">
                  <c:v>26.205443686825582</c:v>
                </c:pt>
                <c:pt idx="85">
                  <c:v>26.797582576031818</c:v>
                </c:pt>
                <c:pt idx="86">
                  <c:v>27.395931580880085</c:v>
                </c:pt>
                <c:pt idx="87">
                  <c:v>28.000482483913448</c:v>
                </c:pt>
                <c:pt idx="88">
                  <c:v>28.611227173367404</c:v>
                </c:pt>
                <c:pt idx="89">
                  <c:v>29.228157640618285</c:v>
                </c:pt>
                <c:pt idx="90">
                  <c:v>29.851265977722214</c:v>
                </c:pt>
                <c:pt idx="91">
                  <c:v>30.480544375038701</c:v>
                </c:pt>
                <c:pt idx="92">
                  <c:v>31.115985118937111</c:v>
                </c:pt>
                <c:pt idx="93">
                  <c:v>31.757580589579849</c:v>
                </c:pt>
                <c:pt idx="94">
                  <c:v>32.40532325878111</c:v>
                </c:pt>
                <c:pt idx="95">
                  <c:v>33.059205687936355</c:v>
                </c:pt>
                <c:pt idx="96">
                  <c:v>33.719220526020123</c:v>
                </c:pt>
                <c:pt idx="97">
                  <c:v>34.385360507649203</c:v>
                </c:pt>
                <c:pt idx="98">
                  <c:v>35.05761845120805</c:v>
                </c:pt>
                <c:pt idx="99">
                  <c:v>35.735987257034118</c:v>
                </c:pt>
                <c:pt idx="100">
                  <c:v>36.420459905660564</c:v>
                </c:pt>
              </c:numCache>
            </c:numRef>
          </c:yVal>
          <c:smooth val="0"/>
          <c:extLst>
            <c:ext xmlns:c16="http://schemas.microsoft.com/office/drawing/2014/chart" uri="{C3380CC4-5D6E-409C-BE32-E72D297353CC}">
              <c16:uniqueId val="{00000007-E860-4AED-A534-31225157F968}"/>
            </c:ext>
          </c:extLst>
        </c:ser>
        <c:dLbls>
          <c:showLegendKey val="0"/>
          <c:showVal val="0"/>
          <c:showCatName val="0"/>
          <c:showSerName val="0"/>
          <c:showPercent val="0"/>
          <c:showBubbleSize val="0"/>
        </c:dLbls>
        <c:axId val="537101944"/>
        <c:axId val="537102272"/>
      </c:scatterChart>
      <c:valAx>
        <c:axId val="537101944"/>
        <c:scaling>
          <c:orientation val="minMax"/>
          <c:max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 rate s</a:t>
                </a:r>
                <a:r>
                  <a:rPr lang="en-GB" sz="1600" baseline="30000">
                    <a:solidFill>
                      <a:schemeClr val="tx1"/>
                    </a:solidFill>
                  </a:rPr>
                  <a:t>-1</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5999404346754895"/>
          <c:y val="0.13534398714552531"/>
          <c:w val="0.24256841874222221"/>
          <c:h val="0.2979687348959198"/>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0.3 mm thickness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rates'!$AK$114:$AK$116</c:f>
              <c:numCache>
                <c:formatCode>General</c:formatCode>
                <c:ptCount val="3"/>
                <c:pt idx="0">
                  <c:v>404.8134827044031</c:v>
                </c:pt>
                <c:pt idx="1">
                  <c:v>179.91710342417917</c:v>
                </c:pt>
                <c:pt idx="2">
                  <c:v>115.66099505840087</c:v>
                </c:pt>
              </c:numCache>
            </c:numRef>
          </c:xVal>
          <c:yVal>
            <c:numRef>
              <c:f>'shear rates'!$BU$109:$BU$111</c:f>
              <c:numCache>
                <c:formatCode>General</c:formatCode>
                <c:ptCount val="3"/>
                <c:pt idx="0">
                  <c:v>0.13750000000000001</c:v>
                </c:pt>
                <c:pt idx="1">
                  <c:v>0.125</c:v>
                </c:pt>
                <c:pt idx="2">
                  <c:v>0.11874999999999999</c:v>
                </c:pt>
              </c:numCache>
            </c:numRef>
          </c:yVal>
          <c:smooth val="0"/>
          <c:extLst>
            <c:ext xmlns:c16="http://schemas.microsoft.com/office/drawing/2014/chart" uri="{C3380CC4-5D6E-409C-BE32-E72D297353CC}">
              <c16:uniqueId val="{00000000-0748-426E-9EFD-7D9C52B14FAA}"/>
            </c:ext>
          </c:extLst>
        </c:ser>
        <c:ser>
          <c:idx val="1"/>
          <c:order val="1"/>
          <c:tx>
            <c:v>Experimental core fraction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rates'!$AK$114:$AK$116</c:f>
              <c:numCache>
                <c:formatCode>General</c:formatCode>
                <c:ptCount val="3"/>
                <c:pt idx="0">
                  <c:v>404.8134827044031</c:v>
                </c:pt>
                <c:pt idx="1">
                  <c:v>179.91710342417917</c:v>
                </c:pt>
                <c:pt idx="2">
                  <c:v>115.66099505840087</c:v>
                </c:pt>
              </c:numCache>
            </c:numRef>
          </c:xVal>
          <c:yVal>
            <c:numRef>
              <c:f>'shear rates'!$BV$109:$BV$111</c:f>
              <c:numCache>
                <c:formatCode>General</c:formatCode>
                <c:ptCount val="3"/>
                <c:pt idx="0">
                  <c:v>0.2978723404255319</c:v>
                </c:pt>
                <c:pt idx="1">
                  <c:v>0.11363636363636363</c:v>
                </c:pt>
                <c:pt idx="2">
                  <c:v>0</c:v>
                </c:pt>
              </c:numCache>
            </c:numRef>
          </c:yVal>
          <c:smooth val="0"/>
          <c:extLst>
            <c:ext xmlns:c16="http://schemas.microsoft.com/office/drawing/2014/chart" uri="{C3380CC4-5D6E-409C-BE32-E72D297353CC}">
              <c16:uniqueId val="{00000001-0748-426E-9EFD-7D9C52B14FAA}"/>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0.5 mm thickness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rates'!$BE$127:$BE$129</c:f>
              <c:numCache>
                <c:formatCode>General</c:formatCode>
                <c:ptCount val="3"/>
                <c:pt idx="0">
                  <c:v>145.7182783018873</c:v>
                </c:pt>
                <c:pt idx="1">
                  <c:v>64.763679245283242</c:v>
                </c:pt>
                <c:pt idx="2">
                  <c:v>41.633793800539223</c:v>
                </c:pt>
              </c:numCache>
            </c:numRef>
          </c:xVal>
          <c:yVal>
            <c:numRef>
              <c:f>'shear rates'!$DI$122:$DI$124</c:f>
              <c:numCache>
                <c:formatCode>General</c:formatCode>
                <c:ptCount val="3"/>
                <c:pt idx="0">
                  <c:v>0.24374999999999999</c:v>
                </c:pt>
                <c:pt idx="1">
                  <c:v>0.22500000000000001</c:v>
                </c:pt>
                <c:pt idx="2">
                  <c:v>0.21875</c:v>
                </c:pt>
              </c:numCache>
            </c:numRef>
          </c:yVal>
          <c:smooth val="0"/>
          <c:extLst>
            <c:ext xmlns:c16="http://schemas.microsoft.com/office/drawing/2014/chart" uri="{C3380CC4-5D6E-409C-BE32-E72D297353CC}">
              <c16:uniqueId val="{00000000-B2C1-4DFB-8890-F08F344112ED}"/>
            </c:ext>
          </c:extLst>
        </c:ser>
        <c:ser>
          <c:idx val="1"/>
          <c:order val="1"/>
          <c:tx>
            <c:v>Experimental core fraction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rates'!$BE$127:$BE$129</c:f>
              <c:numCache>
                <c:formatCode>General</c:formatCode>
                <c:ptCount val="3"/>
                <c:pt idx="0">
                  <c:v>145.7182783018873</c:v>
                </c:pt>
                <c:pt idx="1">
                  <c:v>64.763679245283242</c:v>
                </c:pt>
                <c:pt idx="2">
                  <c:v>41.633793800539223</c:v>
                </c:pt>
              </c:numCache>
            </c:numRef>
          </c:xVal>
          <c:yVal>
            <c:numRef>
              <c:f>'shear rates'!$DJ$122:$DJ$124</c:f>
              <c:numCache>
                <c:formatCode>General</c:formatCode>
                <c:ptCount val="3"/>
                <c:pt idx="0">
                  <c:v>0.36666666666666664</c:v>
                </c:pt>
                <c:pt idx="1">
                  <c:v>0.31578947368421051</c:v>
                </c:pt>
                <c:pt idx="2">
                  <c:v>5.5555555555555552E-2</c:v>
                </c:pt>
              </c:numCache>
            </c:numRef>
          </c:yVal>
          <c:smooth val="0"/>
          <c:extLst>
            <c:ext xmlns:c16="http://schemas.microsoft.com/office/drawing/2014/chart" uri="{C3380CC4-5D6E-409C-BE32-E72D297353CC}">
              <c16:uniqueId val="{00000001-B2C1-4DFB-8890-F08F344112ED}"/>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 mm thickness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rates'!$DC$140:$DC$142</c:f>
              <c:numCache>
                <c:formatCode>General</c:formatCode>
                <c:ptCount val="3"/>
                <c:pt idx="0">
                  <c:v>36.420459905660564</c:v>
                </c:pt>
                <c:pt idx="1">
                  <c:v>16.186871069182473</c:v>
                </c:pt>
                <c:pt idx="2">
                  <c:v>10.405845687331588</c:v>
                </c:pt>
              </c:numCache>
            </c:numRef>
          </c:xVal>
          <c:yVal>
            <c:numRef>
              <c:f>'shear rates'!$HE$135:$HE$137</c:f>
              <c:numCache>
                <c:formatCode>General</c:formatCode>
                <c:ptCount val="3"/>
                <c:pt idx="0">
                  <c:v>0.52500000000000002</c:v>
                </c:pt>
                <c:pt idx="1">
                  <c:v>0.48749999999999999</c:v>
                </c:pt>
                <c:pt idx="2">
                  <c:v>0.46249999999999997</c:v>
                </c:pt>
              </c:numCache>
            </c:numRef>
          </c:yVal>
          <c:smooth val="0"/>
          <c:extLst>
            <c:ext xmlns:c16="http://schemas.microsoft.com/office/drawing/2014/chart" uri="{C3380CC4-5D6E-409C-BE32-E72D297353CC}">
              <c16:uniqueId val="{00000000-5E08-4B12-9E14-2B3E07106808}"/>
            </c:ext>
          </c:extLst>
        </c:ser>
        <c:ser>
          <c:idx val="1"/>
          <c:order val="1"/>
          <c:tx>
            <c:v>Experimental core fraction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rates'!$DC$140:$DC$142</c:f>
              <c:numCache>
                <c:formatCode>General</c:formatCode>
                <c:ptCount val="3"/>
                <c:pt idx="0">
                  <c:v>36.420459905660564</c:v>
                </c:pt>
                <c:pt idx="1">
                  <c:v>16.186871069182473</c:v>
                </c:pt>
                <c:pt idx="2">
                  <c:v>10.405845687331588</c:v>
                </c:pt>
              </c:numCache>
            </c:numRef>
          </c:xVal>
          <c:yVal>
            <c:numRef>
              <c:f>'shear rates'!$HF$135:$HF$137</c:f>
              <c:numCache>
                <c:formatCode>General</c:formatCode>
                <c:ptCount val="3"/>
                <c:pt idx="0">
                  <c:v>0.39285714285714285</c:v>
                </c:pt>
                <c:pt idx="1">
                  <c:v>0.40740740740740738</c:v>
                </c:pt>
                <c:pt idx="2">
                  <c:v>0.41249999999999998</c:v>
                </c:pt>
              </c:numCache>
            </c:numRef>
          </c:yVal>
          <c:smooth val="0"/>
          <c:extLst>
            <c:ext xmlns:c16="http://schemas.microsoft.com/office/drawing/2014/chart" uri="{C3380CC4-5D6E-409C-BE32-E72D297353CC}">
              <c16:uniqueId val="{00000001-5E08-4B12-9E14-2B3E07106808}"/>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1.6 mm thickness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rates'!$FJ$152:$FJ$154</c:f>
              <c:numCache>
                <c:formatCode>General</c:formatCode>
                <c:ptCount val="3"/>
                <c:pt idx="0">
                  <c:v>14.055085147233923</c:v>
                </c:pt>
                <c:pt idx="1">
                  <c:v>6.2467045098817451</c:v>
                </c:pt>
                <c:pt idx="2">
                  <c:v>4.0157386134954063</c:v>
                </c:pt>
              </c:numCache>
            </c:numRef>
          </c:xVal>
          <c:yVal>
            <c:numRef>
              <c:f>'shear rates'!$LS$147:$LS$149</c:f>
              <c:numCache>
                <c:formatCode>General</c:formatCode>
                <c:ptCount val="3"/>
                <c:pt idx="0">
                  <c:v>0.86249999999999993</c:v>
                </c:pt>
                <c:pt idx="1">
                  <c:v>0.81249999999999989</c:v>
                </c:pt>
                <c:pt idx="2">
                  <c:v>0.77499999999999991</c:v>
                </c:pt>
              </c:numCache>
            </c:numRef>
          </c:yVal>
          <c:smooth val="0"/>
          <c:extLst>
            <c:ext xmlns:c16="http://schemas.microsoft.com/office/drawing/2014/chart" uri="{C3380CC4-5D6E-409C-BE32-E72D297353CC}">
              <c16:uniqueId val="{00000000-851F-42EF-8F2A-ECE2B3A2CD1C}"/>
            </c:ext>
          </c:extLst>
        </c:ser>
        <c:ser>
          <c:idx val="1"/>
          <c:order val="1"/>
          <c:tx>
            <c:v>Experimental core fraction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rates'!$FJ$152:$FJ$154</c:f>
              <c:numCache>
                <c:formatCode>General</c:formatCode>
                <c:ptCount val="3"/>
                <c:pt idx="0">
                  <c:v>14.055085147233923</c:v>
                </c:pt>
                <c:pt idx="1">
                  <c:v>6.2467045098817451</c:v>
                </c:pt>
                <c:pt idx="2">
                  <c:v>4.0157386134954063</c:v>
                </c:pt>
              </c:numCache>
            </c:numRef>
          </c:xVal>
          <c:yVal>
            <c:numRef>
              <c:f>'shear rates'!$LT$147:$LT$149</c:f>
              <c:numCache>
                <c:formatCode>General</c:formatCode>
                <c:ptCount val="3"/>
                <c:pt idx="0">
                  <c:v>0.74149659863945583</c:v>
                </c:pt>
                <c:pt idx="1">
                  <c:v>0.58278145695364236</c:v>
                </c:pt>
                <c:pt idx="2">
                  <c:v>0.54794520547945202</c:v>
                </c:pt>
              </c:numCache>
            </c:numRef>
          </c:yVal>
          <c:smooth val="0"/>
          <c:extLst>
            <c:ext xmlns:c16="http://schemas.microsoft.com/office/drawing/2014/chart" uri="{C3380CC4-5D6E-409C-BE32-E72D297353CC}">
              <c16:uniqueId val="{00000001-851F-42EF-8F2A-ECE2B3A2CD1C}"/>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0.3</a:t>
            </a:r>
            <a:r>
              <a:rPr lang="en-GB" baseline="0"/>
              <a:t> mm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shear/stretch 12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rates'!$B$8:$Q$8</c:f>
              <c:numCache>
                <c:formatCode>General</c:formatCode>
                <c:ptCount val="16"/>
                <c:pt idx="0">
                  <c:v>0</c:v>
                </c:pt>
                <c:pt idx="1">
                  <c:v>1.0000000000000001E-5</c:v>
                </c:pt>
                <c:pt idx="2">
                  <c:v>2.0000000000000002E-5</c:v>
                </c:pt>
                <c:pt idx="3">
                  <c:v>3.0000000000000004E-5</c:v>
                </c:pt>
                <c:pt idx="4">
                  <c:v>4.0000000000000003E-5</c:v>
                </c:pt>
                <c:pt idx="5">
                  <c:v>5.0000000000000002E-5</c:v>
                </c:pt>
                <c:pt idx="6">
                  <c:v>6.0000000000000002E-5</c:v>
                </c:pt>
                <c:pt idx="7">
                  <c:v>7.0000000000000007E-5</c:v>
                </c:pt>
                <c:pt idx="8">
                  <c:v>8.0000000000000007E-5</c:v>
                </c:pt>
                <c:pt idx="9">
                  <c:v>9.0000000000000006E-5</c:v>
                </c:pt>
                <c:pt idx="10">
                  <c:v>1E-4</c:v>
                </c:pt>
                <c:pt idx="11">
                  <c:v>1.1E-4</c:v>
                </c:pt>
                <c:pt idx="12">
                  <c:v>1.2E-4</c:v>
                </c:pt>
                <c:pt idx="13">
                  <c:v>1.3000000000000002E-4</c:v>
                </c:pt>
                <c:pt idx="14">
                  <c:v>1.4000000000000001E-4</c:v>
                </c:pt>
                <c:pt idx="15">
                  <c:v>1.5000000000000001E-4</c:v>
                </c:pt>
              </c:numCache>
            </c:numRef>
          </c:xVal>
          <c:yVal>
            <c:numRef>
              <c:f>'shear rates'!$X$14:$AL$14</c:f>
              <c:numCache>
                <c:formatCode>General</c:formatCode>
                <c:ptCount val="15"/>
                <c:pt idx="0">
                  <c:v>0</c:v>
                </c:pt>
                <c:pt idx="1">
                  <c:v>7.576144084141581</c:v>
                </c:pt>
                <c:pt idx="2">
                  <c:v>15.357975337988364</c:v>
                </c:pt>
                <c:pt idx="3">
                  <c:v>23.570226039551589</c:v>
                </c:pt>
                <c:pt idx="4">
                  <c:v>32.479545930099796</c:v>
                </c:pt>
                <c:pt idx="5">
                  <c:v>42.426406871192853</c:v>
                </c:pt>
                <c:pt idx="6">
                  <c:v>53.874802376117906</c:v>
                </c:pt>
                <c:pt idx="7">
                  <c:v>67.49655638598864</c:v>
                </c:pt>
                <c:pt idx="8">
                  <c:v>84.325777632184554</c:v>
                </c:pt>
                <c:pt idx="9">
                  <c:v>106.06601717798215</c:v>
                </c:pt>
                <c:pt idx="10">
                  <c:v>135.76450198781717</c:v>
                </c:pt>
                <c:pt idx="11">
                  <c:v>179.49633676273905</c:v>
                </c:pt>
                <c:pt idx="12">
                  <c:v>251.41574442188366</c:v>
                </c:pt>
                <c:pt idx="13">
                  <c:v>393.95949237536269</c:v>
                </c:pt>
                <c:pt idx="14">
                  <c:v>819.26854647820858</c:v>
                </c:pt>
              </c:numCache>
            </c:numRef>
          </c:yVal>
          <c:smooth val="0"/>
          <c:extLst>
            <c:ext xmlns:c16="http://schemas.microsoft.com/office/drawing/2014/chart" uri="{C3380CC4-5D6E-409C-BE32-E72D297353CC}">
              <c16:uniqueId val="{00000000-0C8E-494B-825C-A48CF213015F}"/>
            </c:ext>
          </c:extLst>
        </c:ser>
        <c:ser>
          <c:idx val="1"/>
          <c:order val="1"/>
          <c:tx>
            <c:v>shear/ stretch 27 mm newtonian</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'shear rates'!$B$8:$Q$8</c:f>
              <c:numCache>
                <c:formatCode>General</c:formatCode>
                <c:ptCount val="16"/>
                <c:pt idx="0">
                  <c:v>0</c:v>
                </c:pt>
                <c:pt idx="1">
                  <c:v>1.0000000000000001E-5</c:v>
                </c:pt>
                <c:pt idx="2">
                  <c:v>2.0000000000000002E-5</c:v>
                </c:pt>
                <c:pt idx="3">
                  <c:v>3.0000000000000004E-5</c:v>
                </c:pt>
                <c:pt idx="4">
                  <c:v>4.0000000000000003E-5</c:v>
                </c:pt>
                <c:pt idx="5">
                  <c:v>5.0000000000000002E-5</c:v>
                </c:pt>
                <c:pt idx="6">
                  <c:v>6.0000000000000002E-5</c:v>
                </c:pt>
                <c:pt idx="7">
                  <c:v>7.0000000000000007E-5</c:v>
                </c:pt>
                <c:pt idx="8">
                  <c:v>8.0000000000000007E-5</c:v>
                </c:pt>
                <c:pt idx="9">
                  <c:v>9.0000000000000006E-5</c:v>
                </c:pt>
                <c:pt idx="10">
                  <c:v>1E-4</c:v>
                </c:pt>
                <c:pt idx="11">
                  <c:v>1.1E-4</c:v>
                </c:pt>
                <c:pt idx="12">
                  <c:v>1.2E-4</c:v>
                </c:pt>
                <c:pt idx="13">
                  <c:v>1.3000000000000002E-4</c:v>
                </c:pt>
                <c:pt idx="14">
                  <c:v>1.4000000000000001E-4</c:v>
                </c:pt>
                <c:pt idx="15">
                  <c:v>1.5000000000000001E-4</c:v>
                </c:pt>
              </c:numCache>
            </c:numRef>
          </c:xVal>
          <c:yVal>
            <c:numRef>
              <c:f>'shear rates'!$X$15:$AL$15</c:f>
              <c:numCache>
                <c:formatCode>General</c:formatCode>
                <c:ptCount val="15"/>
                <c:pt idx="0">
                  <c:v>0</c:v>
                </c:pt>
                <c:pt idx="1">
                  <c:v>17.046324189318558</c:v>
                </c:pt>
                <c:pt idx="2">
                  <c:v>34.555444510473819</c:v>
                </c:pt>
                <c:pt idx="3">
                  <c:v>53.033008588991066</c:v>
                </c:pt>
                <c:pt idx="4">
                  <c:v>73.078978342724525</c:v>
                </c:pt>
                <c:pt idx="5">
                  <c:v>95.459415460183934</c:v>
                </c:pt>
                <c:pt idx="6">
                  <c:v>121.21830534626527</c:v>
                </c:pt>
                <c:pt idx="7">
                  <c:v>151.86725186847443</c:v>
                </c:pt>
                <c:pt idx="8">
                  <c:v>189.73299967241525</c:v>
                </c:pt>
                <c:pt idx="9">
                  <c:v>238.64853865045978</c:v>
                </c:pt>
                <c:pt idx="10">
                  <c:v>305.47012947258861</c:v>
                </c:pt>
                <c:pt idx="11">
                  <c:v>403.86675771616279</c:v>
                </c:pt>
                <c:pt idx="12">
                  <c:v>565.68542494923815</c:v>
                </c:pt>
                <c:pt idx="13">
                  <c:v>886.40885784456589</c:v>
                </c:pt>
                <c:pt idx="14">
                  <c:v>1843.3542295759692</c:v>
                </c:pt>
              </c:numCache>
            </c:numRef>
          </c:yVal>
          <c:smooth val="0"/>
          <c:extLst>
            <c:ext xmlns:c16="http://schemas.microsoft.com/office/drawing/2014/chart" uri="{C3380CC4-5D6E-409C-BE32-E72D297353CC}">
              <c16:uniqueId val="{00000001-0C8E-494B-825C-A48CF213015F}"/>
            </c:ext>
          </c:extLst>
        </c:ser>
        <c:ser>
          <c:idx val="2"/>
          <c:order val="2"/>
          <c:tx>
            <c:v>shear/stretch 42 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rates'!$B$8:$Q$8</c:f>
              <c:numCache>
                <c:formatCode>General</c:formatCode>
                <c:ptCount val="16"/>
                <c:pt idx="0">
                  <c:v>0</c:v>
                </c:pt>
                <c:pt idx="1">
                  <c:v>1.0000000000000001E-5</c:v>
                </c:pt>
                <c:pt idx="2">
                  <c:v>2.0000000000000002E-5</c:v>
                </c:pt>
                <c:pt idx="3">
                  <c:v>3.0000000000000004E-5</c:v>
                </c:pt>
                <c:pt idx="4">
                  <c:v>4.0000000000000003E-5</c:v>
                </c:pt>
                <c:pt idx="5">
                  <c:v>5.0000000000000002E-5</c:v>
                </c:pt>
                <c:pt idx="6">
                  <c:v>6.0000000000000002E-5</c:v>
                </c:pt>
                <c:pt idx="7">
                  <c:v>7.0000000000000007E-5</c:v>
                </c:pt>
                <c:pt idx="8">
                  <c:v>8.0000000000000007E-5</c:v>
                </c:pt>
                <c:pt idx="9">
                  <c:v>9.0000000000000006E-5</c:v>
                </c:pt>
                <c:pt idx="10">
                  <c:v>1E-4</c:v>
                </c:pt>
                <c:pt idx="11">
                  <c:v>1.1E-4</c:v>
                </c:pt>
                <c:pt idx="12">
                  <c:v>1.2E-4</c:v>
                </c:pt>
                <c:pt idx="13">
                  <c:v>1.3000000000000002E-4</c:v>
                </c:pt>
                <c:pt idx="14">
                  <c:v>1.4000000000000001E-4</c:v>
                </c:pt>
                <c:pt idx="15">
                  <c:v>1.5000000000000001E-4</c:v>
                </c:pt>
              </c:numCache>
            </c:numRef>
          </c:xVal>
          <c:yVal>
            <c:numRef>
              <c:f>'shear rates'!$X$16:$AL$16</c:f>
              <c:numCache>
                <c:formatCode>General</c:formatCode>
                <c:ptCount val="15"/>
                <c:pt idx="0">
                  <c:v>0</c:v>
                </c:pt>
                <c:pt idx="1">
                  <c:v>26.51650429449554</c:v>
                </c:pt>
                <c:pt idx="2">
                  <c:v>53.752913682959282</c:v>
                </c:pt>
                <c:pt idx="3">
                  <c:v>82.495791138430562</c:v>
                </c:pt>
                <c:pt idx="4">
                  <c:v>113.67841075534929</c:v>
                </c:pt>
                <c:pt idx="5">
                  <c:v>148.49242404917501</c:v>
                </c:pt>
                <c:pt idx="6">
                  <c:v>188.56180831641271</c:v>
                </c:pt>
                <c:pt idx="7">
                  <c:v>236.23794735096027</c:v>
                </c:pt>
                <c:pt idx="8">
                  <c:v>295.140221712646</c:v>
                </c:pt>
                <c:pt idx="9">
                  <c:v>371.23106012293755</c:v>
                </c:pt>
                <c:pt idx="10">
                  <c:v>475.17575695736002</c:v>
                </c:pt>
                <c:pt idx="11">
                  <c:v>628.23717866958668</c:v>
                </c:pt>
                <c:pt idx="12">
                  <c:v>879.95510547659296</c:v>
                </c:pt>
                <c:pt idx="13">
                  <c:v>1378.8582233137695</c:v>
                </c:pt>
                <c:pt idx="14">
                  <c:v>2867.4399126737303</c:v>
                </c:pt>
              </c:numCache>
            </c:numRef>
          </c:yVal>
          <c:smooth val="0"/>
          <c:extLst>
            <c:ext xmlns:c16="http://schemas.microsoft.com/office/drawing/2014/chart" uri="{C3380CC4-5D6E-409C-BE32-E72D297353CC}">
              <c16:uniqueId val="{00000002-0C8E-494B-825C-A48CF213015F}"/>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49802871149678984"/>
          <c:y val="0.10370535578993904"/>
          <c:w val="0.27354777360698773"/>
          <c:h val="0.3111065598042709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12</a:t>
            </a:r>
            <a:r>
              <a:rPr lang="en-GB" baseline="0"/>
              <a:t> mm from injection pt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shear/stretch 0.3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rates'!$B$206:$Q$206</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rates'!$X$14:$AL$14</c:f>
              <c:numCache>
                <c:formatCode>General</c:formatCode>
                <c:ptCount val="15"/>
                <c:pt idx="0">
                  <c:v>0</c:v>
                </c:pt>
                <c:pt idx="1">
                  <c:v>7.576144084141581</c:v>
                </c:pt>
                <c:pt idx="2">
                  <c:v>15.357975337988364</c:v>
                </c:pt>
                <c:pt idx="3">
                  <c:v>23.570226039551589</c:v>
                </c:pt>
                <c:pt idx="4">
                  <c:v>32.479545930099796</c:v>
                </c:pt>
                <c:pt idx="5">
                  <c:v>42.426406871192853</c:v>
                </c:pt>
                <c:pt idx="6">
                  <c:v>53.874802376117906</c:v>
                </c:pt>
                <c:pt idx="7">
                  <c:v>67.49655638598864</c:v>
                </c:pt>
                <c:pt idx="8">
                  <c:v>84.325777632184554</c:v>
                </c:pt>
                <c:pt idx="9">
                  <c:v>106.06601717798215</c:v>
                </c:pt>
                <c:pt idx="10">
                  <c:v>135.76450198781717</c:v>
                </c:pt>
                <c:pt idx="11">
                  <c:v>179.49633676273905</c:v>
                </c:pt>
                <c:pt idx="12">
                  <c:v>251.41574442188366</c:v>
                </c:pt>
                <c:pt idx="13">
                  <c:v>393.95949237536269</c:v>
                </c:pt>
                <c:pt idx="14">
                  <c:v>819.26854647820858</c:v>
                </c:pt>
              </c:numCache>
            </c:numRef>
          </c:yVal>
          <c:smooth val="0"/>
          <c:extLst>
            <c:ext xmlns:c16="http://schemas.microsoft.com/office/drawing/2014/chart" uri="{C3380CC4-5D6E-409C-BE32-E72D297353CC}">
              <c16:uniqueId val="{00000000-1FBC-4198-9E39-62E670CFE274}"/>
            </c:ext>
          </c:extLst>
        </c:ser>
        <c:ser>
          <c:idx val="1"/>
          <c:order val="1"/>
          <c:tx>
            <c:v>shear/ stretch 0.5 mm newtonian</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'shear rates'!$B$211:$AA$211</c:f>
              <c:numCache>
                <c:formatCode>General</c:formatCode>
                <c:ptCount val="26"/>
                <c:pt idx="0">
                  <c:v>0</c:v>
                </c:pt>
                <c:pt idx="1">
                  <c:v>0.04</c:v>
                </c:pt>
                <c:pt idx="2">
                  <c:v>0.08</c:v>
                </c:pt>
                <c:pt idx="3">
                  <c:v>0.12000000000000001</c:v>
                </c:pt>
                <c:pt idx="4">
                  <c:v>0.16</c:v>
                </c:pt>
                <c:pt idx="5">
                  <c:v>0.2</c:v>
                </c:pt>
                <c:pt idx="6">
                  <c:v>0.24</c:v>
                </c:pt>
                <c:pt idx="7">
                  <c:v>0.28000000000000003</c:v>
                </c:pt>
                <c:pt idx="8">
                  <c:v>0.32</c:v>
                </c:pt>
                <c:pt idx="9">
                  <c:v>0.36000000000000004</c:v>
                </c:pt>
                <c:pt idx="10">
                  <c:v>0.4</c:v>
                </c:pt>
                <c:pt idx="11">
                  <c:v>0.44</c:v>
                </c:pt>
                <c:pt idx="12">
                  <c:v>0.48</c:v>
                </c:pt>
                <c:pt idx="13">
                  <c:v>0.52</c:v>
                </c:pt>
                <c:pt idx="14">
                  <c:v>0.56000000000000005</c:v>
                </c:pt>
                <c:pt idx="15">
                  <c:v>0.60000000000000009</c:v>
                </c:pt>
                <c:pt idx="16">
                  <c:v>0.64</c:v>
                </c:pt>
                <c:pt idx="17">
                  <c:v>0.68</c:v>
                </c:pt>
                <c:pt idx="18">
                  <c:v>0.72000000000000008</c:v>
                </c:pt>
                <c:pt idx="19">
                  <c:v>0.76</c:v>
                </c:pt>
                <c:pt idx="20">
                  <c:v>0.8</c:v>
                </c:pt>
                <c:pt idx="21">
                  <c:v>0.84</c:v>
                </c:pt>
                <c:pt idx="22">
                  <c:v>0.88</c:v>
                </c:pt>
                <c:pt idx="23">
                  <c:v>0.92</c:v>
                </c:pt>
                <c:pt idx="24">
                  <c:v>0.96</c:v>
                </c:pt>
                <c:pt idx="25">
                  <c:v>1</c:v>
                </c:pt>
              </c:numCache>
            </c:numRef>
          </c:xVal>
          <c:yVal>
            <c:numRef>
              <c:f>'shear rates'!$AH$27:$BF$27</c:f>
              <c:numCache>
                <c:formatCode>General</c:formatCode>
                <c:ptCount val="25"/>
                <c:pt idx="0">
                  <c:v>0</c:v>
                </c:pt>
                <c:pt idx="1">
                  <c:v>2.719641466102106</c:v>
                </c:pt>
                <c:pt idx="2">
                  <c:v>5.4655596613452948</c:v>
                </c:pt>
                <c:pt idx="3">
                  <c:v>8.2648844554271808</c:v>
                </c:pt>
                <c:pt idx="4">
                  <c:v>11.146510836438187</c:v>
                </c:pt>
                <c:pt idx="5">
                  <c:v>14.142135623730953</c:v>
                </c:pt>
                <c:pt idx="6">
                  <c:v>17.287500253117631</c:v>
                </c:pt>
                <c:pt idx="7">
                  <c:v>20.62394778460764</c:v>
                </c:pt>
                <c:pt idx="8">
                  <c:v>24.200445987133179</c:v>
                </c:pt>
                <c:pt idx="9">
                  <c:v>28.076298664759982</c:v>
                </c:pt>
                <c:pt idx="10">
                  <c:v>32.324881425670753</c:v>
                </c:pt>
                <c:pt idx="11">
                  <c:v>37.038926633581063</c:v>
                </c:pt>
                <c:pt idx="12">
                  <c:v>42.338202283103058</c:v>
                </c:pt>
                <c:pt idx="13">
                  <c:v>48.38099029171115</c:v>
                </c:pt>
                <c:pt idx="14">
                  <c:v>55.381789855170169</c:v>
                </c:pt>
                <c:pt idx="15">
                  <c:v>63.639610306789294</c:v>
                </c:pt>
                <c:pt idx="16">
                  <c:v>73.585095928356168</c:v>
                </c:pt>
                <c:pt idx="17">
                  <c:v>85.862966286937933</c:v>
                </c:pt>
                <c:pt idx="18">
                  <c:v>101.48509284803609</c:v>
                </c:pt>
                <c:pt idx="19">
                  <c:v>122.13662584131281</c:v>
                </c:pt>
                <c:pt idx="20">
                  <c:v>150.84944665313014</c:v>
                </c:pt>
                <c:pt idx="21">
                  <c:v>193.68577049892397</c:v>
                </c:pt>
                <c:pt idx="22">
                  <c:v>264.78892231666475</c:v>
                </c:pt>
                <c:pt idx="23">
                  <c:v>406.58639918226527</c:v>
                </c:pt>
                <c:pt idx="24">
                  <c:v>831.21123666010578</c:v>
                </c:pt>
              </c:numCache>
            </c:numRef>
          </c:yVal>
          <c:smooth val="0"/>
          <c:extLst>
            <c:ext xmlns:c16="http://schemas.microsoft.com/office/drawing/2014/chart" uri="{C3380CC4-5D6E-409C-BE32-E72D297353CC}">
              <c16:uniqueId val="{00000001-1FBC-4198-9E39-62E670CFE274}"/>
            </c:ext>
          </c:extLst>
        </c:ser>
        <c:ser>
          <c:idx val="2"/>
          <c:order val="2"/>
          <c:tx>
            <c:v>shear/stretch 1 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rates'!$B$216:$AZ$216</c:f>
              <c:numCache>
                <c:formatCode>General</c:formatCode>
                <c:ptCount val="51"/>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pt idx="50">
                  <c:v>1.0000000000000013</c:v>
                </c:pt>
              </c:numCache>
            </c:numRef>
          </c:xVal>
          <c:yVal>
            <c:numRef>
              <c:f>'shear rates'!$BG$40:$DD$40</c:f>
              <c:numCache>
                <c:formatCode>General</c:formatCode>
                <c:ptCount val="50"/>
                <c:pt idx="0">
                  <c:v>0</c:v>
                </c:pt>
                <c:pt idx="1">
                  <c:v>0.67909414759812481</c:v>
                </c:pt>
                <c:pt idx="2">
                  <c:v>1.359820733051053</c:v>
                </c:pt>
                <c:pt idx="3">
                  <c:v>2.0438253009004992</c:v>
                </c:pt>
                <c:pt idx="4">
                  <c:v>2.7327798306726474</c:v>
                </c:pt>
                <c:pt idx="5">
                  <c:v>3.4283965148438669</c:v>
                </c:pt>
                <c:pt idx="6">
                  <c:v>4.1324422277135895</c:v>
                </c:pt>
                <c:pt idx="7">
                  <c:v>4.8467539469334966</c:v>
                </c:pt>
                <c:pt idx="8">
                  <c:v>5.5732554182190936</c:v>
                </c:pt>
                <c:pt idx="9">
                  <c:v>6.3139753921576807</c:v>
                </c:pt>
                <c:pt idx="10">
                  <c:v>7.0710678118654764</c:v>
                </c:pt>
                <c:pt idx="11">
                  <c:v>7.8468343939995195</c:v>
                </c:pt>
                <c:pt idx="12">
                  <c:v>8.6437501265588157</c:v>
                </c:pt>
                <c:pt idx="13">
                  <c:v>9.4644923093180111</c:v>
                </c:pt>
                <c:pt idx="14">
                  <c:v>10.31197389230382</c:v>
                </c:pt>
                <c:pt idx="15">
                  <c:v>11.189382031962952</c:v>
                </c:pt>
                <c:pt idx="16">
                  <c:v>12.100222993566589</c:v>
                </c:pt>
                <c:pt idx="17">
                  <c:v>13.048374795301283</c:v>
                </c:pt>
                <c:pt idx="18">
                  <c:v>14.038149332379991</c:v>
                </c:pt>
                <c:pt idx="19">
                  <c:v>15.07436616274267</c:v>
                </c:pt>
                <c:pt idx="20">
                  <c:v>16.162440712835377</c:v>
                </c:pt>
                <c:pt idx="21">
                  <c:v>17.308490418553667</c:v>
                </c:pt>
                <c:pt idx="22">
                  <c:v>18.519463316790532</c:v>
                </c:pt>
                <c:pt idx="23">
                  <c:v>19.803294937340144</c:v>
                </c:pt>
                <c:pt idx="24">
                  <c:v>21.169101141551529</c:v>
                </c:pt>
                <c:pt idx="25">
                  <c:v>22.627416997969522</c:v>
                </c:pt>
                <c:pt idx="26">
                  <c:v>24.190495145855575</c:v>
                </c:pt>
                <c:pt idx="27">
                  <c:v>25.872681773511175</c:v>
                </c:pt>
                <c:pt idx="28">
                  <c:v>27.690894927585099</c:v>
                </c:pt>
                <c:pt idx="29">
                  <c:v>29.665239283052287</c:v>
                </c:pt>
                <c:pt idx="30">
                  <c:v>31.819805153394668</c:v>
                </c:pt>
                <c:pt idx="31">
                  <c:v>34.183719636308773</c:v>
                </c:pt>
                <c:pt idx="32">
                  <c:v>36.792547964178134</c:v>
                </c:pt>
                <c:pt idx="33">
                  <c:v>39.690189277090482</c:v>
                </c:pt>
                <c:pt idx="34">
                  <c:v>42.93148314346903</c:v>
                </c:pt>
                <c:pt idx="35">
                  <c:v>46.585858525231458</c:v>
                </c:pt>
                <c:pt idx="36">
                  <c:v>50.742546424018165</c:v>
                </c:pt>
                <c:pt idx="37">
                  <c:v>55.518198204567291</c:v>
                </c:pt>
                <c:pt idx="38">
                  <c:v>61.068312920656602</c:v>
                </c:pt>
                <c:pt idx="39">
                  <c:v>67.604897567988871</c:v>
                </c:pt>
                <c:pt idx="40">
                  <c:v>75.424723326565413</c:v>
                </c:pt>
                <c:pt idx="41">
                  <c:v>84.95641913157101</c:v>
                </c:pt>
                <c:pt idx="42">
                  <c:v>96.842885249462554</c:v>
                </c:pt>
                <c:pt idx="43">
                  <c:v>112.09434687934295</c:v>
                </c:pt>
                <c:pt idx="44">
                  <c:v>132.39446115833348</c:v>
                </c:pt>
                <c:pt idx="45">
                  <c:v>160.7737523539958</c:v>
                </c:pt>
                <c:pt idx="46">
                  <c:v>203.29319959113553</c:v>
                </c:pt>
                <c:pt idx="47">
                  <c:v>274.09499971767775</c:v>
                </c:pt>
                <c:pt idx="48">
                  <c:v>415.60561833006579</c:v>
                </c:pt>
                <c:pt idx="49">
                  <c:v>839.95714613680093</c:v>
                </c:pt>
              </c:numCache>
            </c:numRef>
          </c:yVal>
          <c:smooth val="0"/>
          <c:extLst>
            <c:ext xmlns:c16="http://schemas.microsoft.com/office/drawing/2014/chart" uri="{C3380CC4-5D6E-409C-BE32-E72D297353CC}">
              <c16:uniqueId val="{00000002-1FBC-4198-9E39-62E670CFE274}"/>
            </c:ext>
          </c:extLst>
        </c:ser>
        <c:ser>
          <c:idx val="3"/>
          <c:order val="3"/>
          <c:tx>
            <c:v>shear/stretch 1.6 mm newtonian</c:v>
          </c:tx>
          <c:spPr>
            <a:ln w="12700" cap="rnd">
              <a:solidFill>
                <a:srgbClr val="0070C0"/>
              </a:solidFill>
              <a:round/>
            </a:ln>
            <a:effectLst/>
          </c:spPr>
          <c:marker>
            <c:symbol val="circle"/>
            <c:size val="5"/>
            <c:spPr>
              <a:solidFill>
                <a:srgbClr val="0070C0"/>
              </a:solidFill>
              <a:ln w="25400">
                <a:solidFill>
                  <a:srgbClr val="0070C0"/>
                </a:solidFill>
              </a:ln>
              <a:effectLst/>
            </c:spPr>
          </c:marker>
          <c:xVal>
            <c:numRef>
              <c:f>'shear rates'!$B$221:$CD$221</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rates'!$CK$52:$FL$52</c:f>
              <c:numCache>
                <c:formatCode>General</c:formatCode>
                <c:ptCount val="80"/>
                <c:pt idx="0">
                  <c:v>0</c:v>
                </c:pt>
                <c:pt idx="1">
                  <c:v>0.265206481457683</c:v>
                </c:pt>
                <c:pt idx="2">
                  <c:v>0.53066174948333755</c:v>
                </c:pt>
                <c:pt idx="3">
                  <c:v>0.7966153691978004</c:v>
                </c:pt>
                <c:pt idx="4">
                  <c:v>1.0633184679496952</c:v>
                </c:pt>
                <c:pt idx="5">
                  <c:v>1.3310245292923242</c:v>
                </c:pt>
                <c:pt idx="6">
                  <c:v>1.5999902025591264</c:v>
                </c:pt>
                <c:pt idx="7">
                  <c:v>1.8704761335118869</c:v>
                </c:pt>
                <c:pt idx="8">
                  <c:v>2.1427478217774159</c:v>
                </c:pt>
                <c:pt idx="9">
                  <c:v>2.417076511098184</c:v>
                </c:pt>
                <c:pt idx="10">
                  <c:v>2.6937401188058945</c:v>
                </c:pt>
                <c:pt idx="11">
                  <c:v>2.9730242113911212</c:v>
                </c:pt>
                <c:pt idx="12">
                  <c:v>3.255223033595358</c:v>
                </c:pt>
                <c:pt idx="13">
                  <c:v>3.5406405991045218</c:v>
                </c:pt>
                <c:pt idx="14">
                  <c:v>3.8295918516872969</c:v>
                </c:pt>
                <c:pt idx="15">
                  <c:v>4.1224039065126643</c:v>
                </c:pt>
                <c:pt idx="16">
                  <c:v>4.4194173824159204</c:v>
                </c:pt>
                <c:pt idx="17">
                  <c:v>4.7209878370824967</c:v>
                </c:pt>
                <c:pt idx="18">
                  <c:v>5.0274873185086975</c:v>
                </c:pt>
                <c:pt idx="19">
                  <c:v>5.3393060477076597</c:v>
                </c:pt>
                <c:pt idx="20">
                  <c:v>5.6568542494923788</c:v>
                </c:pt>
                <c:pt idx="21">
                  <c:v>5.9805641503275693</c:v>
                </c:pt>
                <c:pt idx="22">
                  <c:v>6.3108921647480889</c:v>
                </c:pt>
                <c:pt idx="23">
                  <c:v>6.6483212947534343</c:v>
                </c:pt>
                <c:pt idx="24">
                  <c:v>6.9933637699768401</c:v>
                </c:pt>
                <c:pt idx="25">
                  <c:v>7.3465639603797115</c:v>
                </c:pt>
                <c:pt idx="26">
                  <c:v>7.7085015978407672</c:v>
                </c:pt>
                <c:pt idx="27">
                  <c:v>8.0797953484197276</c:v>
                </c:pt>
                <c:pt idx="28">
                  <c:v>8.4611067834287734</c:v>
                </c:pt>
                <c:pt idx="29">
                  <c:v>8.8531448049260124</c:v>
                </c:pt>
                <c:pt idx="30">
                  <c:v>9.2566705900784427</c:v>
                </c:pt>
                <c:pt idx="31">
                  <c:v>9.6725031293030241</c:v>
                </c:pt>
                <c:pt idx="32">
                  <c:v>10.10152544552211</c:v>
                </c:pt>
                <c:pt idx="33">
                  <c:v>10.544691596681339</c:v>
                </c:pt>
                <c:pt idx="34">
                  <c:v>11.003034581392509</c:v>
                </c:pt>
                <c:pt idx="35">
                  <c:v>11.477675288825127</c:v>
                </c:pt>
                <c:pt idx="36">
                  <c:v>11.969832659584199</c:v>
                </c:pt>
                <c:pt idx="37">
                  <c:v>12.480835255290298</c:v>
                </c:pt>
                <c:pt idx="38">
                  <c:v>13.012134472197983</c:v>
                </c:pt>
                <c:pt idx="39">
                  <c:v>13.565319680069878</c:v>
                </c:pt>
                <c:pt idx="40">
                  <c:v>14.142135623730969</c:v>
                </c:pt>
                <c:pt idx="41">
                  <c:v>14.744502493908957</c:v>
                </c:pt>
                <c:pt idx="42">
                  <c:v>15.374539159534967</c:v>
                </c:pt>
                <c:pt idx="43">
                  <c:v>16.03459016006412</c:v>
                </c:pt>
                <c:pt idx="44">
                  <c:v>16.727257189359218</c:v>
                </c:pt>
                <c:pt idx="45">
                  <c:v>17.455435969862233</c:v>
                </c:pt>
                <c:pt idx="46">
                  <c:v>18.222359627216388</c:v>
                </c:pt>
                <c:pt idx="47">
                  <c:v>19.031649944605761</c:v>
                </c:pt>
                <c:pt idx="48">
                  <c:v>19.887378220871692</c:v>
                </c:pt>
                <c:pt idx="49">
                  <c:v>20.794137901359889</c:v>
                </c:pt>
                <c:pt idx="50">
                  <c:v>21.757131728816908</c:v>
                </c:pt>
                <c:pt idx="51">
                  <c:v>22.782276919513993</c:v>
                </c:pt>
                <c:pt idx="52">
                  <c:v>23.876332871234144</c:v>
                </c:pt>
                <c:pt idx="53">
                  <c:v>25.047057245037351</c:v>
                </c:pt>
                <c:pt idx="54">
                  <c:v>26.303398060211503</c:v>
                </c:pt>
                <c:pt idx="55">
                  <c:v>27.655731886407292</c:v>
                </c:pt>
                <c:pt idx="56">
                  <c:v>29.116161578269711</c:v>
                </c:pt>
                <c:pt idx="57">
                  <c:v>30.698891674490671</c:v>
                </c:pt>
                <c:pt idx="58">
                  <c:v>32.420706172980189</c:v>
                </c:pt>
                <c:pt idx="59">
                  <c:v>34.301582807816239</c:v>
                </c:pt>
                <c:pt idx="60">
                  <c:v>36.365491603879768</c:v>
                </c:pt>
                <c:pt idx="61">
                  <c:v>38.641445601235965</c:v>
                </c:pt>
                <c:pt idx="62">
                  <c:v>41.164901815555126</c:v>
                </c:pt>
                <c:pt idx="63">
                  <c:v>43.979656649694221</c:v>
                </c:pt>
                <c:pt idx="64">
                  <c:v>47.140452079103504</c:v>
                </c:pt>
                <c:pt idx="65">
                  <c:v>50.716624305794134</c:v>
                </c:pt>
                <c:pt idx="66">
                  <c:v>54.797316115435443</c:v>
                </c:pt>
                <c:pt idx="67">
                  <c:v>59.499094931867013</c:v>
                </c:pt>
                <c:pt idx="68">
                  <c:v>64.977379892818533</c:v>
                </c:pt>
                <c:pt idx="69">
                  <c:v>71.444101869733728</c:v>
                </c:pt>
                <c:pt idx="70">
                  <c:v>79.195959492894289</c:v>
                </c:pt>
                <c:pt idx="71">
                  <c:v>88.661512519639004</c:v>
                </c:pt>
                <c:pt idx="72">
                  <c:v>100.48359522124781</c:v>
                </c:pt>
                <c:pt idx="73">
                  <c:v>115.67236980754933</c:v>
                </c:pt>
                <c:pt idx="74">
                  <c:v>135.9114332670276</c:v>
                </c:pt>
                <c:pt idx="75">
                  <c:v>164.23125240462193</c:v>
                </c:pt>
                <c:pt idx="76">
                  <c:v>206.69275142376685</c:v>
                </c:pt>
                <c:pt idx="77">
                  <c:v>277.43807465664514</c:v>
                </c:pt>
                <c:pt idx="78">
                  <c:v>418.89363746243981</c:v>
                </c:pt>
                <c:pt idx="79">
                  <c:v>843.19148247162195</c:v>
                </c:pt>
              </c:numCache>
            </c:numRef>
          </c:yVal>
          <c:smooth val="0"/>
          <c:extLst>
            <c:ext xmlns:c16="http://schemas.microsoft.com/office/drawing/2014/chart" uri="{C3380CC4-5D6E-409C-BE32-E72D297353CC}">
              <c16:uniqueId val="{00000003-1FBC-4198-9E39-62E670CFE274}"/>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49802871149678984"/>
          <c:y val="0.10370535578993904"/>
          <c:w val="0.27354777360698773"/>
          <c:h val="0.3111065598042709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0.3</a:t>
            </a:r>
            <a:r>
              <a:rPr lang="en-GB" baseline="0"/>
              <a:t> mm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shear/stretch 12 mm power law</c:v>
          </c:tx>
          <c:spPr>
            <a:ln w="12700" cap="rnd">
              <a:solidFill>
                <a:schemeClr val="tx1"/>
              </a:solidFill>
              <a:round/>
            </a:ln>
            <a:effectLst/>
          </c:spPr>
          <c:marker>
            <c:symbol val="triangle"/>
            <c:size val="5"/>
            <c:spPr>
              <a:solidFill>
                <a:schemeClr val="tx1"/>
              </a:solidFill>
              <a:ln w="25400">
                <a:solidFill>
                  <a:schemeClr val="tx1"/>
                </a:solidFill>
              </a:ln>
              <a:effectLst/>
            </c:spPr>
          </c:marker>
          <c:xVal>
            <c:numRef>
              <c:f>'shear rates'!$B$103:$AE$103</c:f>
              <c:numCache>
                <c:formatCode>General</c:formatCode>
                <c:ptCount val="30"/>
                <c:pt idx="0">
                  <c:v>0</c:v>
                </c:pt>
                <c:pt idx="1">
                  <c:v>5.0000000000000004E-6</c:v>
                </c:pt>
                <c:pt idx="2">
                  <c:v>1.0000000000000001E-5</c:v>
                </c:pt>
                <c:pt idx="3">
                  <c:v>1.5000000000000002E-5</c:v>
                </c:pt>
                <c:pt idx="4">
                  <c:v>2.0000000000000002E-5</c:v>
                </c:pt>
                <c:pt idx="5">
                  <c:v>2.5000000000000001E-5</c:v>
                </c:pt>
                <c:pt idx="6">
                  <c:v>3.0000000000000001E-5</c:v>
                </c:pt>
                <c:pt idx="7">
                  <c:v>3.5000000000000004E-5</c:v>
                </c:pt>
                <c:pt idx="8">
                  <c:v>4.0000000000000003E-5</c:v>
                </c:pt>
                <c:pt idx="9">
                  <c:v>4.5000000000000003E-5</c:v>
                </c:pt>
                <c:pt idx="10">
                  <c:v>5.0000000000000002E-5</c:v>
                </c:pt>
                <c:pt idx="11">
                  <c:v>5.5000000000000002E-5</c:v>
                </c:pt>
                <c:pt idx="12">
                  <c:v>6.0000000000000002E-5</c:v>
                </c:pt>
                <c:pt idx="13">
                  <c:v>6.5000000000000008E-5</c:v>
                </c:pt>
                <c:pt idx="14">
                  <c:v>7.0000000000000007E-5</c:v>
                </c:pt>
                <c:pt idx="15">
                  <c:v>7.5000000000000007E-5</c:v>
                </c:pt>
                <c:pt idx="16">
                  <c:v>8.0000000000000007E-5</c:v>
                </c:pt>
                <c:pt idx="17">
                  <c:v>8.5000000000000006E-5</c:v>
                </c:pt>
                <c:pt idx="18">
                  <c:v>9.0000000000000006E-5</c:v>
                </c:pt>
                <c:pt idx="19">
                  <c:v>9.5000000000000005E-5</c:v>
                </c:pt>
                <c:pt idx="20">
                  <c:v>1E-4</c:v>
                </c:pt>
                <c:pt idx="21">
                  <c:v>1.05E-4</c:v>
                </c:pt>
                <c:pt idx="22">
                  <c:v>1.1E-4</c:v>
                </c:pt>
                <c:pt idx="23">
                  <c:v>1.15E-4</c:v>
                </c:pt>
                <c:pt idx="24">
                  <c:v>1.2E-4</c:v>
                </c:pt>
                <c:pt idx="25">
                  <c:v>1.25E-4</c:v>
                </c:pt>
                <c:pt idx="26">
                  <c:v>1.3000000000000002E-4</c:v>
                </c:pt>
                <c:pt idx="27">
                  <c:v>1.3500000000000003E-4</c:v>
                </c:pt>
                <c:pt idx="28">
                  <c:v>1.4000000000000004E-4</c:v>
                </c:pt>
                <c:pt idx="29">
                  <c:v>1.4500000000000006E-4</c:v>
                </c:pt>
              </c:numCache>
            </c:numRef>
          </c:xVal>
          <c:yVal>
            <c:numRef>
              <c:f>'shear rates'!$AM$109:$BO$109</c:f>
              <c:numCache>
                <c:formatCode>General</c:formatCode>
                <c:ptCount val="29"/>
                <c:pt idx="0">
                  <c:v>2.449524623129247E-2</c:v>
                </c:pt>
                <c:pt idx="1">
                  <c:v>0.24218496098791528</c:v>
                </c:pt>
                <c:pt idx="2">
                  <c:v>0.96205901342789246</c:v>
                </c:pt>
                <c:pt idx="3">
                  <c:v>2.0975545761019481</c:v>
                </c:pt>
                <c:pt idx="4">
                  <c:v>3.6332882932481732</c:v>
                </c:pt>
                <c:pt idx="5">
                  <c:v>5.5632881373202094</c:v>
                </c:pt>
                <c:pt idx="6">
                  <c:v>7.888757756755747</c:v>
                </c:pt>
                <c:pt idx="7">
                  <c:v>10.617748172303065</c:v>
                </c:pt>
                <c:pt idx="8">
                  <c:v>13.765591479679811</c:v>
                </c:pt>
                <c:pt idx="9">
                  <c:v>17.355828385006891</c:v>
                </c:pt>
                <c:pt idx="10">
                  <c:v>21.421602799508783</c:v>
                </c:pt>
                <c:pt idx="11">
                  <c:v>26.007608369237978</c:v>
                </c:pt>
                <c:pt idx="12">
                  <c:v>31.172760276233326</c:v>
                </c:pt>
                <c:pt idx="13">
                  <c:v>36.993870184092913</c:v>
                </c:pt>
                <c:pt idx="14">
                  <c:v>43.570752056509704</c:v>
                </c:pt>
                <c:pt idx="15">
                  <c:v>51.033419969344621</c:v>
                </c:pt>
                <c:pt idx="16">
                  <c:v>59.552419319183386</c:v>
                </c:pt>
                <c:pt idx="17">
                  <c:v>69.353974814353492</c:v>
                </c:pt>
                <c:pt idx="18">
                  <c:v>80.742761339414216</c:v>
                </c:pt>
                <c:pt idx="19">
                  <c:v>94.137144724705976</c:v>
                </c:pt>
                <c:pt idx="20">
                  <c:v>110.12561712250806</c:v>
                </c:pt>
                <c:pt idx="21">
                  <c:v>129.56090703005725</c:v>
                </c:pt>
                <c:pt idx="22">
                  <c:v>153.7247241490935</c:v>
                </c:pt>
                <c:pt idx="23">
                  <c:v>184.63376826163508</c:v>
                </c:pt>
                <c:pt idx="24">
                  <c:v>225.65180385724526</c:v>
                </c:pt>
                <c:pt idx="25">
                  <c:v>282.83628547597738</c:v>
                </c:pt>
                <c:pt idx="26">
                  <c:v>368.30498928461247</c:v>
                </c:pt>
                <c:pt idx="27">
                  <c:v>510.33598865813428</c:v>
                </c:pt>
                <c:pt idx="28">
                  <c:v>793.76766394903393</c:v>
                </c:pt>
              </c:numCache>
            </c:numRef>
          </c:yVal>
          <c:smooth val="0"/>
          <c:extLst>
            <c:ext xmlns:c16="http://schemas.microsoft.com/office/drawing/2014/chart" uri="{C3380CC4-5D6E-409C-BE32-E72D297353CC}">
              <c16:uniqueId val="{00000003-9CFF-437C-85C3-86C64BBCF279}"/>
            </c:ext>
          </c:extLst>
        </c:ser>
        <c:ser>
          <c:idx val="4"/>
          <c:order val="1"/>
          <c:tx>
            <c:v>shear/stretch 27 mm power law</c:v>
          </c:tx>
          <c:spPr>
            <a:ln w="12700" cap="rnd">
              <a:solidFill>
                <a:srgbClr val="00B050"/>
              </a:solidFill>
              <a:round/>
            </a:ln>
            <a:effectLst/>
          </c:spPr>
          <c:marker>
            <c:symbol val="triangle"/>
            <c:size val="5"/>
            <c:spPr>
              <a:solidFill>
                <a:schemeClr val="accent5"/>
              </a:solidFill>
              <a:ln w="25400">
                <a:solidFill>
                  <a:srgbClr val="00B050"/>
                </a:solidFill>
              </a:ln>
              <a:effectLst/>
            </c:spPr>
          </c:marker>
          <c:xVal>
            <c:numRef>
              <c:f>'shear rates'!$B$103:$AE$103</c:f>
              <c:numCache>
                <c:formatCode>General</c:formatCode>
                <c:ptCount val="30"/>
                <c:pt idx="0">
                  <c:v>0</c:v>
                </c:pt>
                <c:pt idx="1">
                  <c:v>5.0000000000000004E-6</c:v>
                </c:pt>
                <c:pt idx="2">
                  <c:v>1.0000000000000001E-5</c:v>
                </c:pt>
                <c:pt idx="3">
                  <c:v>1.5000000000000002E-5</c:v>
                </c:pt>
                <c:pt idx="4">
                  <c:v>2.0000000000000002E-5</c:v>
                </c:pt>
                <c:pt idx="5">
                  <c:v>2.5000000000000001E-5</c:v>
                </c:pt>
                <c:pt idx="6">
                  <c:v>3.0000000000000001E-5</c:v>
                </c:pt>
                <c:pt idx="7">
                  <c:v>3.5000000000000004E-5</c:v>
                </c:pt>
                <c:pt idx="8">
                  <c:v>4.0000000000000003E-5</c:v>
                </c:pt>
                <c:pt idx="9">
                  <c:v>4.5000000000000003E-5</c:v>
                </c:pt>
                <c:pt idx="10">
                  <c:v>5.0000000000000002E-5</c:v>
                </c:pt>
                <c:pt idx="11">
                  <c:v>5.5000000000000002E-5</c:v>
                </c:pt>
                <c:pt idx="12">
                  <c:v>6.0000000000000002E-5</c:v>
                </c:pt>
                <c:pt idx="13">
                  <c:v>6.5000000000000008E-5</c:v>
                </c:pt>
                <c:pt idx="14">
                  <c:v>7.0000000000000007E-5</c:v>
                </c:pt>
                <c:pt idx="15">
                  <c:v>7.5000000000000007E-5</c:v>
                </c:pt>
                <c:pt idx="16">
                  <c:v>8.0000000000000007E-5</c:v>
                </c:pt>
                <c:pt idx="17">
                  <c:v>8.5000000000000006E-5</c:v>
                </c:pt>
                <c:pt idx="18">
                  <c:v>9.0000000000000006E-5</c:v>
                </c:pt>
                <c:pt idx="19">
                  <c:v>9.5000000000000005E-5</c:v>
                </c:pt>
                <c:pt idx="20">
                  <c:v>1E-4</c:v>
                </c:pt>
                <c:pt idx="21">
                  <c:v>1.05E-4</c:v>
                </c:pt>
                <c:pt idx="22">
                  <c:v>1.1E-4</c:v>
                </c:pt>
                <c:pt idx="23">
                  <c:v>1.15E-4</c:v>
                </c:pt>
                <c:pt idx="24">
                  <c:v>1.2E-4</c:v>
                </c:pt>
                <c:pt idx="25">
                  <c:v>1.25E-4</c:v>
                </c:pt>
                <c:pt idx="26">
                  <c:v>1.3000000000000002E-4</c:v>
                </c:pt>
                <c:pt idx="27">
                  <c:v>1.3500000000000003E-4</c:v>
                </c:pt>
                <c:pt idx="28">
                  <c:v>1.4000000000000004E-4</c:v>
                </c:pt>
                <c:pt idx="29">
                  <c:v>1.4500000000000006E-4</c:v>
                </c:pt>
              </c:numCache>
            </c:numRef>
          </c:xVal>
          <c:yVal>
            <c:numRef>
              <c:f>'shear rates'!$AM$110:$BO$110</c:f>
              <c:numCache>
                <c:formatCode>General</c:formatCode>
                <c:ptCount val="29"/>
                <c:pt idx="0">
                  <c:v>5.5114304020408067E-2</c:v>
                </c:pt>
                <c:pt idx="1">
                  <c:v>0.54491616222280936</c:v>
                </c:pt>
                <c:pt idx="2">
                  <c:v>2.1646327802127585</c:v>
                </c:pt>
                <c:pt idx="3">
                  <c:v>4.7194977962293843</c:v>
                </c:pt>
                <c:pt idx="4">
                  <c:v>8.1748986598083899</c:v>
                </c:pt>
                <c:pt idx="5">
                  <c:v>12.517398308970474</c:v>
                </c:pt>
                <c:pt idx="6">
                  <c:v>17.74970495270043</c:v>
                </c:pt>
                <c:pt idx="7">
                  <c:v>23.8899333876819</c:v>
                </c:pt>
                <c:pt idx="8">
                  <c:v>30.972580829279583</c:v>
                </c:pt>
                <c:pt idx="9">
                  <c:v>39.050613866265508</c:v>
                </c:pt>
                <c:pt idx="10">
                  <c:v>48.198606298894767</c:v>
                </c:pt>
                <c:pt idx="11">
                  <c:v>58.517118830785471</c:v>
                </c:pt>
                <c:pt idx="12">
                  <c:v>70.138710621524993</c:v>
                </c:pt>
                <c:pt idx="13">
                  <c:v>83.236207914209061</c:v>
                </c:pt>
                <c:pt idx="14">
                  <c:v>98.034192127146866</c:v>
                </c:pt>
                <c:pt idx="15">
                  <c:v>114.82519493102544</c:v>
                </c:pt>
                <c:pt idx="16">
                  <c:v>133.99294346816265</c:v>
                </c:pt>
                <c:pt idx="17">
                  <c:v>156.04644333229538</c:v>
                </c:pt>
                <c:pt idx="18">
                  <c:v>181.67121301368198</c:v>
                </c:pt>
                <c:pt idx="19">
                  <c:v>211.80857563058848</c:v>
                </c:pt>
                <c:pt idx="20">
                  <c:v>247.78263852564314</c:v>
                </c:pt>
                <c:pt idx="21">
                  <c:v>291.51204081762882</c:v>
                </c:pt>
                <c:pt idx="22">
                  <c:v>345.88062933546047</c:v>
                </c:pt>
                <c:pt idx="23">
                  <c:v>415.42597858867896</c:v>
                </c:pt>
                <c:pt idx="24">
                  <c:v>507.7165586788019</c:v>
                </c:pt>
                <c:pt idx="25">
                  <c:v>636.38164232094925</c:v>
                </c:pt>
                <c:pt idx="26">
                  <c:v>828.68622589037841</c:v>
                </c:pt>
                <c:pt idx="27">
                  <c:v>1148.2559744808025</c:v>
                </c:pt>
                <c:pt idx="28">
                  <c:v>1785.9772438853267</c:v>
                </c:pt>
              </c:numCache>
            </c:numRef>
          </c:yVal>
          <c:smooth val="0"/>
          <c:extLst>
            <c:ext xmlns:c16="http://schemas.microsoft.com/office/drawing/2014/chart" uri="{C3380CC4-5D6E-409C-BE32-E72D297353CC}">
              <c16:uniqueId val="{00000004-9CFF-437C-85C3-86C64BBCF279}"/>
            </c:ext>
          </c:extLst>
        </c:ser>
        <c:ser>
          <c:idx val="5"/>
          <c:order val="2"/>
          <c:tx>
            <c:v>shear/stretch 42 mm power law</c:v>
          </c:tx>
          <c:spPr>
            <a:ln w="12700" cap="rnd">
              <a:solidFill>
                <a:srgbClr val="FF0000"/>
              </a:solidFill>
              <a:round/>
            </a:ln>
            <a:effectLst/>
          </c:spPr>
          <c:marker>
            <c:symbol val="triangle"/>
            <c:size val="5"/>
            <c:spPr>
              <a:solidFill>
                <a:schemeClr val="accent6"/>
              </a:solidFill>
              <a:ln w="25400">
                <a:solidFill>
                  <a:srgbClr val="FF0000"/>
                </a:solidFill>
              </a:ln>
              <a:effectLst/>
            </c:spPr>
          </c:marker>
          <c:xVal>
            <c:numRef>
              <c:f>'shear rates'!$B$103:$AE$103</c:f>
              <c:numCache>
                <c:formatCode>General</c:formatCode>
                <c:ptCount val="30"/>
                <c:pt idx="0">
                  <c:v>0</c:v>
                </c:pt>
                <c:pt idx="1">
                  <c:v>5.0000000000000004E-6</c:v>
                </c:pt>
                <c:pt idx="2">
                  <c:v>1.0000000000000001E-5</c:v>
                </c:pt>
                <c:pt idx="3">
                  <c:v>1.5000000000000002E-5</c:v>
                </c:pt>
                <c:pt idx="4">
                  <c:v>2.0000000000000002E-5</c:v>
                </c:pt>
                <c:pt idx="5">
                  <c:v>2.5000000000000001E-5</c:v>
                </c:pt>
                <c:pt idx="6">
                  <c:v>3.0000000000000001E-5</c:v>
                </c:pt>
                <c:pt idx="7">
                  <c:v>3.5000000000000004E-5</c:v>
                </c:pt>
                <c:pt idx="8">
                  <c:v>4.0000000000000003E-5</c:v>
                </c:pt>
                <c:pt idx="9">
                  <c:v>4.5000000000000003E-5</c:v>
                </c:pt>
                <c:pt idx="10">
                  <c:v>5.0000000000000002E-5</c:v>
                </c:pt>
                <c:pt idx="11">
                  <c:v>5.5000000000000002E-5</c:v>
                </c:pt>
                <c:pt idx="12">
                  <c:v>6.0000000000000002E-5</c:v>
                </c:pt>
                <c:pt idx="13">
                  <c:v>6.5000000000000008E-5</c:v>
                </c:pt>
                <c:pt idx="14">
                  <c:v>7.0000000000000007E-5</c:v>
                </c:pt>
                <c:pt idx="15">
                  <c:v>7.5000000000000007E-5</c:v>
                </c:pt>
                <c:pt idx="16">
                  <c:v>8.0000000000000007E-5</c:v>
                </c:pt>
                <c:pt idx="17">
                  <c:v>8.5000000000000006E-5</c:v>
                </c:pt>
                <c:pt idx="18">
                  <c:v>9.0000000000000006E-5</c:v>
                </c:pt>
                <c:pt idx="19">
                  <c:v>9.5000000000000005E-5</c:v>
                </c:pt>
                <c:pt idx="20">
                  <c:v>1E-4</c:v>
                </c:pt>
                <c:pt idx="21">
                  <c:v>1.05E-4</c:v>
                </c:pt>
                <c:pt idx="22">
                  <c:v>1.1E-4</c:v>
                </c:pt>
                <c:pt idx="23">
                  <c:v>1.15E-4</c:v>
                </c:pt>
                <c:pt idx="24">
                  <c:v>1.2E-4</c:v>
                </c:pt>
                <c:pt idx="25">
                  <c:v>1.25E-4</c:v>
                </c:pt>
                <c:pt idx="26">
                  <c:v>1.3000000000000002E-4</c:v>
                </c:pt>
                <c:pt idx="27">
                  <c:v>1.3500000000000003E-4</c:v>
                </c:pt>
                <c:pt idx="28">
                  <c:v>1.4000000000000004E-4</c:v>
                </c:pt>
                <c:pt idx="29">
                  <c:v>1.4500000000000006E-4</c:v>
                </c:pt>
              </c:numCache>
            </c:numRef>
          </c:xVal>
          <c:yVal>
            <c:numRef>
              <c:f>'shear rates'!$AM$111:$BO$111</c:f>
              <c:numCache>
                <c:formatCode>General</c:formatCode>
                <c:ptCount val="29"/>
                <c:pt idx="0">
                  <c:v>8.573336180952365E-2</c:v>
                </c:pt>
                <c:pt idx="1">
                  <c:v>0.84764736345770342</c:v>
                </c:pt>
                <c:pt idx="2">
                  <c:v>3.367206546997624</c:v>
                </c:pt>
                <c:pt idx="3">
                  <c:v>7.3414410163568187</c:v>
                </c:pt>
                <c:pt idx="4">
                  <c:v>12.716509026368605</c:v>
                </c:pt>
                <c:pt idx="5">
                  <c:v>19.471508480620734</c:v>
                </c:pt>
                <c:pt idx="6">
                  <c:v>27.610652148645112</c:v>
                </c:pt>
                <c:pt idx="7">
                  <c:v>37.162118603060733</c:v>
                </c:pt>
                <c:pt idx="8">
                  <c:v>48.179570178879345</c:v>
                </c:pt>
                <c:pt idx="9">
                  <c:v>60.745399347524113</c:v>
                </c:pt>
                <c:pt idx="10">
                  <c:v>74.975609798280743</c:v>
                </c:pt>
                <c:pt idx="11">
                  <c:v>91.026629292332942</c:v>
                </c:pt>
                <c:pt idx="12">
                  <c:v>109.10466096681665</c:v>
                </c:pt>
                <c:pt idx="13">
                  <c:v>129.47854564432521</c:v>
                </c:pt>
                <c:pt idx="14">
                  <c:v>152.49763219778399</c:v>
                </c:pt>
                <c:pt idx="15">
                  <c:v>178.61696989270624</c:v>
                </c:pt>
                <c:pt idx="16">
                  <c:v>208.43346761714187</c:v>
                </c:pt>
                <c:pt idx="17">
                  <c:v>242.73891185023723</c:v>
                </c:pt>
                <c:pt idx="18">
                  <c:v>282.59966468794971</c:v>
                </c:pt>
                <c:pt idx="19">
                  <c:v>329.48000653647085</c:v>
                </c:pt>
                <c:pt idx="20">
                  <c:v>385.43965992877816</c:v>
                </c:pt>
                <c:pt idx="21">
                  <c:v>453.46317460520032</c:v>
                </c:pt>
                <c:pt idx="22">
                  <c:v>538.03653452182721</c:v>
                </c:pt>
                <c:pt idx="23">
                  <c:v>646.21818891572264</c:v>
                </c:pt>
                <c:pt idx="24">
                  <c:v>789.78131350035846</c:v>
                </c:pt>
                <c:pt idx="25">
                  <c:v>989.92699916592085</c:v>
                </c:pt>
                <c:pt idx="26">
                  <c:v>1289.0674624961441</c:v>
                </c:pt>
                <c:pt idx="27">
                  <c:v>1786.17596030347</c:v>
                </c:pt>
                <c:pt idx="28">
                  <c:v>2778.1868238216198</c:v>
                </c:pt>
              </c:numCache>
            </c:numRef>
          </c:yVal>
          <c:smooth val="0"/>
          <c:extLst>
            <c:ext xmlns:c16="http://schemas.microsoft.com/office/drawing/2014/chart" uri="{C3380CC4-5D6E-409C-BE32-E72D297353CC}">
              <c16:uniqueId val="{00000005-9CFF-437C-85C3-86C64BBCF279}"/>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49802871149678984"/>
          <c:y val="0.10370535578993904"/>
          <c:w val="0.27354777360698773"/>
          <c:h val="0.3111065598042709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12</a:t>
            </a:r>
            <a:r>
              <a:rPr lang="en-GB" baseline="0"/>
              <a:t> mm from injection pt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shear/stretch 0.3 mm power law</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rates'!$B$207:$AE$207</c:f>
              <c:numCache>
                <c:formatCode>General</c:formatCode>
                <c:ptCount val="30"/>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numCache>
            </c:numRef>
          </c:xVal>
          <c:yVal>
            <c:numRef>
              <c:f>'shear rates'!$AM$109:$BP$109</c:f>
              <c:numCache>
                <c:formatCode>General</c:formatCode>
                <c:ptCount val="30"/>
                <c:pt idx="0">
                  <c:v>2.449524623129247E-2</c:v>
                </c:pt>
                <c:pt idx="1">
                  <c:v>0.24218496098791528</c:v>
                </c:pt>
                <c:pt idx="2">
                  <c:v>0.96205901342789246</c:v>
                </c:pt>
                <c:pt idx="3">
                  <c:v>2.0975545761019481</c:v>
                </c:pt>
                <c:pt idx="4">
                  <c:v>3.6332882932481732</c:v>
                </c:pt>
                <c:pt idx="5">
                  <c:v>5.5632881373202094</c:v>
                </c:pt>
                <c:pt idx="6">
                  <c:v>7.888757756755747</c:v>
                </c:pt>
                <c:pt idx="7">
                  <c:v>10.617748172303065</c:v>
                </c:pt>
                <c:pt idx="8">
                  <c:v>13.765591479679811</c:v>
                </c:pt>
                <c:pt idx="9">
                  <c:v>17.355828385006891</c:v>
                </c:pt>
                <c:pt idx="10">
                  <c:v>21.421602799508783</c:v>
                </c:pt>
                <c:pt idx="11">
                  <c:v>26.007608369237978</c:v>
                </c:pt>
                <c:pt idx="12">
                  <c:v>31.172760276233326</c:v>
                </c:pt>
                <c:pt idx="13">
                  <c:v>36.993870184092913</c:v>
                </c:pt>
                <c:pt idx="14">
                  <c:v>43.570752056509704</c:v>
                </c:pt>
                <c:pt idx="15">
                  <c:v>51.033419969344621</c:v>
                </c:pt>
                <c:pt idx="16">
                  <c:v>59.552419319183386</c:v>
                </c:pt>
                <c:pt idx="17">
                  <c:v>69.353974814353492</c:v>
                </c:pt>
                <c:pt idx="18">
                  <c:v>80.742761339414216</c:v>
                </c:pt>
                <c:pt idx="19">
                  <c:v>94.137144724705976</c:v>
                </c:pt>
                <c:pt idx="20">
                  <c:v>110.12561712250806</c:v>
                </c:pt>
                <c:pt idx="21">
                  <c:v>129.56090703005725</c:v>
                </c:pt>
                <c:pt idx="22">
                  <c:v>153.7247241490935</c:v>
                </c:pt>
                <c:pt idx="23">
                  <c:v>184.63376826163508</c:v>
                </c:pt>
                <c:pt idx="24">
                  <c:v>225.65180385724526</c:v>
                </c:pt>
                <c:pt idx="25">
                  <c:v>282.83628547597738</c:v>
                </c:pt>
                <c:pt idx="26">
                  <c:v>368.30498928461247</c:v>
                </c:pt>
                <c:pt idx="27">
                  <c:v>510.33598865813428</c:v>
                </c:pt>
                <c:pt idx="28">
                  <c:v>793.76766394903393</c:v>
                </c:pt>
                <c:pt idx="29">
                  <c:v>1642.7989606838626</c:v>
                </c:pt>
              </c:numCache>
            </c:numRef>
          </c:yVal>
          <c:smooth val="0"/>
          <c:extLst>
            <c:ext xmlns:c16="http://schemas.microsoft.com/office/drawing/2014/chart" uri="{C3380CC4-5D6E-409C-BE32-E72D297353CC}">
              <c16:uniqueId val="{00000000-07D1-44FB-BBB2-922CA9F7DEEB}"/>
            </c:ext>
          </c:extLst>
        </c:ser>
        <c:ser>
          <c:idx val="2"/>
          <c:order val="1"/>
          <c:tx>
            <c:v>shear/stretch 1 mm power law</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rates'!$B$217:$CX$217</c:f>
              <c:numCache>
                <c:formatCode>General</c:formatCode>
                <c:ptCount val="101"/>
                <c:pt idx="0">
                  <c:v>0</c:v>
                </c:pt>
                <c:pt idx="1">
                  <c:v>0.01</c:v>
                </c:pt>
                <c:pt idx="2">
                  <c:v>0.02</c:v>
                </c:pt>
                <c:pt idx="3">
                  <c:v>3.0000000000000002E-2</c:v>
                </c:pt>
                <c:pt idx="4">
                  <c:v>0.04</c:v>
                </c:pt>
                <c:pt idx="5">
                  <c:v>0.05</c:v>
                </c:pt>
                <c:pt idx="6">
                  <c:v>0.06</c:v>
                </c:pt>
                <c:pt idx="7">
                  <c:v>7.0000000000000007E-2</c:v>
                </c:pt>
                <c:pt idx="8">
                  <c:v>0.08</c:v>
                </c:pt>
                <c:pt idx="9">
                  <c:v>9.0000000000000011E-2</c:v>
                </c:pt>
                <c:pt idx="10">
                  <c:v>0.1</c:v>
                </c:pt>
                <c:pt idx="11">
                  <c:v>0.11</c:v>
                </c:pt>
                <c:pt idx="12">
                  <c:v>0.12</c:v>
                </c:pt>
                <c:pt idx="13">
                  <c:v>0.13</c:v>
                </c:pt>
                <c:pt idx="14">
                  <c:v>0.14000000000000001</c:v>
                </c:pt>
                <c:pt idx="15">
                  <c:v>0.15000000000000002</c:v>
                </c:pt>
                <c:pt idx="16">
                  <c:v>0.16</c:v>
                </c:pt>
                <c:pt idx="17">
                  <c:v>0.17</c:v>
                </c:pt>
                <c:pt idx="18">
                  <c:v>0.18000000000000002</c:v>
                </c:pt>
                <c:pt idx="19">
                  <c:v>0.19</c:v>
                </c:pt>
                <c:pt idx="20">
                  <c:v>0.2</c:v>
                </c:pt>
                <c:pt idx="21">
                  <c:v>0.21</c:v>
                </c:pt>
                <c:pt idx="22">
                  <c:v>0.22</c:v>
                </c:pt>
                <c:pt idx="23">
                  <c:v>0.23</c:v>
                </c:pt>
                <c:pt idx="24">
                  <c:v>0.24</c:v>
                </c:pt>
                <c:pt idx="25">
                  <c:v>0.25</c:v>
                </c:pt>
                <c:pt idx="26">
                  <c:v>0.26</c:v>
                </c:pt>
                <c:pt idx="27">
                  <c:v>0.27000000000000007</c:v>
                </c:pt>
                <c:pt idx="28">
                  <c:v>0.28000000000000008</c:v>
                </c:pt>
                <c:pt idx="29">
                  <c:v>0.29000000000000009</c:v>
                </c:pt>
                <c:pt idx="30">
                  <c:v>0.30000000000000016</c:v>
                </c:pt>
                <c:pt idx="31">
                  <c:v>0.31000000000000016</c:v>
                </c:pt>
                <c:pt idx="32">
                  <c:v>0.32000000000000017</c:v>
                </c:pt>
                <c:pt idx="33">
                  <c:v>0.33000000000000018</c:v>
                </c:pt>
                <c:pt idx="34">
                  <c:v>0.34000000000000025</c:v>
                </c:pt>
                <c:pt idx="35">
                  <c:v>0.35000000000000026</c:v>
                </c:pt>
                <c:pt idx="36">
                  <c:v>0.36000000000000026</c:v>
                </c:pt>
                <c:pt idx="37">
                  <c:v>0.37000000000000033</c:v>
                </c:pt>
                <c:pt idx="38">
                  <c:v>0.38000000000000034</c:v>
                </c:pt>
                <c:pt idx="39">
                  <c:v>0.39000000000000035</c:v>
                </c:pt>
                <c:pt idx="40">
                  <c:v>0.40000000000000041</c:v>
                </c:pt>
                <c:pt idx="41">
                  <c:v>0.41000000000000042</c:v>
                </c:pt>
                <c:pt idx="42">
                  <c:v>0.42000000000000043</c:v>
                </c:pt>
                <c:pt idx="43">
                  <c:v>0.43000000000000049</c:v>
                </c:pt>
                <c:pt idx="44">
                  <c:v>0.4400000000000005</c:v>
                </c:pt>
                <c:pt idx="45">
                  <c:v>0.45000000000000051</c:v>
                </c:pt>
                <c:pt idx="46">
                  <c:v>0.46000000000000052</c:v>
                </c:pt>
                <c:pt idx="47">
                  <c:v>0.47000000000000058</c:v>
                </c:pt>
                <c:pt idx="48">
                  <c:v>0.48000000000000059</c:v>
                </c:pt>
                <c:pt idx="49">
                  <c:v>0.4900000000000006</c:v>
                </c:pt>
                <c:pt idx="50">
                  <c:v>0.50000000000000067</c:v>
                </c:pt>
                <c:pt idx="51">
                  <c:v>0.51000000000000068</c:v>
                </c:pt>
                <c:pt idx="52">
                  <c:v>0.52000000000000068</c:v>
                </c:pt>
                <c:pt idx="53">
                  <c:v>0.53000000000000069</c:v>
                </c:pt>
                <c:pt idx="54">
                  <c:v>0.5400000000000007</c:v>
                </c:pt>
                <c:pt idx="55">
                  <c:v>0.55000000000000082</c:v>
                </c:pt>
                <c:pt idx="56">
                  <c:v>0.56000000000000083</c:v>
                </c:pt>
                <c:pt idx="57">
                  <c:v>0.57000000000000084</c:v>
                </c:pt>
                <c:pt idx="58">
                  <c:v>0.58000000000000085</c:v>
                </c:pt>
                <c:pt idx="59">
                  <c:v>0.59000000000000086</c:v>
                </c:pt>
                <c:pt idx="60">
                  <c:v>0.60000000000000087</c:v>
                </c:pt>
                <c:pt idx="61">
                  <c:v>0.61000000000000099</c:v>
                </c:pt>
                <c:pt idx="62">
                  <c:v>0.62000000000000099</c:v>
                </c:pt>
                <c:pt idx="63">
                  <c:v>0.630000000000001</c:v>
                </c:pt>
                <c:pt idx="64">
                  <c:v>0.64000000000000101</c:v>
                </c:pt>
                <c:pt idx="65">
                  <c:v>0.65000000000000102</c:v>
                </c:pt>
                <c:pt idx="66">
                  <c:v>0.66000000000000103</c:v>
                </c:pt>
                <c:pt idx="67">
                  <c:v>0.67000000000000104</c:v>
                </c:pt>
                <c:pt idx="68">
                  <c:v>0.68000000000000116</c:v>
                </c:pt>
                <c:pt idx="69">
                  <c:v>0.69000000000000117</c:v>
                </c:pt>
                <c:pt idx="70">
                  <c:v>0.70000000000000118</c:v>
                </c:pt>
                <c:pt idx="71">
                  <c:v>0.71000000000000119</c:v>
                </c:pt>
                <c:pt idx="72">
                  <c:v>0.72000000000000119</c:v>
                </c:pt>
                <c:pt idx="73">
                  <c:v>0.7300000000000012</c:v>
                </c:pt>
                <c:pt idx="74">
                  <c:v>0.74000000000000132</c:v>
                </c:pt>
                <c:pt idx="75">
                  <c:v>0.75000000000000133</c:v>
                </c:pt>
                <c:pt idx="76">
                  <c:v>0.76000000000000134</c:v>
                </c:pt>
                <c:pt idx="77">
                  <c:v>0.77000000000000135</c:v>
                </c:pt>
                <c:pt idx="78">
                  <c:v>0.78000000000000136</c:v>
                </c:pt>
                <c:pt idx="79">
                  <c:v>0.79000000000000137</c:v>
                </c:pt>
                <c:pt idx="80">
                  <c:v>0.80000000000000138</c:v>
                </c:pt>
                <c:pt idx="81">
                  <c:v>0.8100000000000015</c:v>
                </c:pt>
                <c:pt idx="82">
                  <c:v>0.82000000000000151</c:v>
                </c:pt>
                <c:pt idx="83">
                  <c:v>0.83000000000000151</c:v>
                </c:pt>
                <c:pt idx="84">
                  <c:v>0.84000000000000152</c:v>
                </c:pt>
                <c:pt idx="85">
                  <c:v>0.85000000000000153</c:v>
                </c:pt>
                <c:pt idx="86">
                  <c:v>0.86000000000000154</c:v>
                </c:pt>
                <c:pt idx="87">
                  <c:v>0.87000000000000166</c:v>
                </c:pt>
                <c:pt idx="88">
                  <c:v>0.88000000000000167</c:v>
                </c:pt>
                <c:pt idx="89">
                  <c:v>0.89000000000000168</c:v>
                </c:pt>
                <c:pt idx="90">
                  <c:v>0.90000000000000169</c:v>
                </c:pt>
                <c:pt idx="91">
                  <c:v>0.9100000000000017</c:v>
                </c:pt>
                <c:pt idx="92">
                  <c:v>0.92000000000000171</c:v>
                </c:pt>
                <c:pt idx="93">
                  <c:v>0.93000000000000171</c:v>
                </c:pt>
                <c:pt idx="94">
                  <c:v>0.94000000000000183</c:v>
                </c:pt>
                <c:pt idx="95">
                  <c:v>0.95000000000000184</c:v>
                </c:pt>
                <c:pt idx="96">
                  <c:v>0.96000000000000185</c:v>
                </c:pt>
                <c:pt idx="97">
                  <c:v>0.97000000000000186</c:v>
                </c:pt>
                <c:pt idx="98">
                  <c:v>0.98000000000000187</c:v>
                </c:pt>
                <c:pt idx="99">
                  <c:v>0.99000000000000188</c:v>
                </c:pt>
                <c:pt idx="100">
                  <c:v>1.000000000000002</c:v>
                </c:pt>
              </c:numCache>
            </c:numRef>
          </c:xVal>
          <c:yVal>
            <c:numRef>
              <c:f>'shear rates'!$DE$135:$GZ$135</c:f>
              <c:numCache>
                <c:formatCode>General</c:formatCode>
                <c:ptCount val="100"/>
                <c:pt idx="0">
                  <c:v>2.4495246231292477E-2</c:v>
                </c:pt>
                <c:pt idx="1">
                  <c:v>1.6243887675312457E-2</c:v>
                </c:pt>
                <c:pt idx="2">
                  <c:v>6.0194527808317445E-3</c:v>
                </c:pt>
                <c:pt idx="3">
                  <c:v>4.1084028290707328E-2</c:v>
                </c:pt>
                <c:pt idx="4">
                  <c:v>8.8359668764736665E-2</c:v>
                </c:pt>
                <c:pt idx="5">
                  <c:v>0.14745530883262431</c:v>
                </c:pt>
                <c:pt idx="6">
                  <c:v>0.21808352246598919</c:v>
                </c:pt>
                <c:pt idx="7">
                  <c:v>0.3000218933288486</c:v>
                </c:pt>
                <c:pt idx="8">
                  <c:v>0.39309366686022956</c:v>
                </c:pt>
                <c:pt idx="9">
                  <c:v>0.49715682280328283</c:v>
                </c:pt>
                <c:pt idx="10">
                  <c:v>0.61209741861131761</c:v>
                </c:pt>
                <c:pt idx="11">
                  <c:v>0.73782533129786854</c:v>
                </c:pt>
                <c:pt idx="12">
                  <c:v>0.87427145133427042</c:v>
                </c:pt>
                <c:pt idx="13">
                  <c:v>1.0213858089519503</c:v>
                </c:pt>
                <c:pt idx="14">
                  <c:v>1.179136328989699</c:v>
                </c:pt>
                <c:pt idx="15">
                  <c:v>1.347508027700199</c:v>
                </c:pt>
                <c:pt idx="16">
                  <c:v>1.5265025324853889</c:v>
                </c:pt>
                <c:pt idx="17">
                  <c:v>1.7161378463715329</c:v>
                </c:pt>
                <c:pt idx="18">
                  <c:v>1.9164483047673977</c:v>
                </c:pt>
                <c:pt idx="19">
                  <c:v>2.1274846888612364</c:v>
                </c:pt>
                <c:pt idx="20">
                  <c:v>2.3493144713662577</c:v>
                </c:pt>
                <c:pt idx="21">
                  <c:v>2.5820221782361381</c:v>
                </c:pt>
                <c:pt idx="22">
                  <c:v>2.825709855658002</c:v>
                </c:pt>
                <c:pt idx="23">
                  <c:v>3.0804976358498606</c:v>
                </c:pt>
                <c:pt idx="24">
                  <c:v>3.3465243984283868</c:v>
                </c:pt>
                <c:pt idx="25">
                  <c:v>3.6239485266938254</c:v>
                </c:pt>
                <c:pt idx="26">
                  <c:v>3.9129487603180717</c:v>
                </c:pt>
                <c:pt idx="27">
                  <c:v>4.2137251477746984</c:v>
                </c:pt>
                <c:pt idx="28">
                  <c:v>4.5265001035226797</c:v>
                </c:pt>
                <c:pt idx="29">
                  <c:v>4.8515195765346997</c:v>
                </c:pt>
                <c:pt idx="30">
                  <c:v>5.1890543383080621</c:v>
                </c:pt>
                <c:pt idx="31">
                  <c:v>5.5394014000662528</c:v>
                </c:pt>
                <c:pt idx="32">
                  <c:v>5.902885570497916</c:v>
                </c:pt>
                <c:pt idx="33">
                  <c:v>6.279861167130071</c:v>
                </c:pt>
                <c:pt idx="34">
                  <c:v>6.6707138963358137</c:v>
                </c:pt>
                <c:pt idx="35">
                  <c:v>7.0758629190756777</c:v>
                </c:pt>
                <c:pt idx="36">
                  <c:v>7.4957631218123586</c:v>
                </c:pt>
                <c:pt idx="37">
                  <c:v>7.9309076146702804</c:v>
                </c:pt>
                <c:pt idx="38">
                  <c:v>8.3818304818901108</c:v>
                </c:pt>
                <c:pt idx="39">
                  <c:v>8.8491098130190871</c:v>
                </c:pt>
                <c:pt idx="40">
                  <c:v>9.333371047154353</c:v>
                </c:pt>
                <c:pt idx="41">
                  <c:v>9.8352906670060047</c:v>
                </c:pt>
                <c:pt idx="42">
                  <c:v>10.355600284671803</c:v>
                </c:pt>
                <c:pt idx="43">
                  <c:v>10.895091166937371</c:v>
                </c:pt>
                <c:pt idx="44">
                  <c:v>11.45461925478074</c:v>
                </c:pt>
                <c:pt idx="45">
                  <c:v>12.035110739738521</c:v>
                </c:pt>
                <c:pt idx="46">
                  <c:v>12.637568269095734</c:v>
                </c:pt>
                <c:pt idx="47">
                  <c:v>13.263077862737624</c:v>
                </c:pt>
                <c:pt idx="48">
                  <c:v>13.912816637259526</c:v>
                </c:pt>
                <c:pt idx="49">
                  <c:v>14.588061447933852</c:v>
                </c:pt>
                <c:pt idx="50">
                  <c:v>15.290198576837112</c:v>
                </c:pt>
                <c:pt idx="51">
                  <c:v>16.020734616390719</c:v>
                </c:pt>
                <c:pt idx="52">
                  <c:v>16.781308722448674</c:v>
                </c:pt>
                <c:pt idx="53">
                  <c:v>17.573706440707188</c:v>
                </c:pt>
                <c:pt idx="54">
                  <c:v>18.399875345651001</c:v>
                </c:pt>
                <c:pt idx="55">
                  <c:v>19.261942773780525</c:v>
                </c:pt>
                <c:pt idx="56">
                  <c:v>20.162235984088657</c:v>
                </c:pt>
                <c:pt idx="57">
                  <c:v>21.103305140705054</c:v>
                </c:pt>
                <c:pt idx="58">
                  <c:v>22.087949587849742</c:v>
                </c:pt>
                <c:pt idx="59">
                  <c:v>23.119247978968673</c:v>
                </c:pt>
                <c:pt idx="60">
                  <c:v>24.200592934306016</c:v>
                </c:pt>
                <c:pt idx="61">
                  <c:v>25.335731039468428</c:v>
                </c:pt>
                <c:pt idx="62">
                  <c:v>26.528809168610678</c:v>
                </c:pt>
                <c:pt idx="63">
                  <c:v>27.784428328541807</c:v>
                </c:pt>
                <c:pt idx="64">
                  <c:v>29.107706485903389</c:v>
                </c:pt>
                <c:pt idx="65">
                  <c:v>30.504352173775022</c:v>
                </c:pt>
                <c:pt idx="66">
                  <c:v>31.980751096738334</c:v>
                </c:pt>
                <c:pt idx="67">
                  <c:v>33.54406849138028</c:v>
                </c:pt>
                <c:pt idx="68">
                  <c:v>35.202370688463816</c:v>
                </c:pt>
                <c:pt idx="69">
                  <c:v>36.964770212349542</c:v>
                </c:pt>
                <c:pt idx="70">
                  <c:v>38.84159990940784</c:v>
                </c:pt>
                <c:pt idx="71">
                  <c:v>40.844623112130336</c:v>
                </c:pt>
                <c:pt idx="72">
                  <c:v>42.987288847572842</c:v>
                </c:pt>
                <c:pt idx="73">
                  <c:v>45.28504376798638</c:v>
                </c:pt>
                <c:pt idx="74">
                  <c:v>47.755716074692216</c:v>
                </c:pt>
                <c:pt idx="75">
                  <c:v>50.419991592994947</c:v>
                </c:pt>
                <c:pt idx="76">
                  <c:v>53.302008875202759</c:v>
                </c:pt>
                <c:pt idx="77">
                  <c:v>56.430109557376603</c:v>
                </c:pt>
                <c:pt idx="78">
                  <c:v>59.837793368387395</c:v>
                </c:pt>
                <c:pt idx="79">
                  <c:v>63.564946008381526</c:v>
                </c:pt>
                <c:pt idx="80">
                  <c:v>67.659435400597616</c:v>
                </c:pt>
                <c:pt idx="81">
                  <c:v>72.17921203267548</c:v>
                </c:pt>
                <c:pt idx="82">
                  <c:v>77.19510942189379</c:v>
                </c:pt>
                <c:pt idx="83">
                  <c:v>82.794632990281286</c:v>
                </c:pt>
                <c:pt idx="84">
                  <c:v>89.087169778530495</c:v>
                </c:pt>
                <c:pt idx="85">
                  <c:v>96.211282056416039</c:v>
                </c:pt>
                <c:pt idx="86">
                  <c:v>104.34512677754873</c:v>
                </c:pt>
                <c:pt idx="87">
                  <c:v>113.72168402497326</c:v>
                </c:pt>
                <c:pt idx="88">
                  <c:v>124.65159969180655</c:v>
                </c:pt>
                <c:pt idx="89">
                  <c:v>137.5584878187214</c:v>
                </c:pt>
                <c:pt idx="90">
                  <c:v>153.03541434754936</c:v>
                </c:pt>
                <c:pt idx="91">
                  <c:v>171.93903672519124</c:v>
                </c:pt>
                <c:pt idx="92">
                  <c:v>195.55434822625429</c:v>
                </c:pt>
                <c:pt idx="93">
                  <c:v>225.900631712446</c:v>
                </c:pt>
                <c:pt idx="94">
                  <c:v>266.34336717086148</c:v>
                </c:pt>
                <c:pt idx="95">
                  <c:v>322.9404283207096</c:v>
                </c:pt>
                <c:pt idx="96">
                  <c:v>407.80757415718807</c:v>
                </c:pt>
                <c:pt idx="97">
                  <c:v>549.21492361779224</c:v>
                </c:pt>
                <c:pt idx="98">
                  <c:v>831.97285429758381</c:v>
                </c:pt>
                <c:pt idx="99">
                  <c:v>1680.1332935522919</c:v>
                </c:pt>
              </c:numCache>
            </c:numRef>
          </c:yVal>
          <c:smooth val="0"/>
          <c:extLst>
            <c:ext xmlns:c16="http://schemas.microsoft.com/office/drawing/2014/chart" uri="{C3380CC4-5D6E-409C-BE32-E72D297353CC}">
              <c16:uniqueId val="{00000002-07D1-44FB-BBB2-922CA9F7DEEB}"/>
            </c:ext>
          </c:extLst>
        </c:ser>
        <c:ser>
          <c:idx val="3"/>
          <c:order val="2"/>
          <c:tx>
            <c:v>shear/stretch 1.6 mm power law</c:v>
          </c:tx>
          <c:spPr>
            <a:ln w="12700" cap="rnd">
              <a:solidFill>
                <a:srgbClr val="0070C0"/>
              </a:solidFill>
              <a:round/>
            </a:ln>
            <a:effectLst/>
          </c:spPr>
          <c:marker>
            <c:symbol val="circle"/>
            <c:size val="5"/>
            <c:spPr>
              <a:solidFill>
                <a:srgbClr val="0070C0"/>
              </a:solidFill>
              <a:ln w="25400">
                <a:solidFill>
                  <a:srgbClr val="0070C0"/>
                </a:solidFill>
              </a:ln>
              <a:effectLst/>
            </c:spPr>
          </c:marker>
          <c:xVal>
            <c:numRef>
              <c:f>'shear rates'!$B$222:$FE$222</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0.99375000000000213</c:v>
                </c:pt>
              </c:numCache>
            </c:numRef>
          </c:xVal>
          <c:yVal>
            <c:numRef>
              <c:f>'shear rates'!$FL$147:$LO$147</c:f>
              <c:numCache>
                <c:formatCode>General</c:formatCode>
                <c:ptCount val="160"/>
                <c:pt idx="0">
                  <c:v>2.449524623129247E-2</c:v>
                </c:pt>
                <c:pt idx="1">
                  <c:v>2.2370667199806297E-2</c:v>
                </c:pt>
                <c:pt idx="2">
                  <c:v>1.663831326254505E-2</c:v>
                </c:pt>
                <c:pt idx="3">
                  <c:v>7.6102241620416011E-3</c:v>
                </c:pt>
                <c:pt idx="4">
                  <c:v>4.5609486114081867E-3</c:v>
                </c:pt>
                <c:pt idx="5">
                  <c:v>1.9773270151535911E-2</c:v>
                </c:pt>
                <c:pt idx="6">
                  <c:v>3.795080279611171E-2</c:v>
                </c:pt>
                <c:pt idx="7">
                  <c:v>5.9033528145053631E-2</c:v>
                </c:pt>
                <c:pt idx="8">
                  <c:v>8.2972238606899562E-2</c:v>
                </c:pt>
                <c:pt idx="9">
                  <c:v>0.10972560027492949</c:v>
                </c:pt>
                <c:pt idx="10">
                  <c:v>0.13925831743561906</c:v>
                </c:pt>
                <c:pt idx="11">
                  <c:v>0.17153991552110467</c:v>
                </c:pt>
                <c:pt idx="12">
                  <c:v>0.20654389785577895</c:v>
                </c:pt>
                <c:pt idx="13">
                  <c:v>0.24424714147936921</c:v>
                </c:pt>
                <c:pt idx="14">
                  <c:v>0.28462945290834324</c:v>
                </c:pt>
                <c:pt idx="15">
                  <c:v>0.32767323489088174</c:v>
                </c:pt>
                <c:pt idx="16">
                  <c:v>0.37336323258603626</c:v>
                </c:pt>
                <c:pt idx="17">
                  <c:v>0.4216863380813653</c:v>
                </c:pt>
                <c:pt idx="18">
                  <c:v>0.4726314387450663</c:v>
                </c:pt>
                <c:pt idx="19">
                  <c:v>0.52618929918249269</c:v>
                </c:pt>
                <c:pt idx="20">
                  <c:v>0.58235246942443164</c:v>
                </c:pt>
                <c:pt idx="21">
                  <c:v>0.64111521393434223</c:v>
                </c:pt>
                <c:pt idx="22">
                  <c:v>0.70247345739630818</c:v>
                </c:pt>
                <c:pt idx="23">
                  <c:v>0.76642474422923468</c:v>
                </c:pt>
                <c:pt idx="24">
                  <c:v>0.83296820948952111</c:v>
                </c:pt>
                <c:pt idx="25">
                  <c:v>0.90210455935542422</c:v>
                </c:pt>
                <c:pt idx="26">
                  <c:v>0.97383605978532828</c:v>
                </c:pt>
                <c:pt idx="27">
                  <c:v>1.0481665322466809</c:v>
                </c:pt>
                <c:pt idx="28">
                  <c:v>1.125101355647236</c:v>
                </c:pt>
                <c:pt idx="29">
                  <c:v>1.2046474737843125</c:v>
                </c:pt>
                <c:pt idx="30">
                  <c:v>1.286813407773238</c:v>
                </c:pt>
                <c:pt idx="31">
                  <c:v>1.3716092730328038</c:v>
                </c:pt>
                <c:pt idx="32">
                  <c:v>1.4590468005000905</c:v>
                </c:pt>
                <c:pt idx="33">
                  <c:v>1.5491393618245641</c:v>
                </c:pt>
                <c:pt idx="34">
                  <c:v>1.6419019983557872</c:v>
                </c:pt>
                <c:pt idx="35">
                  <c:v>1.7373514537932138</c:v>
                </c:pt>
                <c:pt idx="36">
                  <c:v>1.8355062104128037</c:v>
                </c:pt>
                <c:pt idx="37">
                  <c:v>1.9363865288252107</c:v>
                </c:pt>
                <c:pt idx="38">
                  <c:v>2.0400144912553451</c:v>
                </c:pt>
                <c:pt idx="39">
                  <c:v>2.146414048364516</c:v>
                </c:pt>
                <c:pt idx="40">
                  <c:v>2.255611069664778</c:v>
                </c:pt>
                <c:pt idx="41">
                  <c:v>2.3676333976013275</c:v>
                </c:pt>
                <c:pt idx="42">
                  <c:v>2.482510905403462</c:v>
                </c:pt>
                <c:pt idx="43">
                  <c:v>2.6002755588280357</c:v>
                </c:pt>
                <c:pt idx="44">
                  <c:v>2.7209614819422576</c:v>
                </c:pt>
                <c:pt idx="45">
                  <c:v>2.844605027114854</c:v>
                </c:pt>
                <c:pt idx="46">
                  <c:v>2.9712448494073307</c:v>
                </c:pt>
                <c:pt idx="47">
                  <c:v>3.1009219855793622</c:v>
                </c:pt>
                <c:pt idx="48">
                  <c:v>3.2336799379457517</c:v>
                </c:pt>
                <c:pt idx="49">
                  <c:v>3.3695647633460144</c:v>
                </c:pt>
                <c:pt idx="50">
                  <c:v>3.508625167512792</c:v>
                </c:pt>
                <c:pt idx="51">
                  <c:v>3.6509126051512206</c:v>
                </c:pt>
                <c:pt idx="52">
                  <c:v>3.7964813860689617</c:v>
                </c:pt>
                <c:pt idx="53">
                  <c:v>3.9453887877259657</c:v>
                </c:pt>
                <c:pt idx="54">
                  <c:v>4.0976951746040946</c:v>
                </c:pt>
                <c:pt idx="55">
                  <c:v>4.2534641248304057</c:v>
                </c:pt>
                <c:pt idx="56">
                  <c:v>4.4127625645235273</c:v>
                </c:pt>
                <c:pt idx="57">
                  <c:v>4.5756609103713304</c:v>
                </c:pt>
                <c:pt idx="58">
                  <c:v>4.7422332209903288</c:v>
                </c:pt>
                <c:pt idx="59">
                  <c:v>4.9125573576615018</c:v>
                </c:pt>
                <c:pt idx="60">
                  <c:v>5.0867151550878313</c:v>
                </c:pt>
                <c:pt idx="61">
                  <c:v>5.2647926028704495</c:v>
                </c:pt>
                <c:pt idx="62">
                  <c:v>5.4468800384601286</c:v>
                </c:pt>
                <c:pt idx="63">
                  <c:v>5.6330723524026194</c:v>
                </c:pt>
                <c:pt idx="64">
                  <c:v>5.8234692067666707</c:v>
                </c:pt>
                <c:pt idx="65">
                  <c:v>6.0181752677183642</c:v>
                </c:pt>
                <c:pt idx="66">
                  <c:v>6.2173004532882636</c:v>
                </c:pt>
                <c:pt idx="67">
                  <c:v>6.4209601974686334</c:v>
                </c:pt>
                <c:pt idx="68">
                  <c:v>6.6292757318769153</c:v>
                </c:pt>
                <c:pt idx="69">
                  <c:v>6.8423743863313939</c:v>
                </c:pt>
                <c:pt idx="70">
                  <c:v>7.060389909804238</c:v>
                </c:pt>
                <c:pt idx="71">
                  <c:v>7.2834628133494537</c:v>
                </c:pt>
                <c:pt idx="72">
                  <c:v>7.5117407367491591</c:v>
                </c:pt>
                <c:pt idx="73">
                  <c:v>7.7453788407810364</c:v>
                </c:pt>
                <c:pt idx="74">
                  <c:v>7.9845402271883614</c:v>
                </c:pt>
                <c:pt idx="75">
                  <c:v>8.2293963886289152</c:v>
                </c:pt>
                <c:pt idx="76">
                  <c:v>8.4801276910966301</c:v>
                </c:pt>
                <c:pt idx="77">
                  <c:v>8.736923891550223</c:v>
                </c:pt>
                <c:pt idx="78">
                  <c:v>8.9999846937494894</c:v>
                </c:pt>
                <c:pt idx="79">
                  <c:v>9.2695203455970514</c:v>
                </c:pt>
                <c:pt idx="80">
                  <c:v>9.5457522816126428</c:v>
                </c:pt>
                <c:pt idx="81">
                  <c:v>9.8289138145344452</c:v>
                </c:pt>
                <c:pt idx="82">
                  <c:v>10.11925088045199</c:v>
                </c:pt>
                <c:pt idx="83">
                  <c:v>10.417022842332427</c:v>
                </c:pt>
                <c:pt idx="84">
                  <c:v>10.722503357314002</c:v>
                </c:pt>
                <c:pt idx="85">
                  <c:v>11.035981313713677</c:v>
                </c:pt>
                <c:pt idx="86">
                  <c:v>11.35776184433878</c:v>
                </c:pt>
                <c:pt idx="87">
                  <c:v>11.688167423414715</c:v>
                </c:pt>
                <c:pt idx="88">
                  <c:v>12.027539055253506</c:v>
                </c:pt>
                <c:pt idx="89">
                  <c:v>12.37623756370265</c:v>
                </c:pt>
                <c:pt idx="90">
                  <c:v>12.734644992448075</c:v>
                </c:pt>
                <c:pt idx="91">
                  <c:v>13.103166127411484</c:v>
                </c:pt>
                <c:pt idx="92">
                  <c:v>13.482230153806409</c:v>
                </c:pt>
                <c:pt idx="93">
                  <c:v>13.872292461915682</c:v>
                </c:pt>
                <c:pt idx="94">
                  <c:v>14.27383661735947</c:v>
                </c:pt>
                <c:pt idx="95">
                  <c:v>14.687376513562302</c:v>
                </c:pt>
                <c:pt idx="96">
                  <c:v>15.113458726342122</c:v>
                </c:pt>
                <c:pt idx="97">
                  <c:v>15.552665093073793</c:v>
                </c:pt>
                <c:pt idx="98">
                  <c:v>16.005615541776631</c:v>
                </c:pt>
                <c:pt idx="99">
                  <c:v>16.47297119880038</c:v>
                </c:pt>
                <c:pt idx="100">
                  <c:v>16.955437807606966</c:v>
                </c:pt>
                <c:pt idx="101">
                  <c:v>17.453769495552027</c:v>
                </c:pt>
                <c:pt idx="102">
                  <c:v>17.968772930660609</c:v>
                </c:pt>
                <c:pt idx="103">
                  <c:v>18.5013119162845</c:v>
                </c:pt>
                <c:pt idx="104">
                  <c:v>19.052312478371636</c:v>
                </c:pt>
                <c:pt idx="105">
                  <c:v>19.622768508036216</c:v>
                </c:pt>
                <c:pt idx="106">
                  <c:v>20.213748031408414</c:v>
                </c:pt>
                <c:pt idx="107">
                  <c:v>20.826400189604282</c:v>
                </c:pt>
                <c:pt idx="108">
                  <c:v>21.461963024404096</c:v>
                </c:pt>
                <c:pt idx="109">
                  <c:v>22.121772180219338</c:v>
                </c:pt>
                <c:pt idx="110">
                  <c:v>22.807270650622652</c:v>
                </c:pt>
                <c:pt idx="111">
                  <c:v>23.520019718658109</c:v>
                </c:pt>
                <c:pt idx="112">
                  <c:v>24.26171126501761</c:v>
                </c:pt>
                <c:pt idx="113">
                  <c:v>25.034181647801727</c:v>
                </c:pt>
                <c:pt idx="114">
                  <c:v>25.839427393013164</c:v>
                </c:pt>
                <c:pt idx="115">
                  <c:v>26.679622977444748</c:v>
                </c:pt>
                <c:pt idx="116">
                  <c:v>27.557141036836633</c:v>
                </c:pt>
                <c:pt idx="117">
                  <c:v>28.474575394107401</c:v>
                </c:pt>
                <c:pt idx="118">
                  <c:v>29.434767377663846</c:v>
                </c:pt>
                <c:pt idx="119">
                  <c:v>30.440835991503526</c:v>
                </c:pt>
                <c:pt idx="120">
                  <c:v>31.496212611166882</c:v>
                </c:pt>
                <c:pt idx="121">
                  <c:v>32.604681017863548</c:v>
                </c:pt>
                <c:pt idx="122">
                  <c:v>33.770423754113864</c:v>
                </c:pt>
                <c:pt idx="123">
                  <c:v>34.998075996859384</c:v>
                </c:pt>
                <c:pt idx="124">
                  <c:v>36.292788409767255</c:v>
                </c:pt>
                <c:pt idx="125">
                  <c:v>37.660300770557448</c:v>
                </c:pt>
                <c:pt idx="126">
                  <c:v>39.107028591733624</c:v>
                </c:pt>
                <c:pt idx="127">
                  <c:v>40.640165490886261</c:v>
                </c:pt>
                <c:pt idx="128">
                  <c:v>42.267804755778833</c:v>
                </c:pt>
                <c:pt idx="129">
                  <c:v>43.99908443851519</c:v>
                </c:pt>
                <c:pt idx="130">
                  <c:v>45.844361468898462</c:v>
                </c:pt>
                <c:pt idx="131">
                  <c:v>47.815421791607065</c:v>
                </c:pt>
                <c:pt idx="132">
                  <c:v>49.925735533131714</c:v>
                </c:pt>
                <c:pt idx="133">
                  <c:v>52.190768872849226</c:v>
                </c:pt>
                <c:pt idx="134">
                  <c:v>54.628367884722337</c:v>
                </c:pt>
                <c:pt idx="135">
                  <c:v>57.259234501390132</c:v>
                </c:pt>
                <c:pt idx="136">
                  <c:v>60.10752146967392</c:v>
                </c:pt>
                <c:pt idx="137">
                  <c:v>63.201582512265325</c:v>
                </c:pt>
                <c:pt idx="138">
                  <c:v>66.574927079371875</c:v>
                </c:pt>
                <c:pt idx="139">
                  <c:v>70.267447886966423</c:v>
                </c:pt>
                <c:pt idx="140">
                  <c:v>74.327016716936143</c:v>
                </c:pt>
                <c:pt idx="141">
                  <c:v>78.811584154563477</c:v>
                </c:pt>
                <c:pt idx="142">
                  <c:v>83.791979238950645</c:v>
                </c:pt>
                <c:pt idx="143">
                  <c:v>89.355697225830895</c:v>
                </c:pt>
                <c:pt idx="144">
                  <c:v>95.612107761918111</c:v>
                </c:pt>
                <c:pt idx="145">
                  <c:v>102.69974632950282</c:v>
                </c:pt>
                <c:pt idx="146">
                  <c:v>110.79673059640766</c:v>
                </c:pt>
                <c:pt idx="147">
                  <c:v>120.13598431262938</c:v>
                </c:pt>
                <c:pt idx="148">
                  <c:v>131.02807315589521</c:v>
                </c:pt>
                <c:pt idx="149">
                  <c:v>143.89649649360118</c:v>
                </c:pt>
                <c:pt idx="150">
                  <c:v>159.33415420259004</c:v>
                </c:pt>
                <c:pt idx="151">
                  <c:v>178.19745803617775</c:v>
                </c:pt>
                <c:pt idx="152">
                  <c:v>201.77102651725085</c:v>
                </c:pt>
                <c:pt idx="153">
                  <c:v>232.0735468834844</c:v>
                </c:pt>
                <c:pt idx="154">
                  <c:v>272.46949897880398</c:v>
                </c:pt>
                <c:pt idx="155">
                  <c:v>329.01494781578219</c:v>
                </c:pt>
                <c:pt idx="156">
                  <c:v>413.82202498308823</c:v>
                </c:pt>
                <c:pt idx="157">
                  <c:v>555.15237286975014</c:v>
                </c:pt>
                <c:pt idx="158">
                  <c:v>837.79092156494266</c:v>
                </c:pt>
                <c:pt idx="159">
                  <c:v>1685.662327161964</c:v>
                </c:pt>
              </c:numCache>
            </c:numRef>
          </c:yVal>
          <c:smooth val="0"/>
          <c:extLst>
            <c:ext xmlns:c16="http://schemas.microsoft.com/office/drawing/2014/chart" uri="{C3380CC4-5D6E-409C-BE32-E72D297353CC}">
              <c16:uniqueId val="{00000003-07D1-44FB-BBB2-922CA9F7DEEB}"/>
            </c:ext>
          </c:extLst>
        </c:ser>
        <c:ser>
          <c:idx val="1"/>
          <c:order val="3"/>
          <c:tx>
            <c:v>shear/stretch 0.5 mm power law</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'shear rates'!$B$212:$AY$212</c:f>
              <c:numCache>
                <c:formatCode>General</c:formatCode>
                <c:ptCount val="50"/>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numCache>
            </c:numRef>
          </c:xVal>
          <c:yVal>
            <c:numRef>
              <c:f>'shear rates'!$BG$122:$DD$122</c:f>
              <c:numCache>
                <c:formatCode>General</c:formatCode>
                <c:ptCount val="50"/>
                <c:pt idx="0">
                  <c:v>2.4495246231292477E-2</c:v>
                </c:pt>
                <c:pt idx="1">
                  <c:v>3.6534456942997479E-2</c:v>
                </c:pt>
                <c:pt idx="2">
                  <c:v>0.20121684090420822</c:v>
                </c:pt>
                <c:pt idx="3">
                  <c:v>0.46066956874466009</c:v>
                </c:pt>
                <c:pt idx="4">
                  <c:v>0.81069928417644277</c:v>
                </c:pt>
                <c:pt idx="5">
                  <c:v>1.2487219146787285</c:v>
                </c:pt>
                <c:pt idx="6">
                  <c:v>1.7730920781374382</c:v>
                </c:pt>
                <c:pt idx="7">
                  <c:v>2.3828521643191594</c:v>
                </c:pt>
                <c:pt idx="8">
                  <c:v>3.0776244009515419</c:v>
                </c:pt>
                <c:pt idx="9">
                  <c:v>3.8575665564087287</c:v>
                </c:pt>
                <c:pt idx="10">
                  <c:v>4.7233615936760485</c:v>
                </c:pt>
                <c:pt idx="11">
                  <c:v>5.6762285145997895</c:v>
                </c:pt>
                <c:pt idx="12">
                  <c:v>6.717948613993947</c:v>
                </c:pt>
                <c:pt idx="13">
                  <c:v>7.8509047011397293</c:v>
                </c:pt>
                <c:pt idx="14">
                  <c:v>9.0781326818376016</c:v>
                </c:pt>
                <c:pt idx="15">
                  <c:v>10.403386072607546</c:v>
                </c:pt>
                <c:pt idx="16">
                  <c:v>11.831214919923015</c:v>
                </c:pt>
                <c:pt idx="17">
                  <c:v>13.367061417981622</c:v>
                </c:pt>
                <c:pt idx="18">
                  <c:v>15.017375380062466</c:v>
                </c:pt>
                <c:pt idx="19">
                  <c:v>16.789753715425856</c:v>
                </c:pt>
                <c:pt idx="20">
                  <c:v>18.693109288188168</c:v>
                </c:pt>
                <c:pt idx="21">
                  <c:v>20.737876093494673</c:v>
                </c:pt>
                <c:pt idx="22">
                  <c:v>22.936259716694266</c:v>
                </c:pt>
                <c:pt idx="23">
                  <c:v>25.302544729008442</c:v>
                </c:pt>
                <c:pt idx="24">
                  <c:v>27.853474278584098</c:v>
                </c:pt>
                <c:pt idx="25">
                  <c:v>30.608722030768817</c:v>
                </c:pt>
                <c:pt idx="26">
                  <c:v>33.591483336528107</c:v>
                </c:pt>
                <c:pt idx="27">
                  <c:v>36.82922186109225</c:v>
                </c:pt>
                <c:pt idx="28">
                  <c:v>40.354621082235901</c:v>
                </c:pt>
                <c:pt idx="29">
                  <c:v>44.206808891128453</c:v>
                </c:pt>
                <c:pt idx="30">
                  <c:v>48.432950822209413</c:v>
                </c:pt>
                <c:pt idx="31">
                  <c:v>53.09034766038485</c:v>
                </c:pt>
                <c:pt idx="32">
                  <c:v>58.249233506684426</c:v>
                </c:pt>
                <c:pt idx="33">
                  <c:v>63.996562657522823</c:v>
                </c:pt>
                <c:pt idx="34">
                  <c:v>70.441217831186989</c:v>
                </c:pt>
                <c:pt idx="35">
                  <c:v>77.72130296111456</c:v>
                </c:pt>
                <c:pt idx="36">
                  <c:v>86.014562759984983</c:v>
                </c:pt>
                <c:pt idx="37">
                  <c:v>95.553612617335972</c:v>
                </c:pt>
                <c:pt idx="38">
                  <c:v>106.64878477147698</c:v>
                </c:pt>
                <c:pt idx="39">
                  <c:v>119.72343738417155</c:v>
                </c:pt>
                <c:pt idx="40">
                  <c:v>135.37045045344689</c:v>
                </c:pt>
                <c:pt idx="41">
                  <c:v>154.44638711387154</c:v>
                </c:pt>
                <c:pt idx="42">
                  <c:v>178.23627742850437</c:v>
                </c:pt>
                <c:pt idx="43">
                  <c:v>208.75964704504233</c:v>
                </c:pt>
                <c:pt idx="44">
                  <c:v>249.38257625953258</c:v>
                </c:pt>
                <c:pt idx="45">
                  <c:v>306.16423190922978</c:v>
                </c:pt>
                <c:pt idx="46">
                  <c:v>391.22319937026242</c:v>
                </c:pt>
                <c:pt idx="47">
                  <c:v>532.83648135161195</c:v>
                </c:pt>
                <c:pt idx="48">
                  <c:v>815.83549696353862</c:v>
                </c:pt>
                <c:pt idx="49">
                  <c:v>1664.3780824031121</c:v>
                </c:pt>
              </c:numCache>
            </c:numRef>
          </c:yVal>
          <c:smooth val="0"/>
          <c:extLst>
            <c:ext xmlns:c16="http://schemas.microsoft.com/office/drawing/2014/chart" uri="{C3380CC4-5D6E-409C-BE32-E72D297353CC}">
              <c16:uniqueId val="{0000000C-07D1-44FB-BBB2-922CA9F7DEEB}"/>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49802871149678984"/>
          <c:y val="0.10370535578993904"/>
          <c:w val="0.16804922001067765"/>
          <c:h val="0.19445672751597806"/>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0.3 mm thickness / NA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1"/>
          <c:order val="0"/>
          <c:tx>
            <c:v>Experimental core fraction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rates'!$V$19:$V$21</c:f>
              <c:numCache>
                <c:formatCode>General</c:formatCode>
                <c:ptCount val="3"/>
                <c:pt idx="0">
                  <c:v>312.50000000000006</c:v>
                </c:pt>
                <c:pt idx="1">
                  <c:v>138.88888888888894</c:v>
                </c:pt>
                <c:pt idx="2">
                  <c:v>89.285714285714306</c:v>
                </c:pt>
              </c:numCache>
            </c:numRef>
          </c:xVal>
          <c:yVal>
            <c:numRef>
              <c:f>'shear rates'!$AR$14:$AR$16</c:f>
              <c:numCache>
                <c:formatCode>General</c:formatCode>
                <c:ptCount val="3"/>
                <c:pt idx="0">
                  <c:v>0.2978723404255319</c:v>
                </c:pt>
                <c:pt idx="1">
                  <c:v>0.11363636363636363</c:v>
                </c:pt>
                <c:pt idx="2">
                  <c:v>0</c:v>
                </c:pt>
              </c:numCache>
            </c:numRef>
          </c:yVal>
          <c:smooth val="0"/>
          <c:extLst>
            <c:ext xmlns:c16="http://schemas.microsoft.com/office/drawing/2014/chart" uri="{C3380CC4-5D6E-409C-BE32-E72D297353CC}">
              <c16:uniqueId val="{00000001-7EFC-408B-BB3B-61E30AAEF158}"/>
            </c:ext>
          </c:extLst>
        </c:ser>
        <c:ser>
          <c:idx val="0"/>
          <c:order val="1"/>
          <c:tx>
            <c:v>Predicted core fraction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rates'!$V$19:$V$21</c:f>
              <c:numCache>
                <c:formatCode>General</c:formatCode>
                <c:ptCount val="3"/>
                <c:pt idx="0">
                  <c:v>312.50000000000006</c:v>
                </c:pt>
                <c:pt idx="1">
                  <c:v>138.88888888888894</c:v>
                </c:pt>
                <c:pt idx="2">
                  <c:v>89.285714285714306</c:v>
                </c:pt>
              </c:numCache>
            </c:numRef>
          </c:xVal>
          <c:yVal>
            <c:numRef>
              <c:f>'shear rates'!$M$200:$O$200</c:f>
              <c:numCache>
                <c:formatCode>General</c:formatCode>
                <c:ptCount val="3"/>
                <c:pt idx="0">
                  <c:v>0.33710782464962169</c:v>
                </c:pt>
                <c:pt idx="1">
                  <c:v>0.16446305887491267</c:v>
                </c:pt>
                <c:pt idx="2">
                  <c:v>0.10741174180904457</c:v>
                </c:pt>
              </c:numCache>
            </c:numRef>
          </c:yVal>
          <c:smooth val="0"/>
          <c:extLst>
            <c:ext xmlns:c16="http://schemas.microsoft.com/office/drawing/2014/chart" uri="{C3380CC4-5D6E-409C-BE32-E72D297353CC}">
              <c16:uniqueId val="{00000003-7EFC-408B-BB3B-61E30AAEF158}"/>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layout>
            <c:manualLayout>
              <c:xMode val="edge"/>
              <c:yMode val="edge"/>
              <c:x val="4.5590157232118636E-4"/>
              <c:y val="0.3182709415922610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8150439258678397"/>
          <c:h val="0.11693337796481858"/>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0.5 mm thickness / NA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rates'!$AF$32:$AF$34</c:f>
              <c:numCache>
                <c:formatCode>General</c:formatCode>
                <c:ptCount val="3"/>
                <c:pt idx="0">
                  <c:v>112.50000000000001</c:v>
                </c:pt>
                <c:pt idx="1">
                  <c:v>50</c:v>
                </c:pt>
                <c:pt idx="2">
                  <c:v>32.142857142857139</c:v>
                </c:pt>
              </c:numCache>
            </c:numRef>
          </c:xVal>
          <c:yVal>
            <c:numRef>
              <c:f>'shear rates'!$M$201:$O$201</c:f>
              <c:numCache>
                <c:formatCode>General</c:formatCode>
                <c:ptCount val="3"/>
                <c:pt idx="0">
                  <c:v>0.48486185601933163</c:v>
                </c:pt>
                <c:pt idx="1">
                  <c:v>0.26233674012824942</c:v>
                </c:pt>
                <c:pt idx="2">
                  <c:v>0.17552902607316251</c:v>
                </c:pt>
              </c:numCache>
            </c:numRef>
          </c:yVal>
          <c:smooth val="0"/>
          <c:extLst>
            <c:ext xmlns:c16="http://schemas.microsoft.com/office/drawing/2014/chart" uri="{C3380CC4-5D6E-409C-BE32-E72D297353CC}">
              <c16:uniqueId val="{00000000-A4F9-49AC-9BAC-1749867A7AC4}"/>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rates'!$AF$32:$AF$34</c:f>
              <c:numCache>
                <c:formatCode>General</c:formatCode>
                <c:ptCount val="3"/>
                <c:pt idx="0">
                  <c:v>112.50000000000001</c:v>
                </c:pt>
                <c:pt idx="1">
                  <c:v>50</c:v>
                </c:pt>
                <c:pt idx="2">
                  <c:v>32.142857142857139</c:v>
                </c:pt>
              </c:numCache>
            </c:numRef>
          </c:xVal>
          <c:yVal>
            <c:numRef>
              <c:f>'shear rates'!$BL$27:$BL$29</c:f>
              <c:numCache>
                <c:formatCode>General</c:formatCode>
                <c:ptCount val="3"/>
                <c:pt idx="0">
                  <c:v>0.36666666666666664</c:v>
                </c:pt>
                <c:pt idx="1">
                  <c:v>0.31578947368421051</c:v>
                </c:pt>
                <c:pt idx="2">
                  <c:v>5.5555555555555552E-2</c:v>
                </c:pt>
              </c:numCache>
            </c:numRef>
          </c:yVal>
          <c:smooth val="0"/>
          <c:extLst>
            <c:ext xmlns:c16="http://schemas.microsoft.com/office/drawing/2014/chart" uri="{C3380CC4-5D6E-409C-BE32-E72D297353CC}">
              <c16:uniqueId val="{00000001-A4F9-49AC-9BAC-1749867A7AC4}"/>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 mm thickness / NA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rates'!$BE$45:$BE$47</c:f>
              <c:numCache>
                <c:formatCode>General</c:formatCode>
                <c:ptCount val="3"/>
                <c:pt idx="0">
                  <c:v>28.125000000000039</c:v>
                </c:pt>
                <c:pt idx="1">
                  <c:v>12.500000000000016</c:v>
                </c:pt>
                <c:pt idx="2">
                  <c:v>8.0357142857142971</c:v>
                </c:pt>
              </c:numCache>
            </c:numRef>
          </c:xVal>
          <c:yVal>
            <c:numRef>
              <c:f>'shear rates'!$M$202:$O$202</c:f>
              <c:numCache>
                <c:formatCode>General</c:formatCode>
                <c:ptCount val="3"/>
                <c:pt idx="0">
                  <c:v>0.68056871347072079</c:v>
                </c:pt>
                <c:pt idx="1">
                  <c:v>0.44956979588191359</c:v>
                </c:pt>
                <c:pt idx="2">
                  <c:v>0.32415706487548002</c:v>
                </c:pt>
              </c:numCache>
            </c:numRef>
          </c:yVal>
          <c:smooth val="0"/>
          <c:extLst>
            <c:ext xmlns:c16="http://schemas.microsoft.com/office/drawing/2014/chart" uri="{C3380CC4-5D6E-409C-BE32-E72D297353CC}">
              <c16:uniqueId val="{00000000-8765-4942-8F7E-B72E31E5AF19}"/>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rates'!$BE$45:$BE$47</c:f>
              <c:numCache>
                <c:formatCode>General</c:formatCode>
                <c:ptCount val="3"/>
                <c:pt idx="0">
                  <c:v>28.125000000000039</c:v>
                </c:pt>
                <c:pt idx="1">
                  <c:v>12.500000000000016</c:v>
                </c:pt>
                <c:pt idx="2">
                  <c:v>8.0357142857142971</c:v>
                </c:pt>
              </c:numCache>
            </c:numRef>
          </c:xVal>
          <c:yVal>
            <c:numRef>
              <c:f>'shear rates'!$DJ$40:$DJ$42</c:f>
              <c:numCache>
                <c:formatCode>General</c:formatCode>
                <c:ptCount val="3"/>
                <c:pt idx="0">
                  <c:v>0.39285714285714285</c:v>
                </c:pt>
                <c:pt idx="1">
                  <c:v>0.40740740740740738</c:v>
                </c:pt>
                <c:pt idx="2">
                  <c:v>0.41249999999999998</c:v>
                </c:pt>
              </c:numCache>
            </c:numRef>
          </c:yVal>
          <c:smooth val="0"/>
          <c:extLst>
            <c:ext xmlns:c16="http://schemas.microsoft.com/office/drawing/2014/chart" uri="{C3380CC4-5D6E-409C-BE32-E72D297353CC}">
              <c16:uniqueId val="{00000001-8765-4942-8F7E-B72E31E5AF19}"/>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1.6 mm thickness / NA cooling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rates'!$CI$57:$CI$59</c:f>
              <c:numCache>
                <c:formatCode>General</c:formatCode>
                <c:ptCount val="3"/>
                <c:pt idx="0">
                  <c:v>10.986328125000018</c:v>
                </c:pt>
                <c:pt idx="1">
                  <c:v>4.8828125000000089</c:v>
                </c:pt>
                <c:pt idx="2">
                  <c:v>3.1389508928571481</c:v>
                </c:pt>
              </c:numCache>
            </c:numRef>
          </c:xVal>
          <c:yVal>
            <c:numRef>
              <c:f>'shear rates'!$M$203:$O$203</c:f>
              <c:numCache>
                <c:formatCode>General</c:formatCode>
                <c:ptCount val="3"/>
                <c:pt idx="0">
                  <c:v>0.78343535552627597</c:v>
                </c:pt>
                <c:pt idx="1">
                  <c:v>0.58888566794099484</c:v>
                </c:pt>
                <c:pt idx="2">
                  <c:v>0.45798727398052186</c:v>
                </c:pt>
              </c:numCache>
            </c:numRef>
          </c:yVal>
          <c:smooth val="0"/>
          <c:extLst>
            <c:ext xmlns:c16="http://schemas.microsoft.com/office/drawing/2014/chart" uri="{C3380CC4-5D6E-409C-BE32-E72D297353CC}">
              <c16:uniqueId val="{00000000-6917-4B11-AF96-70A1E1674161}"/>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rates'!$CI$57:$CI$59</c:f>
              <c:numCache>
                <c:formatCode>General</c:formatCode>
                <c:ptCount val="3"/>
                <c:pt idx="0">
                  <c:v>10.986328125000018</c:v>
                </c:pt>
                <c:pt idx="1">
                  <c:v>4.8828125000000089</c:v>
                </c:pt>
                <c:pt idx="2">
                  <c:v>3.1389508928571481</c:v>
                </c:pt>
              </c:numCache>
            </c:numRef>
          </c:xVal>
          <c:yVal>
            <c:numRef>
              <c:f>'shear rates'!$R$203:$T$203</c:f>
              <c:numCache>
                <c:formatCode>General</c:formatCode>
                <c:ptCount val="3"/>
                <c:pt idx="0">
                  <c:v>0.57823129251700678</c:v>
                </c:pt>
                <c:pt idx="1">
                  <c:v>0.6333333333333333</c:v>
                </c:pt>
                <c:pt idx="2">
                  <c:v>0.64189189189189189</c:v>
                </c:pt>
              </c:numCache>
            </c:numRef>
          </c:yVal>
          <c:smooth val="0"/>
          <c:extLst>
            <c:ext xmlns:c16="http://schemas.microsoft.com/office/drawing/2014/chart" uri="{C3380CC4-5D6E-409C-BE32-E72D297353CC}">
              <c16:uniqueId val="{00000001-6917-4B11-AF96-70A1E1674161}"/>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Critical psi vs thickness / with outliers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spPr>
            <a:ln w="12700" cap="rnd">
              <a:noFill/>
              <a:round/>
            </a:ln>
            <a:effectLst/>
          </c:spPr>
          <c:marker>
            <c:symbol val="circle"/>
            <c:size val="5"/>
            <c:spPr>
              <a:solidFill>
                <a:schemeClr val="tx1"/>
              </a:solidFill>
              <a:ln w="25400">
                <a:solidFill>
                  <a:schemeClr val="tx1"/>
                </a:solidFill>
              </a:ln>
              <a:effectLst/>
            </c:spPr>
          </c:marker>
          <c:errBars>
            <c:errDir val="y"/>
            <c:errBarType val="both"/>
            <c:errValType val="cust"/>
            <c:noEndCap val="0"/>
            <c:plus>
              <c:numRef>
                <c:f>'shear rates'!$R$254:$R$257</c:f>
                <c:numCache>
                  <c:formatCode>General</c:formatCode>
                  <c:ptCount val="4"/>
                  <c:pt idx="0">
                    <c:v>10.589530341823661</c:v>
                  </c:pt>
                  <c:pt idx="1">
                    <c:v>20.110221763612024</c:v>
                  </c:pt>
                  <c:pt idx="2">
                    <c:v>3.403049464092744</c:v>
                  </c:pt>
                  <c:pt idx="3">
                    <c:v>111.87076162323216</c:v>
                  </c:pt>
                </c:numCache>
              </c:numRef>
            </c:plus>
            <c:minus>
              <c:numRef>
                <c:f>'shear rates'!$R$254:$R$257</c:f>
                <c:numCache>
                  <c:formatCode>General</c:formatCode>
                  <c:ptCount val="4"/>
                  <c:pt idx="0">
                    <c:v>10.589530341823661</c:v>
                  </c:pt>
                  <c:pt idx="1">
                    <c:v>20.110221763612024</c:v>
                  </c:pt>
                  <c:pt idx="2">
                    <c:v>3.403049464092744</c:v>
                  </c:pt>
                  <c:pt idx="3">
                    <c:v>111.87076162323216</c:v>
                  </c:pt>
                </c:numCache>
              </c:numRef>
            </c:minus>
            <c:spPr>
              <a:noFill/>
              <a:ln w="9525" cap="flat" cmpd="sng" algn="ctr">
                <a:solidFill>
                  <a:schemeClr val="tx1">
                    <a:lumMod val="65000"/>
                    <a:lumOff val="35000"/>
                  </a:schemeClr>
                </a:solidFill>
                <a:round/>
              </a:ln>
              <a:effectLst/>
            </c:spPr>
          </c:errBars>
          <c:xVal>
            <c:numRef>
              <c:f>'shear rates'!$I$254:$I$257</c:f>
              <c:numCache>
                <c:formatCode>General</c:formatCode>
                <c:ptCount val="4"/>
                <c:pt idx="0">
                  <c:v>0.3</c:v>
                </c:pt>
                <c:pt idx="1">
                  <c:v>0.5</c:v>
                </c:pt>
                <c:pt idx="2">
                  <c:v>1</c:v>
                </c:pt>
                <c:pt idx="3">
                  <c:v>1.6</c:v>
                </c:pt>
              </c:numCache>
            </c:numRef>
          </c:xVal>
          <c:yVal>
            <c:numRef>
              <c:f>'shear rates'!$P$254:$P$257</c:f>
              <c:numCache>
                <c:formatCode>General</c:formatCode>
                <c:ptCount val="4"/>
                <c:pt idx="0">
                  <c:v>22.545582336724298</c:v>
                </c:pt>
                <c:pt idx="1">
                  <c:v>48.368017434502612</c:v>
                </c:pt>
                <c:pt idx="2">
                  <c:v>33.421206119151798</c:v>
                </c:pt>
                <c:pt idx="3">
                  <c:v>111.93775385981344</c:v>
                </c:pt>
              </c:numCache>
            </c:numRef>
          </c:yVal>
          <c:smooth val="0"/>
          <c:extLst>
            <c:ext xmlns:c16="http://schemas.microsoft.com/office/drawing/2014/chart" uri="{C3380CC4-5D6E-409C-BE32-E72D297353CC}">
              <c16:uniqueId val="{00000000-4F05-47C3-9B15-559BCD5AB695}"/>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Thickness mm</a:t>
                </a:r>
                <a:endParaRPr lang="en-GB" sz="1600" baseline="300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Critical shear/stretch ratio fit to data</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Critical psi vs annealing / with outliers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spPr>
            <a:ln w="25400" cap="rnd">
              <a:noFill/>
              <a:round/>
            </a:ln>
            <a:effectLst/>
          </c:spPr>
          <c:marker>
            <c:symbol val="circle"/>
            <c:size val="5"/>
            <c:spPr>
              <a:solidFill>
                <a:schemeClr val="tx1"/>
              </a:solidFill>
              <a:ln w="25400">
                <a:solidFill>
                  <a:schemeClr val="tx1"/>
                </a:solidFill>
              </a:ln>
              <a:effectLst/>
            </c:spPr>
          </c:marker>
          <c:errBars>
            <c:errDir val="y"/>
            <c:errBarType val="both"/>
            <c:errValType val="cust"/>
            <c:noEndCap val="0"/>
            <c:plus>
              <c:numRef>
                <c:f>'shear rates'!$AA$255:$AC$255</c:f>
                <c:numCache>
                  <c:formatCode>General</c:formatCode>
                  <c:ptCount val="3"/>
                  <c:pt idx="0">
                    <c:v>8.4600512205628817</c:v>
                  </c:pt>
                  <c:pt idx="1">
                    <c:v>15.548971016257685</c:v>
                  </c:pt>
                  <c:pt idx="2">
                    <c:v>101.64662302829709</c:v>
                  </c:pt>
                </c:numCache>
              </c:numRef>
            </c:plus>
            <c:minus>
              <c:numRef>
                <c:f>'shear rates'!$AA$255:$AC$255</c:f>
                <c:numCache>
                  <c:formatCode>General</c:formatCode>
                  <c:ptCount val="3"/>
                  <c:pt idx="0">
                    <c:v>8.4600512205628817</c:v>
                  </c:pt>
                  <c:pt idx="1">
                    <c:v>15.548971016257685</c:v>
                  </c:pt>
                  <c:pt idx="2">
                    <c:v>101.64662302829709</c:v>
                  </c:pt>
                </c:numCache>
              </c:numRef>
            </c:minus>
            <c:spPr>
              <a:noFill/>
              <a:ln w="9525" cap="flat" cmpd="sng" algn="ctr">
                <a:solidFill>
                  <a:schemeClr val="tx1">
                    <a:lumMod val="65000"/>
                    <a:lumOff val="35000"/>
                  </a:schemeClr>
                </a:solidFill>
                <a:round/>
              </a:ln>
              <a:effectLst/>
            </c:spPr>
          </c:errBars>
          <c:xVal>
            <c:numRef>
              <c:f>'shear rates'!$W$258:$Y$258</c:f>
              <c:numCache>
                <c:formatCode>General</c:formatCode>
                <c:ptCount val="3"/>
                <c:pt idx="0">
                  <c:v>0</c:v>
                </c:pt>
                <c:pt idx="1">
                  <c:v>30</c:v>
                </c:pt>
                <c:pt idx="2">
                  <c:v>60</c:v>
                </c:pt>
              </c:numCache>
            </c:numRef>
          </c:xVal>
          <c:yVal>
            <c:numRef>
              <c:f>'shear rates'!$AA$253:$AC$253</c:f>
              <c:numCache>
                <c:formatCode>General</c:formatCode>
                <c:ptCount val="3"/>
                <c:pt idx="0">
                  <c:v>35.525310438207555</c:v>
                </c:pt>
                <c:pt idx="1">
                  <c:v>34.854225453289985</c:v>
                </c:pt>
                <c:pt idx="2">
                  <c:v>91.824883921146579</c:v>
                </c:pt>
              </c:numCache>
            </c:numRef>
          </c:yVal>
          <c:smooth val="0"/>
          <c:extLst>
            <c:ext xmlns:c16="http://schemas.microsoft.com/office/drawing/2014/chart" uri="{C3380CC4-5D6E-409C-BE32-E72D297353CC}">
              <c16:uniqueId val="{00000000-2EE7-4250-BB33-6810E2054FF4}"/>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Annealing time minutes</a:t>
                </a:r>
                <a:endParaRPr lang="en-GB" sz="1600" baseline="300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Critical shear/stretch ratio fit to data</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Critical psi vs thickness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spPr>
            <a:ln w="25400" cap="rnd">
              <a:noFill/>
              <a:round/>
            </a:ln>
            <a:effectLst/>
          </c:spPr>
          <c:marker>
            <c:symbol val="circle"/>
            <c:size val="5"/>
            <c:spPr>
              <a:solidFill>
                <a:schemeClr val="tx1"/>
              </a:solidFill>
              <a:ln w="25400">
                <a:solidFill>
                  <a:schemeClr val="tx1"/>
                </a:solidFill>
              </a:ln>
              <a:effectLst/>
            </c:spPr>
          </c:marker>
          <c:errBars>
            <c:errDir val="y"/>
            <c:errBarType val="both"/>
            <c:errValType val="cust"/>
            <c:noEndCap val="0"/>
            <c:plus>
              <c:numRef>
                <c:f>'shear rates'!$N$261:$N$264</c:f>
                <c:numCache>
                  <c:formatCode>General</c:formatCode>
                  <c:ptCount val="4"/>
                  <c:pt idx="0">
                    <c:v>8.5115917908001286</c:v>
                  </c:pt>
                  <c:pt idx="1">
                    <c:v>9.2179277665299466</c:v>
                  </c:pt>
                  <c:pt idx="2">
                    <c:v>3.403049464092744</c:v>
                  </c:pt>
                  <c:pt idx="3">
                    <c:v>0.88175198449565839</c:v>
                  </c:pt>
                </c:numCache>
              </c:numRef>
            </c:plus>
            <c:minus>
              <c:numRef>
                <c:f>'shear rates'!$N$261:$N$264</c:f>
                <c:numCache>
                  <c:formatCode>General</c:formatCode>
                  <c:ptCount val="4"/>
                  <c:pt idx="0">
                    <c:v>8.5115917908001286</c:v>
                  </c:pt>
                  <c:pt idx="1">
                    <c:v>9.2179277665299466</c:v>
                  </c:pt>
                  <c:pt idx="2">
                    <c:v>3.403049464092744</c:v>
                  </c:pt>
                  <c:pt idx="3">
                    <c:v>0.88175198449565839</c:v>
                  </c:pt>
                </c:numCache>
              </c:numRef>
            </c:minus>
            <c:spPr>
              <a:noFill/>
              <a:ln w="9525" cap="flat" cmpd="sng" algn="ctr">
                <a:solidFill>
                  <a:schemeClr val="tx1">
                    <a:lumMod val="65000"/>
                    <a:lumOff val="35000"/>
                  </a:schemeClr>
                </a:solidFill>
                <a:round/>
              </a:ln>
              <a:effectLst/>
            </c:spPr>
          </c:errBars>
          <c:xVal>
            <c:numRef>
              <c:f>'shear rates'!$I$254:$I$257</c:f>
              <c:numCache>
                <c:formatCode>General</c:formatCode>
                <c:ptCount val="4"/>
                <c:pt idx="0">
                  <c:v>0.3</c:v>
                </c:pt>
                <c:pt idx="1">
                  <c:v>0.5</c:v>
                </c:pt>
                <c:pt idx="2">
                  <c:v>1</c:v>
                </c:pt>
                <c:pt idx="3">
                  <c:v>1.6</c:v>
                </c:pt>
              </c:numCache>
            </c:numRef>
          </c:xVal>
          <c:yVal>
            <c:numRef>
              <c:f>'shear rates'!$N$254:$N$257</c:f>
              <c:numCache>
                <c:formatCode>General</c:formatCode>
                <c:ptCount val="4"/>
                <c:pt idx="0">
                  <c:v>27.575975146230519</c:v>
                </c:pt>
                <c:pt idx="1">
                  <c:v>37.384151642242095</c:v>
                </c:pt>
                <c:pt idx="2">
                  <c:v>33.421206119151798</c:v>
                </c:pt>
                <c:pt idx="3">
                  <c:v>47.350142656423067</c:v>
                </c:pt>
              </c:numCache>
            </c:numRef>
          </c:yVal>
          <c:smooth val="0"/>
          <c:extLst>
            <c:ext xmlns:c16="http://schemas.microsoft.com/office/drawing/2014/chart" uri="{C3380CC4-5D6E-409C-BE32-E72D297353CC}">
              <c16:uniqueId val="{00000000-FE3F-4A7B-9977-F2ACE6FC2C48}"/>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Thickness mm</a:t>
                </a:r>
                <a:endParaRPr lang="en-GB" sz="1600" baseline="300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Critical shear/stretch ratio fit to data</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Critical psi vs annealing / with outliers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spPr>
            <a:ln w="25400" cap="rnd">
              <a:noFill/>
              <a:round/>
            </a:ln>
            <a:effectLst/>
          </c:spPr>
          <c:marker>
            <c:symbol val="circle"/>
            <c:size val="5"/>
            <c:spPr>
              <a:solidFill>
                <a:schemeClr val="tx1"/>
              </a:solidFill>
              <a:ln w="25400">
                <a:solidFill>
                  <a:schemeClr val="tx1"/>
                </a:solidFill>
              </a:ln>
              <a:effectLst/>
            </c:spPr>
          </c:marker>
          <c:errBars>
            <c:errDir val="y"/>
            <c:errBarType val="both"/>
            <c:errValType val="cust"/>
            <c:noEndCap val="0"/>
            <c:plus>
              <c:numRef>
                <c:f>'shear rates'!$AA$262:$AC$262</c:f>
                <c:numCache>
                  <c:formatCode>General</c:formatCode>
                  <c:ptCount val="3"/>
                  <c:pt idx="0">
                    <c:v>8.4600512205628817</c:v>
                  </c:pt>
                  <c:pt idx="1">
                    <c:v>5.3908739111478461</c:v>
                  </c:pt>
                  <c:pt idx="2">
                    <c:v>9.0057605112122907</c:v>
                  </c:pt>
                </c:numCache>
              </c:numRef>
            </c:plus>
            <c:minus>
              <c:numRef>
                <c:f>'shear rates'!$AA$262:$AC$262</c:f>
                <c:numCache>
                  <c:formatCode>General</c:formatCode>
                  <c:ptCount val="3"/>
                  <c:pt idx="0">
                    <c:v>8.4600512205628817</c:v>
                  </c:pt>
                  <c:pt idx="1">
                    <c:v>5.3908739111478461</c:v>
                  </c:pt>
                  <c:pt idx="2">
                    <c:v>9.0057605112122907</c:v>
                  </c:pt>
                </c:numCache>
              </c:numRef>
            </c:minus>
            <c:spPr>
              <a:noFill/>
              <a:ln w="9525" cap="flat" cmpd="sng" algn="ctr">
                <a:solidFill>
                  <a:schemeClr val="tx1">
                    <a:lumMod val="65000"/>
                    <a:lumOff val="35000"/>
                  </a:schemeClr>
                </a:solidFill>
                <a:round/>
              </a:ln>
              <a:effectLst/>
            </c:spPr>
          </c:errBars>
          <c:xVal>
            <c:numRef>
              <c:f>'shear rates'!$W$258:$Y$258</c:f>
              <c:numCache>
                <c:formatCode>General</c:formatCode>
                <c:ptCount val="3"/>
                <c:pt idx="0">
                  <c:v>0</c:v>
                </c:pt>
                <c:pt idx="1">
                  <c:v>30</c:v>
                </c:pt>
                <c:pt idx="2">
                  <c:v>60</c:v>
                </c:pt>
              </c:numCache>
            </c:numRef>
          </c:xVal>
          <c:yVal>
            <c:numRef>
              <c:f>'shear rates'!$AA$259:$AC$259</c:f>
              <c:numCache>
                <c:formatCode>General</c:formatCode>
                <c:ptCount val="3"/>
                <c:pt idx="0">
                  <c:v>35.525310438207555</c:v>
                </c:pt>
                <c:pt idx="1">
                  <c:v>34.854225453289985</c:v>
                </c:pt>
                <c:pt idx="2">
                  <c:v>27.925405199484235</c:v>
                </c:pt>
              </c:numCache>
            </c:numRef>
          </c:yVal>
          <c:smooth val="0"/>
          <c:extLst>
            <c:ext xmlns:c16="http://schemas.microsoft.com/office/drawing/2014/chart" uri="{C3380CC4-5D6E-409C-BE32-E72D297353CC}">
              <c16:uniqueId val="{00000000-6E4E-4DB6-98F3-B297E456D68C}"/>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Annealing time minutes</a:t>
                </a:r>
                <a:endParaRPr lang="en-GB" sz="1600" baseline="300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Critical shear/stretch ratio fit to data</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1.6 mm thickness / 30 min annealiing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rates'!$CI$57:$CI$59</c:f>
              <c:numCache>
                <c:formatCode>General</c:formatCode>
                <c:ptCount val="3"/>
                <c:pt idx="0">
                  <c:v>10.986328125000018</c:v>
                </c:pt>
                <c:pt idx="1">
                  <c:v>4.8828125000000089</c:v>
                </c:pt>
                <c:pt idx="2">
                  <c:v>3.1389508928571481</c:v>
                </c:pt>
              </c:numCache>
            </c:numRef>
          </c:xVal>
          <c:yVal>
            <c:numRef>
              <c:f>'shear rates'!$U$196:$W$196</c:f>
              <c:numCache>
                <c:formatCode>General</c:formatCode>
                <c:ptCount val="3"/>
                <c:pt idx="0">
                  <c:v>0.78343535552627597</c:v>
                </c:pt>
                <c:pt idx="1">
                  <c:v>0.58888566794099484</c:v>
                </c:pt>
                <c:pt idx="2">
                  <c:v>0.45798727398052186</c:v>
                </c:pt>
              </c:numCache>
            </c:numRef>
          </c:yVal>
          <c:smooth val="0"/>
          <c:extLst>
            <c:ext xmlns:c16="http://schemas.microsoft.com/office/drawing/2014/chart" uri="{C3380CC4-5D6E-409C-BE32-E72D297353CC}">
              <c16:uniqueId val="{00000000-6C89-4EB6-A555-6DCFAE034EBE}"/>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rates'!$CI$57:$CI$59</c:f>
              <c:numCache>
                <c:formatCode>General</c:formatCode>
                <c:ptCount val="3"/>
                <c:pt idx="0">
                  <c:v>10.986328125000018</c:v>
                </c:pt>
                <c:pt idx="1">
                  <c:v>4.8828125000000089</c:v>
                </c:pt>
                <c:pt idx="2">
                  <c:v>3.1389508928571481</c:v>
                </c:pt>
              </c:numCache>
            </c:numRef>
          </c:xVal>
          <c:yVal>
            <c:numRef>
              <c:f>'shear rates'!$P$196:$R$196</c:f>
              <c:numCache>
                <c:formatCode>General</c:formatCode>
                <c:ptCount val="3"/>
                <c:pt idx="0">
                  <c:v>0.74149659863945583</c:v>
                </c:pt>
                <c:pt idx="1">
                  <c:v>0.58278145695364236</c:v>
                </c:pt>
                <c:pt idx="2">
                  <c:v>0.54794520547945202</c:v>
                </c:pt>
              </c:numCache>
            </c:numRef>
          </c:yVal>
          <c:smooth val="0"/>
          <c:extLst>
            <c:ext xmlns:c16="http://schemas.microsoft.com/office/drawing/2014/chart" uri="{C3380CC4-5D6E-409C-BE32-E72D297353CC}">
              <c16:uniqueId val="{00000001-6C89-4EB6-A555-6DCFAE034EBE}"/>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 mm thickness / 60 min annealing</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rates'!$BE$45:$BE$47</c:f>
              <c:numCache>
                <c:formatCode>General</c:formatCode>
                <c:ptCount val="3"/>
                <c:pt idx="0">
                  <c:v>28.125000000000039</c:v>
                </c:pt>
                <c:pt idx="1">
                  <c:v>12.500000000000016</c:v>
                </c:pt>
                <c:pt idx="2">
                  <c:v>8.0357142857142971</c:v>
                </c:pt>
              </c:numCache>
            </c:numRef>
          </c:xVal>
          <c:yVal>
            <c:numRef>
              <c:f>'shear rates'!$U$195:$W$195</c:f>
              <c:numCache>
                <c:formatCode>General</c:formatCode>
                <c:ptCount val="3"/>
                <c:pt idx="0">
                  <c:v>0.68056871347072079</c:v>
                </c:pt>
                <c:pt idx="1">
                  <c:v>0.44956979588191359</c:v>
                </c:pt>
                <c:pt idx="2">
                  <c:v>0.32415706487548002</c:v>
                </c:pt>
              </c:numCache>
            </c:numRef>
          </c:yVal>
          <c:smooth val="0"/>
          <c:extLst>
            <c:ext xmlns:c16="http://schemas.microsoft.com/office/drawing/2014/chart" uri="{C3380CC4-5D6E-409C-BE32-E72D297353CC}">
              <c16:uniqueId val="{00000000-4469-4580-A5D0-00C3FA06C2C8}"/>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rates'!$BE$45:$BE$47</c:f>
              <c:numCache>
                <c:formatCode>General</c:formatCode>
                <c:ptCount val="3"/>
                <c:pt idx="0">
                  <c:v>28.125000000000039</c:v>
                </c:pt>
                <c:pt idx="1">
                  <c:v>12.500000000000016</c:v>
                </c:pt>
                <c:pt idx="2">
                  <c:v>8.0357142857142971</c:v>
                </c:pt>
              </c:numCache>
            </c:numRef>
          </c:xVal>
          <c:yVal>
            <c:numRef>
              <c:f>'shear rates'!$P$195:$R$195</c:f>
              <c:numCache>
                <c:formatCode>General</c:formatCode>
                <c:ptCount val="3"/>
                <c:pt idx="0">
                  <c:v>0.59756097560975607</c:v>
                </c:pt>
                <c:pt idx="1">
                  <c:v>0.44155844155844154</c:v>
                </c:pt>
                <c:pt idx="2">
                  <c:v>0.35802469135802467</c:v>
                </c:pt>
              </c:numCache>
            </c:numRef>
          </c:yVal>
          <c:smooth val="0"/>
          <c:extLst>
            <c:ext xmlns:c16="http://schemas.microsoft.com/office/drawing/2014/chart" uri="{C3380CC4-5D6E-409C-BE32-E72D297353CC}">
              <c16:uniqueId val="{00000001-4469-4580-A5D0-00C3FA06C2C8}"/>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0.5 mm thickness / 30 min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rates'!$AF$32:$AF$34</c:f>
              <c:numCache>
                <c:formatCode>General</c:formatCode>
                <c:ptCount val="3"/>
                <c:pt idx="0">
                  <c:v>112.50000000000001</c:v>
                </c:pt>
                <c:pt idx="1">
                  <c:v>50</c:v>
                </c:pt>
                <c:pt idx="2">
                  <c:v>32.142857142857139</c:v>
                </c:pt>
              </c:numCache>
            </c:numRef>
          </c:xVal>
          <c:yVal>
            <c:numRef>
              <c:f>'shear rates'!$U$194:$W$194</c:f>
              <c:numCache>
                <c:formatCode>General</c:formatCode>
                <c:ptCount val="3"/>
                <c:pt idx="0">
                  <c:v>0.48486185601933163</c:v>
                </c:pt>
                <c:pt idx="1">
                  <c:v>0.26233674012824942</c:v>
                </c:pt>
                <c:pt idx="2">
                  <c:v>0.17552902607316251</c:v>
                </c:pt>
              </c:numCache>
            </c:numRef>
          </c:yVal>
          <c:smooth val="0"/>
          <c:extLst>
            <c:ext xmlns:c16="http://schemas.microsoft.com/office/drawing/2014/chart" uri="{C3380CC4-5D6E-409C-BE32-E72D297353CC}">
              <c16:uniqueId val="{00000000-539A-4053-A899-83CD77350C1B}"/>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rates'!$AF$32:$AF$34</c:f>
              <c:numCache>
                <c:formatCode>General</c:formatCode>
                <c:ptCount val="3"/>
                <c:pt idx="0">
                  <c:v>112.50000000000001</c:v>
                </c:pt>
                <c:pt idx="1">
                  <c:v>50</c:v>
                </c:pt>
                <c:pt idx="2">
                  <c:v>32.142857142857139</c:v>
                </c:pt>
              </c:numCache>
            </c:numRef>
          </c:xVal>
          <c:yVal>
            <c:numRef>
              <c:f>'shear rates'!$P$194:$R$194</c:f>
              <c:numCache>
                <c:formatCode>General</c:formatCode>
                <c:ptCount val="3"/>
                <c:pt idx="0">
                  <c:v>0.41176470588235292</c:v>
                </c:pt>
                <c:pt idx="1">
                  <c:v>0.31147540983606559</c:v>
                </c:pt>
                <c:pt idx="2">
                  <c:v>0.29090909090909089</c:v>
                </c:pt>
              </c:numCache>
            </c:numRef>
          </c:yVal>
          <c:smooth val="0"/>
          <c:extLst>
            <c:ext xmlns:c16="http://schemas.microsoft.com/office/drawing/2014/chart" uri="{C3380CC4-5D6E-409C-BE32-E72D297353CC}">
              <c16:uniqueId val="{00000001-539A-4053-A899-83CD77350C1B}"/>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0.3 mm thickness / 60 min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1"/>
          <c:order val="0"/>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rates'!$V$19:$V$21</c:f>
              <c:numCache>
                <c:formatCode>General</c:formatCode>
                <c:ptCount val="3"/>
                <c:pt idx="0">
                  <c:v>312.50000000000006</c:v>
                </c:pt>
                <c:pt idx="1">
                  <c:v>138.88888888888894</c:v>
                </c:pt>
                <c:pt idx="2">
                  <c:v>89.285714285714306</c:v>
                </c:pt>
              </c:numCache>
            </c:numRef>
          </c:xVal>
          <c:yVal>
            <c:numRef>
              <c:f>'shear rates'!$P$193:$R$193</c:f>
              <c:numCache>
                <c:formatCode>General</c:formatCode>
                <c:ptCount val="3"/>
                <c:pt idx="0">
                  <c:v>0</c:v>
                </c:pt>
                <c:pt idx="1">
                  <c:v>0.3</c:v>
                </c:pt>
                <c:pt idx="2">
                  <c:v>0.31746031746031744</c:v>
                </c:pt>
              </c:numCache>
            </c:numRef>
          </c:yVal>
          <c:smooth val="0"/>
          <c:extLst>
            <c:ext xmlns:c16="http://schemas.microsoft.com/office/drawing/2014/chart" uri="{C3380CC4-5D6E-409C-BE32-E72D297353CC}">
              <c16:uniqueId val="{00000000-04D8-44F7-AD09-D0F7C3BA8176}"/>
            </c:ext>
          </c:extLst>
        </c:ser>
        <c:ser>
          <c:idx val="0"/>
          <c:order val="1"/>
          <c:tx>
            <c:v>Predicted core fraction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rates'!$V$19:$V$21</c:f>
              <c:numCache>
                <c:formatCode>General</c:formatCode>
                <c:ptCount val="3"/>
                <c:pt idx="0">
                  <c:v>312.50000000000006</c:v>
                </c:pt>
                <c:pt idx="1">
                  <c:v>138.88888888888894</c:v>
                </c:pt>
                <c:pt idx="2">
                  <c:v>89.285714285714306</c:v>
                </c:pt>
              </c:numCache>
            </c:numRef>
          </c:xVal>
          <c:yVal>
            <c:numRef>
              <c:f>'shear rates'!$U$193:$W$193</c:f>
              <c:numCache>
                <c:formatCode>General</c:formatCode>
                <c:ptCount val="3"/>
                <c:pt idx="0">
                  <c:v>0.33710782464962169</c:v>
                </c:pt>
                <c:pt idx="1">
                  <c:v>0.16446305887491267</c:v>
                </c:pt>
                <c:pt idx="2">
                  <c:v>0.10741174180904457</c:v>
                </c:pt>
              </c:numCache>
            </c:numRef>
          </c:yVal>
          <c:smooth val="0"/>
          <c:extLst>
            <c:ext xmlns:c16="http://schemas.microsoft.com/office/drawing/2014/chart" uri="{C3380CC4-5D6E-409C-BE32-E72D297353CC}">
              <c16:uniqueId val="{00000001-04D8-44F7-AD09-D0F7C3BA8176}"/>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layout>
            <c:manualLayout>
              <c:xMode val="edge"/>
              <c:yMode val="edge"/>
              <c:x val="4.5590157232118636E-4"/>
              <c:y val="0.3182709415922610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8150439258678397"/>
          <c:h val="0.11693337796481858"/>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0.3 mm thickness / 30 min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1"/>
          <c:order val="0"/>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rates'!$V$19:$V$21</c:f>
              <c:numCache>
                <c:formatCode>General</c:formatCode>
                <c:ptCount val="3"/>
                <c:pt idx="0">
                  <c:v>312.50000000000006</c:v>
                </c:pt>
                <c:pt idx="1">
                  <c:v>138.88888888888894</c:v>
                </c:pt>
                <c:pt idx="2">
                  <c:v>89.285714285714306</c:v>
                </c:pt>
              </c:numCache>
            </c:numRef>
          </c:xVal>
          <c:yVal>
            <c:numRef>
              <c:f>'shear rates'!$V$184:$X$184</c:f>
              <c:numCache>
                <c:formatCode>General</c:formatCode>
                <c:ptCount val="3"/>
                <c:pt idx="0">
                  <c:v>0.8</c:v>
                </c:pt>
                <c:pt idx="1">
                  <c:v>0.30303030303030304</c:v>
                </c:pt>
                <c:pt idx="2">
                  <c:v>0</c:v>
                </c:pt>
              </c:numCache>
            </c:numRef>
          </c:yVal>
          <c:smooth val="0"/>
          <c:extLst>
            <c:ext xmlns:c16="http://schemas.microsoft.com/office/drawing/2014/chart" uri="{C3380CC4-5D6E-409C-BE32-E72D297353CC}">
              <c16:uniqueId val="{00000000-F5BF-4F0B-B2FA-5DD63778192C}"/>
            </c:ext>
          </c:extLst>
        </c:ser>
        <c:ser>
          <c:idx val="0"/>
          <c:order val="1"/>
          <c:tx>
            <c:v>Predicted core fraction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rates'!$V$19:$V$21</c:f>
              <c:numCache>
                <c:formatCode>General</c:formatCode>
                <c:ptCount val="3"/>
                <c:pt idx="0">
                  <c:v>312.50000000000006</c:v>
                </c:pt>
                <c:pt idx="1">
                  <c:v>138.88888888888894</c:v>
                </c:pt>
                <c:pt idx="2">
                  <c:v>89.285714285714306</c:v>
                </c:pt>
              </c:numCache>
            </c:numRef>
          </c:xVal>
          <c:yVal>
            <c:numRef>
              <c:f>'shear rates'!$AB$184:$AD$184</c:f>
              <c:numCache>
                <c:formatCode>General</c:formatCode>
                <c:ptCount val="3"/>
                <c:pt idx="0">
                  <c:v>0.33710782464962169</c:v>
                </c:pt>
                <c:pt idx="1">
                  <c:v>0.16446305887491267</c:v>
                </c:pt>
                <c:pt idx="2">
                  <c:v>0.10741174180904457</c:v>
                </c:pt>
              </c:numCache>
            </c:numRef>
          </c:yVal>
          <c:smooth val="0"/>
          <c:extLst>
            <c:ext xmlns:c16="http://schemas.microsoft.com/office/drawing/2014/chart" uri="{C3380CC4-5D6E-409C-BE32-E72D297353CC}">
              <c16:uniqueId val="{00000001-F5BF-4F0B-B2FA-5DD63778192C}"/>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layout>
            <c:manualLayout>
              <c:xMode val="edge"/>
              <c:yMode val="edge"/>
              <c:x val="4.5590157232118636E-4"/>
              <c:y val="0.3182709415922610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8150439258678397"/>
          <c:h val="0.16807338548135717"/>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0.5 mm thickness / 60 min annealing &amp; cooling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rates'!$AF$32:$AF$34</c:f>
              <c:numCache>
                <c:formatCode>General</c:formatCode>
                <c:ptCount val="3"/>
                <c:pt idx="0">
                  <c:v>112.50000000000001</c:v>
                </c:pt>
                <c:pt idx="1">
                  <c:v>50</c:v>
                </c:pt>
                <c:pt idx="2">
                  <c:v>32.142857142857139</c:v>
                </c:pt>
              </c:numCache>
            </c:numRef>
          </c:xVal>
          <c:yVal>
            <c:numRef>
              <c:f>'shear rates'!$AB$185:$AD$185</c:f>
              <c:numCache>
                <c:formatCode>General</c:formatCode>
                <c:ptCount val="3"/>
                <c:pt idx="0">
                  <c:v>0.48486185601933163</c:v>
                </c:pt>
                <c:pt idx="1">
                  <c:v>0.26233674012824942</c:v>
                </c:pt>
                <c:pt idx="2">
                  <c:v>0.17552902607316251</c:v>
                </c:pt>
              </c:numCache>
            </c:numRef>
          </c:yVal>
          <c:smooth val="0"/>
          <c:extLst>
            <c:ext xmlns:c16="http://schemas.microsoft.com/office/drawing/2014/chart" uri="{C3380CC4-5D6E-409C-BE32-E72D297353CC}">
              <c16:uniqueId val="{00000000-1D87-46E5-9605-B76E19A06AF3}"/>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rates'!$AF$32:$AF$34</c:f>
              <c:numCache>
                <c:formatCode>General</c:formatCode>
                <c:ptCount val="3"/>
                <c:pt idx="0">
                  <c:v>112.50000000000001</c:v>
                </c:pt>
                <c:pt idx="1">
                  <c:v>50</c:v>
                </c:pt>
                <c:pt idx="2">
                  <c:v>32.142857142857139</c:v>
                </c:pt>
              </c:numCache>
            </c:numRef>
          </c:xVal>
          <c:yVal>
            <c:numRef>
              <c:f>'shear rates'!$V$185:$X$185</c:f>
              <c:numCache>
                <c:formatCode>General</c:formatCode>
                <c:ptCount val="3"/>
                <c:pt idx="0">
                  <c:v>0.56666666666666665</c:v>
                </c:pt>
                <c:pt idx="1">
                  <c:v>0.48275862068965519</c:v>
                </c:pt>
                <c:pt idx="2">
                  <c:v>0.27272727272727271</c:v>
                </c:pt>
              </c:numCache>
            </c:numRef>
          </c:yVal>
          <c:smooth val="0"/>
          <c:extLst>
            <c:ext xmlns:c16="http://schemas.microsoft.com/office/drawing/2014/chart" uri="{C3380CC4-5D6E-409C-BE32-E72D297353CC}">
              <c16:uniqueId val="{00000001-1D87-46E5-9605-B76E19A06AF3}"/>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 mm thickness / 30 min annealing</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rates'!$BE$45:$BE$47</c:f>
              <c:numCache>
                <c:formatCode>General</c:formatCode>
                <c:ptCount val="3"/>
                <c:pt idx="0">
                  <c:v>28.125000000000039</c:v>
                </c:pt>
                <c:pt idx="1">
                  <c:v>12.500000000000016</c:v>
                </c:pt>
                <c:pt idx="2">
                  <c:v>8.0357142857142971</c:v>
                </c:pt>
              </c:numCache>
            </c:numRef>
          </c:xVal>
          <c:yVal>
            <c:numRef>
              <c:f>'shear rates'!$AB$186:$AD$186</c:f>
              <c:numCache>
                <c:formatCode>General</c:formatCode>
                <c:ptCount val="3"/>
                <c:pt idx="0">
                  <c:v>0.68056871347072079</c:v>
                </c:pt>
                <c:pt idx="1">
                  <c:v>0.44956979588191359</c:v>
                </c:pt>
                <c:pt idx="2">
                  <c:v>0.32415706487548002</c:v>
                </c:pt>
              </c:numCache>
            </c:numRef>
          </c:yVal>
          <c:smooth val="0"/>
          <c:extLst>
            <c:ext xmlns:c16="http://schemas.microsoft.com/office/drawing/2014/chart" uri="{C3380CC4-5D6E-409C-BE32-E72D297353CC}">
              <c16:uniqueId val="{00000000-3706-4B91-ACDC-9A718BB67501}"/>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rates'!$BE$45:$BE$47</c:f>
              <c:numCache>
                <c:formatCode>General</c:formatCode>
                <c:ptCount val="3"/>
                <c:pt idx="0">
                  <c:v>28.125000000000039</c:v>
                </c:pt>
                <c:pt idx="1">
                  <c:v>12.500000000000016</c:v>
                </c:pt>
                <c:pt idx="2">
                  <c:v>8.0357142857142971</c:v>
                </c:pt>
              </c:numCache>
            </c:numRef>
          </c:xVal>
          <c:yVal>
            <c:numRef>
              <c:f>'shear rates'!$V$186:$X$186</c:f>
              <c:numCache>
                <c:formatCode>General</c:formatCode>
                <c:ptCount val="3"/>
                <c:pt idx="0">
                  <c:v>0.5662650602409639</c:v>
                </c:pt>
                <c:pt idx="1">
                  <c:v>0.40963855421686746</c:v>
                </c:pt>
                <c:pt idx="2">
                  <c:v>0.3125</c:v>
                </c:pt>
              </c:numCache>
            </c:numRef>
          </c:yVal>
          <c:smooth val="0"/>
          <c:extLst>
            <c:ext xmlns:c16="http://schemas.microsoft.com/office/drawing/2014/chart" uri="{C3380CC4-5D6E-409C-BE32-E72D297353CC}">
              <c16:uniqueId val="{00000001-3706-4B91-ACDC-9A718BB67501}"/>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1.6 mm thickness / 60 min annealiing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rates'!$CI$57:$CI$59</c:f>
              <c:numCache>
                <c:formatCode>General</c:formatCode>
                <c:ptCount val="3"/>
                <c:pt idx="0">
                  <c:v>10.986328125000018</c:v>
                </c:pt>
                <c:pt idx="1">
                  <c:v>4.8828125000000089</c:v>
                </c:pt>
                <c:pt idx="2">
                  <c:v>3.1389508928571481</c:v>
                </c:pt>
              </c:numCache>
            </c:numRef>
          </c:xVal>
          <c:yVal>
            <c:numRef>
              <c:f>'shear rates'!$AB$187:$AD$187</c:f>
              <c:numCache>
                <c:formatCode>General</c:formatCode>
                <c:ptCount val="3"/>
                <c:pt idx="0">
                  <c:v>0.78343535552627597</c:v>
                </c:pt>
                <c:pt idx="1">
                  <c:v>0.58888566794099484</c:v>
                </c:pt>
                <c:pt idx="2">
                  <c:v>0.45798727398052186</c:v>
                </c:pt>
              </c:numCache>
            </c:numRef>
          </c:yVal>
          <c:smooth val="0"/>
          <c:extLst>
            <c:ext xmlns:c16="http://schemas.microsoft.com/office/drawing/2014/chart" uri="{C3380CC4-5D6E-409C-BE32-E72D297353CC}">
              <c16:uniqueId val="{00000000-844C-4C36-8F6E-7FFEBF3475BC}"/>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rates'!$CI$57:$CI$59</c:f>
              <c:numCache>
                <c:formatCode>General</c:formatCode>
                <c:ptCount val="3"/>
                <c:pt idx="0">
                  <c:v>10.986328125000018</c:v>
                </c:pt>
                <c:pt idx="1">
                  <c:v>4.8828125000000089</c:v>
                </c:pt>
                <c:pt idx="2">
                  <c:v>3.1389508928571481</c:v>
                </c:pt>
              </c:numCache>
            </c:numRef>
          </c:xVal>
          <c:yVal>
            <c:numRef>
              <c:f>'shear rates'!$V$187:$X$187</c:f>
              <c:numCache>
                <c:formatCode>General</c:formatCode>
                <c:ptCount val="3"/>
                <c:pt idx="0">
                  <c:v>0.80838323353293418</c:v>
                </c:pt>
                <c:pt idx="1">
                  <c:v>0.90410958904109584</c:v>
                </c:pt>
                <c:pt idx="2">
                  <c:v>0.91275167785234901</c:v>
                </c:pt>
              </c:numCache>
            </c:numRef>
          </c:yVal>
          <c:smooth val="0"/>
          <c:extLst>
            <c:ext xmlns:c16="http://schemas.microsoft.com/office/drawing/2014/chart" uri="{C3380CC4-5D6E-409C-BE32-E72D297353CC}">
              <c16:uniqueId val="{00000001-844C-4C36-8F6E-7FFEBF3475BC}"/>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Newtonian extension rate 12 mm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Extension rate 0.3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rates'!$G$14:$V$14</c:f>
              <c:numCache>
                <c:formatCode>General</c:formatCode>
                <c:ptCount val="16"/>
                <c:pt idx="0">
                  <c:v>2.7621358640099518</c:v>
                </c:pt>
                <c:pt idx="1">
                  <c:v>2.749859704614352</c:v>
                </c:pt>
                <c:pt idx="2">
                  <c:v>2.7130312264275527</c:v>
                </c:pt>
                <c:pt idx="3">
                  <c:v>2.6516504294495538</c:v>
                </c:pt>
                <c:pt idx="4">
                  <c:v>2.5657173136803553</c:v>
                </c:pt>
                <c:pt idx="5">
                  <c:v>2.4552318791199572</c:v>
                </c:pt>
                <c:pt idx="6">
                  <c:v>2.3201941257683596</c:v>
                </c:pt>
                <c:pt idx="7">
                  <c:v>2.160604053625562</c:v>
                </c:pt>
                <c:pt idx="8">
                  <c:v>1.9764616626915654</c:v>
                </c:pt>
                <c:pt idx="9">
                  <c:v>1.7677669529663689</c:v>
                </c:pt>
                <c:pt idx="10">
                  <c:v>1.534519924449973</c:v>
                </c:pt>
                <c:pt idx="11">
                  <c:v>1.2767205771423773</c:v>
                </c:pt>
                <c:pt idx="12">
                  <c:v>0.99436891104358227</c:v>
                </c:pt>
                <c:pt idx="13">
                  <c:v>0.68746492615358723</c:v>
                </c:pt>
                <c:pt idx="14">
                  <c:v>0.35600862247239301</c:v>
                </c:pt>
                <c:pt idx="15">
                  <c:v>6.1331736667334975E-16</c:v>
                </c:pt>
              </c:numCache>
            </c:numRef>
          </c:yVal>
          <c:smooth val="0"/>
          <c:extLst>
            <c:ext xmlns:c16="http://schemas.microsoft.com/office/drawing/2014/chart" uri="{C3380CC4-5D6E-409C-BE32-E72D297353CC}">
              <c16:uniqueId val="{00000000-6F2E-4F66-99F0-08BD488F563B}"/>
            </c:ext>
          </c:extLst>
        </c:ser>
        <c:ser>
          <c:idx val="6"/>
          <c:order val="1"/>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rates'!$CN$277:$DC$277</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rates'!$G$14:$V$14</c:f>
              <c:numCache>
                <c:formatCode>General</c:formatCode>
                <c:ptCount val="16"/>
                <c:pt idx="0">
                  <c:v>2.7621358640099518</c:v>
                </c:pt>
                <c:pt idx="1">
                  <c:v>2.749859704614352</c:v>
                </c:pt>
                <c:pt idx="2">
                  <c:v>2.7130312264275527</c:v>
                </c:pt>
                <c:pt idx="3">
                  <c:v>2.6516504294495538</c:v>
                </c:pt>
                <c:pt idx="4">
                  <c:v>2.5657173136803553</c:v>
                </c:pt>
                <c:pt idx="5">
                  <c:v>2.4552318791199572</c:v>
                </c:pt>
                <c:pt idx="6">
                  <c:v>2.3201941257683596</c:v>
                </c:pt>
                <c:pt idx="7">
                  <c:v>2.160604053625562</c:v>
                </c:pt>
                <c:pt idx="8">
                  <c:v>1.9764616626915654</c:v>
                </c:pt>
                <c:pt idx="9">
                  <c:v>1.7677669529663689</c:v>
                </c:pt>
                <c:pt idx="10">
                  <c:v>1.534519924449973</c:v>
                </c:pt>
                <c:pt idx="11">
                  <c:v>1.2767205771423773</c:v>
                </c:pt>
                <c:pt idx="12">
                  <c:v>0.99436891104358227</c:v>
                </c:pt>
                <c:pt idx="13">
                  <c:v>0.68746492615358723</c:v>
                </c:pt>
                <c:pt idx="14">
                  <c:v>0.35600862247239301</c:v>
                </c:pt>
                <c:pt idx="15">
                  <c:v>6.1331736667334975E-16</c:v>
                </c:pt>
              </c:numCache>
            </c:numRef>
          </c:yVal>
          <c:smooth val="0"/>
          <c:extLst>
            <c:ext xmlns:c16="http://schemas.microsoft.com/office/drawing/2014/chart" uri="{C3380CC4-5D6E-409C-BE32-E72D297353CC}">
              <c16:uniqueId val="{00000008-6F2E-4F66-99F0-08BD488F563B}"/>
            </c:ext>
          </c:extLst>
        </c:ser>
        <c:ser>
          <c:idx val="12"/>
          <c:order val="2"/>
          <c:tx>
            <c:v>Extension rate 1.6 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rates'!$CM$263:$FO$263</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rates'!$G$52:$CI$52</c:f>
              <c:numCache>
                <c:formatCode>General</c:formatCode>
                <c:ptCount val="81"/>
                <c:pt idx="0">
                  <c:v>0.51790047450186594</c:v>
                </c:pt>
                <c:pt idx="1">
                  <c:v>0.51781955255272505</c:v>
                </c:pt>
                <c:pt idx="2">
                  <c:v>0.51757678670530227</c:v>
                </c:pt>
                <c:pt idx="3">
                  <c:v>0.51717217695959761</c:v>
                </c:pt>
                <c:pt idx="4">
                  <c:v>0.51660572331561128</c:v>
                </c:pt>
                <c:pt idx="5">
                  <c:v>0.51587742577334306</c:v>
                </c:pt>
                <c:pt idx="6">
                  <c:v>0.51498728433279295</c:v>
                </c:pt>
                <c:pt idx="7">
                  <c:v>0.51393529899396106</c:v>
                </c:pt>
                <c:pt idx="8">
                  <c:v>0.51272146975684729</c:v>
                </c:pt>
                <c:pt idx="9">
                  <c:v>0.51134579662145163</c:v>
                </c:pt>
                <c:pt idx="10">
                  <c:v>0.5098082795877743</c:v>
                </c:pt>
                <c:pt idx="11">
                  <c:v>0.50810891865581498</c:v>
                </c:pt>
                <c:pt idx="12">
                  <c:v>0.50624771382557399</c:v>
                </c:pt>
                <c:pt idx="13">
                  <c:v>0.50422466509705111</c:v>
                </c:pt>
                <c:pt idx="14">
                  <c:v>0.50203977247024634</c:v>
                </c:pt>
                <c:pt idx="15">
                  <c:v>0.49969303594515974</c:v>
                </c:pt>
                <c:pt idx="16">
                  <c:v>0.4971844555217913</c:v>
                </c:pt>
                <c:pt idx="17">
                  <c:v>0.49451403120014104</c:v>
                </c:pt>
                <c:pt idx="18">
                  <c:v>0.49168176298020894</c:v>
                </c:pt>
                <c:pt idx="19">
                  <c:v>0.48868765086199506</c:v>
                </c:pt>
                <c:pt idx="20">
                  <c:v>0.4855316948454993</c:v>
                </c:pt>
                <c:pt idx="21">
                  <c:v>0.48221389493072175</c:v>
                </c:pt>
                <c:pt idx="22">
                  <c:v>0.47873425111766232</c:v>
                </c:pt>
                <c:pt idx="23">
                  <c:v>0.47509276340632106</c:v>
                </c:pt>
                <c:pt idx="24">
                  <c:v>0.47128943179669802</c:v>
                </c:pt>
                <c:pt idx="25">
                  <c:v>0.46732425628879309</c:v>
                </c:pt>
                <c:pt idx="26">
                  <c:v>0.46319723688260639</c:v>
                </c:pt>
                <c:pt idx="27">
                  <c:v>0.45890837357813774</c:v>
                </c:pt>
                <c:pt idx="28">
                  <c:v>0.45445766637538731</c:v>
                </c:pt>
                <c:pt idx="29">
                  <c:v>0.44984511527435511</c:v>
                </c:pt>
                <c:pt idx="30">
                  <c:v>0.44507072027504097</c:v>
                </c:pt>
                <c:pt idx="31">
                  <c:v>0.44013448137744504</c:v>
                </c:pt>
                <c:pt idx="32">
                  <c:v>0.43503639858156734</c:v>
                </c:pt>
                <c:pt idx="33">
                  <c:v>0.4297764718874077</c:v>
                </c:pt>
                <c:pt idx="34">
                  <c:v>0.42435470129496627</c:v>
                </c:pt>
                <c:pt idx="35">
                  <c:v>0.41877108680424302</c:v>
                </c:pt>
                <c:pt idx="36">
                  <c:v>0.41302562841523793</c:v>
                </c:pt>
                <c:pt idx="37">
                  <c:v>0.40711832612795096</c:v>
                </c:pt>
                <c:pt idx="38">
                  <c:v>0.40104917994238221</c:v>
                </c:pt>
                <c:pt idx="39">
                  <c:v>0.39481818985853162</c:v>
                </c:pt>
                <c:pt idx="40">
                  <c:v>0.3884253558763992</c:v>
                </c:pt>
                <c:pt idx="41">
                  <c:v>0.38187067799598495</c:v>
                </c:pt>
                <c:pt idx="42">
                  <c:v>0.37515415621728881</c:v>
                </c:pt>
                <c:pt idx="43">
                  <c:v>0.36827579054031095</c:v>
                </c:pt>
                <c:pt idx="44">
                  <c:v>0.36123558096505115</c:v>
                </c:pt>
                <c:pt idx="45">
                  <c:v>0.35403352749150957</c:v>
                </c:pt>
                <c:pt idx="46">
                  <c:v>0.3466696301196861</c:v>
                </c:pt>
                <c:pt idx="47">
                  <c:v>0.3391438888495808</c:v>
                </c:pt>
                <c:pt idx="48">
                  <c:v>0.33145630368119372</c:v>
                </c:pt>
                <c:pt idx="49">
                  <c:v>0.32360687461452481</c:v>
                </c:pt>
                <c:pt idx="50">
                  <c:v>0.31559560164957395</c:v>
                </c:pt>
                <c:pt idx="51">
                  <c:v>0.30742248478634143</c:v>
                </c:pt>
                <c:pt idx="52">
                  <c:v>0.29908752402482697</c:v>
                </c:pt>
                <c:pt idx="53">
                  <c:v>0.29059071936503073</c:v>
                </c:pt>
                <c:pt idx="54">
                  <c:v>0.28193207080695259</c:v>
                </c:pt>
                <c:pt idx="55">
                  <c:v>0.27311157835059269</c:v>
                </c:pt>
                <c:pt idx="56">
                  <c:v>0.26412924199595095</c:v>
                </c:pt>
                <c:pt idx="57">
                  <c:v>0.25498506174302732</c:v>
                </c:pt>
                <c:pt idx="58">
                  <c:v>0.24567903759182183</c:v>
                </c:pt>
                <c:pt idx="59">
                  <c:v>0.23621116954233459</c:v>
                </c:pt>
                <c:pt idx="60">
                  <c:v>0.22658145759456549</c:v>
                </c:pt>
                <c:pt idx="61">
                  <c:v>0.21678990174851451</c:v>
                </c:pt>
                <c:pt idx="62">
                  <c:v>0.20683650200418174</c:v>
                </c:pt>
                <c:pt idx="63">
                  <c:v>0.19672125836156712</c:v>
                </c:pt>
                <c:pt idx="64">
                  <c:v>0.18644417082067063</c:v>
                </c:pt>
                <c:pt idx="65">
                  <c:v>0.1760052393814924</c:v>
                </c:pt>
                <c:pt idx="66">
                  <c:v>0.16540446404403228</c:v>
                </c:pt>
                <c:pt idx="67">
                  <c:v>0.15464184480829032</c:v>
                </c:pt>
                <c:pt idx="68">
                  <c:v>0.14371738167426656</c:v>
                </c:pt>
                <c:pt idx="69">
                  <c:v>0.13263107464196092</c:v>
                </c:pt>
                <c:pt idx="70">
                  <c:v>0.12138292371137351</c:v>
                </c:pt>
                <c:pt idx="71">
                  <c:v>0.10997292888250418</c:v>
                </c:pt>
                <c:pt idx="72">
                  <c:v>9.8401090155353116E-2</c:v>
                </c:pt>
                <c:pt idx="73">
                  <c:v>8.6667407529920193E-2</c:v>
                </c:pt>
                <c:pt idx="74">
                  <c:v>7.477188100620541E-2</c:v>
                </c:pt>
                <c:pt idx="75">
                  <c:v>6.2714510584208724E-2</c:v>
                </c:pt>
                <c:pt idx="76">
                  <c:v>5.0495296263930338E-2</c:v>
                </c:pt>
                <c:pt idx="77">
                  <c:v>3.8114238045370036E-2</c:v>
                </c:pt>
                <c:pt idx="78">
                  <c:v>2.5571335928527877E-2</c:v>
                </c:pt>
                <c:pt idx="79">
                  <c:v>1.2866589913403977E-2</c:v>
                </c:pt>
                <c:pt idx="80">
                  <c:v>1.8399521000200492E-15</c:v>
                </c:pt>
              </c:numCache>
            </c:numRef>
          </c:yVal>
          <c:smooth val="0"/>
          <c:extLst>
            <c:ext xmlns:c16="http://schemas.microsoft.com/office/drawing/2014/chart" uri="{C3380CC4-5D6E-409C-BE32-E72D297353CC}">
              <c16:uniqueId val="{0000000E-6F2E-4F66-99F0-08BD488F563B}"/>
            </c:ext>
          </c:extLst>
        </c:ser>
        <c:ser>
          <c:idx val="14"/>
          <c:order val="3"/>
          <c:spPr>
            <a:ln w="19050" cap="rnd">
              <a:solidFill>
                <a:srgbClr val="FF0000"/>
              </a:solidFill>
              <a:round/>
            </a:ln>
            <a:effectLst/>
          </c:spPr>
          <c:marker>
            <c:symbol val="circle"/>
            <c:size val="5"/>
            <c:spPr>
              <a:solidFill>
                <a:srgbClr val="FF0000"/>
              </a:solidFill>
              <a:ln w="25400">
                <a:solidFill>
                  <a:srgbClr val="FF0000"/>
                </a:solidFill>
              </a:ln>
              <a:effectLst/>
            </c:spPr>
          </c:marker>
          <c:dPt>
            <c:idx val="13"/>
            <c:marker>
              <c:symbol val="circle"/>
              <c:size val="5"/>
              <c:spPr>
                <a:solidFill>
                  <a:srgbClr val="FF0000"/>
                </a:solidFill>
                <a:ln w="25400">
                  <a:solidFill>
                    <a:srgbClr val="FF0000"/>
                  </a:solidFill>
                </a:ln>
                <a:effectLst/>
              </c:spPr>
            </c:marker>
            <c:bubble3D val="0"/>
            <c:spPr>
              <a:ln w="12700" cap="rnd">
                <a:solidFill>
                  <a:srgbClr val="FF0000"/>
                </a:solidFill>
                <a:round/>
              </a:ln>
              <a:effectLst/>
            </c:spPr>
            <c:extLst>
              <c:ext xmlns:c16="http://schemas.microsoft.com/office/drawing/2014/chart" uri="{C3380CC4-5D6E-409C-BE32-E72D297353CC}">
                <c16:uniqueId val="{00000013-6F2E-4F66-99F0-08BD488F563B}"/>
              </c:ext>
            </c:extLst>
          </c:dPt>
          <c:xVal>
            <c:numRef>
              <c:f>'shear rates'!$CN$286:$FP$286</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rates'!$G$52:$CI$52</c:f>
              <c:numCache>
                <c:formatCode>General</c:formatCode>
                <c:ptCount val="81"/>
                <c:pt idx="0">
                  <c:v>0.51790047450186594</c:v>
                </c:pt>
                <c:pt idx="1">
                  <c:v>0.51781955255272505</c:v>
                </c:pt>
                <c:pt idx="2">
                  <c:v>0.51757678670530227</c:v>
                </c:pt>
                <c:pt idx="3">
                  <c:v>0.51717217695959761</c:v>
                </c:pt>
                <c:pt idx="4">
                  <c:v>0.51660572331561128</c:v>
                </c:pt>
                <c:pt idx="5">
                  <c:v>0.51587742577334306</c:v>
                </c:pt>
                <c:pt idx="6">
                  <c:v>0.51498728433279295</c:v>
                </c:pt>
                <c:pt idx="7">
                  <c:v>0.51393529899396106</c:v>
                </c:pt>
                <c:pt idx="8">
                  <c:v>0.51272146975684729</c:v>
                </c:pt>
                <c:pt idx="9">
                  <c:v>0.51134579662145163</c:v>
                </c:pt>
                <c:pt idx="10">
                  <c:v>0.5098082795877743</c:v>
                </c:pt>
                <c:pt idx="11">
                  <c:v>0.50810891865581498</c:v>
                </c:pt>
                <c:pt idx="12">
                  <c:v>0.50624771382557399</c:v>
                </c:pt>
                <c:pt idx="13">
                  <c:v>0.50422466509705111</c:v>
                </c:pt>
                <c:pt idx="14">
                  <c:v>0.50203977247024634</c:v>
                </c:pt>
                <c:pt idx="15">
                  <c:v>0.49969303594515974</c:v>
                </c:pt>
                <c:pt idx="16">
                  <c:v>0.4971844555217913</c:v>
                </c:pt>
                <c:pt idx="17">
                  <c:v>0.49451403120014104</c:v>
                </c:pt>
                <c:pt idx="18">
                  <c:v>0.49168176298020894</c:v>
                </c:pt>
                <c:pt idx="19">
                  <c:v>0.48868765086199506</c:v>
                </c:pt>
                <c:pt idx="20">
                  <c:v>0.4855316948454993</c:v>
                </c:pt>
                <c:pt idx="21">
                  <c:v>0.48221389493072175</c:v>
                </c:pt>
                <c:pt idx="22">
                  <c:v>0.47873425111766232</c:v>
                </c:pt>
                <c:pt idx="23">
                  <c:v>0.47509276340632106</c:v>
                </c:pt>
                <c:pt idx="24">
                  <c:v>0.47128943179669802</c:v>
                </c:pt>
                <c:pt idx="25">
                  <c:v>0.46732425628879309</c:v>
                </c:pt>
                <c:pt idx="26">
                  <c:v>0.46319723688260639</c:v>
                </c:pt>
                <c:pt idx="27">
                  <c:v>0.45890837357813774</c:v>
                </c:pt>
                <c:pt idx="28">
                  <c:v>0.45445766637538731</c:v>
                </c:pt>
                <c:pt idx="29">
                  <c:v>0.44984511527435511</c:v>
                </c:pt>
                <c:pt idx="30">
                  <c:v>0.44507072027504097</c:v>
                </c:pt>
                <c:pt idx="31">
                  <c:v>0.44013448137744504</c:v>
                </c:pt>
                <c:pt idx="32">
                  <c:v>0.43503639858156734</c:v>
                </c:pt>
                <c:pt idx="33">
                  <c:v>0.4297764718874077</c:v>
                </c:pt>
                <c:pt idx="34">
                  <c:v>0.42435470129496627</c:v>
                </c:pt>
                <c:pt idx="35">
                  <c:v>0.41877108680424302</c:v>
                </c:pt>
                <c:pt idx="36">
                  <c:v>0.41302562841523793</c:v>
                </c:pt>
                <c:pt idx="37">
                  <c:v>0.40711832612795096</c:v>
                </c:pt>
                <c:pt idx="38">
                  <c:v>0.40104917994238221</c:v>
                </c:pt>
                <c:pt idx="39">
                  <c:v>0.39481818985853162</c:v>
                </c:pt>
                <c:pt idx="40">
                  <c:v>0.3884253558763992</c:v>
                </c:pt>
                <c:pt idx="41">
                  <c:v>0.38187067799598495</c:v>
                </c:pt>
                <c:pt idx="42">
                  <c:v>0.37515415621728881</c:v>
                </c:pt>
                <c:pt idx="43">
                  <c:v>0.36827579054031095</c:v>
                </c:pt>
                <c:pt idx="44">
                  <c:v>0.36123558096505115</c:v>
                </c:pt>
                <c:pt idx="45">
                  <c:v>0.35403352749150957</c:v>
                </c:pt>
                <c:pt idx="46">
                  <c:v>0.3466696301196861</c:v>
                </c:pt>
                <c:pt idx="47">
                  <c:v>0.3391438888495808</c:v>
                </c:pt>
                <c:pt idx="48">
                  <c:v>0.33145630368119372</c:v>
                </c:pt>
                <c:pt idx="49">
                  <c:v>0.32360687461452481</c:v>
                </c:pt>
                <c:pt idx="50">
                  <c:v>0.31559560164957395</c:v>
                </c:pt>
                <c:pt idx="51">
                  <c:v>0.30742248478634143</c:v>
                </c:pt>
                <c:pt idx="52">
                  <c:v>0.29908752402482697</c:v>
                </c:pt>
                <c:pt idx="53">
                  <c:v>0.29059071936503073</c:v>
                </c:pt>
                <c:pt idx="54">
                  <c:v>0.28193207080695259</c:v>
                </c:pt>
                <c:pt idx="55">
                  <c:v>0.27311157835059269</c:v>
                </c:pt>
                <c:pt idx="56">
                  <c:v>0.26412924199595095</c:v>
                </c:pt>
                <c:pt idx="57">
                  <c:v>0.25498506174302732</c:v>
                </c:pt>
                <c:pt idx="58">
                  <c:v>0.24567903759182183</c:v>
                </c:pt>
                <c:pt idx="59">
                  <c:v>0.23621116954233459</c:v>
                </c:pt>
                <c:pt idx="60">
                  <c:v>0.22658145759456549</c:v>
                </c:pt>
                <c:pt idx="61">
                  <c:v>0.21678990174851451</c:v>
                </c:pt>
                <c:pt idx="62">
                  <c:v>0.20683650200418174</c:v>
                </c:pt>
                <c:pt idx="63">
                  <c:v>0.19672125836156712</c:v>
                </c:pt>
                <c:pt idx="64">
                  <c:v>0.18644417082067063</c:v>
                </c:pt>
                <c:pt idx="65">
                  <c:v>0.1760052393814924</c:v>
                </c:pt>
                <c:pt idx="66">
                  <c:v>0.16540446404403228</c:v>
                </c:pt>
                <c:pt idx="67">
                  <c:v>0.15464184480829032</c:v>
                </c:pt>
                <c:pt idx="68">
                  <c:v>0.14371738167426656</c:v>
                </c:pt>
                <c:pt idx="69">
                  <c:v>0.13263107464196092</c:v>
                </c:pt>
                <c:pt idx="70">
                  <c:v>0.12138292371137351</c:v>
                </c:pt>
                <c:pt idx="71">
                  <c:v>0.10997292888250418</c:v>
                </c:pt>
                <c:pt idx="72">
                  <c:v>9.8401090155353116E-2</c:v>
                </c:pt>
                <c:pt idx="73">
                  <c:v>8.6667407529920193E-2</c:v>
                </c:pt>
                <c:pt idx="74">
                  <c:v>7.477188100620541E-2</c:v>
                </c:pt>
                <c:pt idx="75">
                  <c:v>6.2714510584208724E-2</c:v>
                </c:pt>
                <c:pt idx="76">
                  <c:v>5.0495296263930338E-2</c:v>
                </c:pt>
                <c:pt idx="77">
                  <c:v>3.8114238045370036E-2</c:v>
                </c:pt>
                <c:pt idx="78">
                  <c:v>2.5571335928527877E-2</c:v>
                </c:pt>
                <c:pt idx="79">
                  <c:v>1.2866589913403977E-2</c:v>
                </c:pt>
                <c:pt idx="80">
                  <c:v>1.8399521000200492E-15</c:v>
                </c:pt>
              </c:numCache>
            </c:numRef>
          </c:yVal>
          <c:smooth val="0"/>
          <c:extLst>
            <c:ext xmlns:c16="http://schemas.microsoft.com/office/drawing/2014/chart" uri="{C3380CC4-5D6E-409C-BE32-E72D297353CC}">
              <c16:uniqueId val="{00000010-6F2E-4F66-99F0-08BD488F563B}"/>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Extension rate s</a:t>
                </a:r>
                <a:r>
                  <a:rPr lang="en-GB" sz="1600" baseline="30000">
                    <a:solidFill>
                      <a:schemeClr val="tx1"/>
                    </a:solidFill>
                  </a:rPr>
                  <a:t>-1</a:t>
                </a:r>
              </a:p>
            </c:rich>
          </c:tx>
          <c:layout>
            <c:manualLayout>
              <c:xMode val="edge"/>
              <c:yMode val="edge"/>
              <c:x val="3.7980225454255008E-2"/>
              <c:y val="0.4547697690945286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1"/>
        <c:delete val="1"/>
      </c:legendEntry>
      <c:legendEntry>
        <c:idx val="3"/>
        <c:delete val="1"/>
      </c:legendEntry>
      <c:layout>
        <c:manualLayout>
          <c:xMode val="edge"/>
          <c:yMode val="edge"/>
          <c:x val="8.2955507410337484E-2"/>
          <c:y val="1.233984943061933E-2"/>
          <c:w val="0.18270042227066846"/>
          <c:h val="0.2820930694543973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Newtonian extension rate 42 mm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Extension rate 0.3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rates'!$G$16:$V$16</c:f>
              <c:numCache>
                <c:formatCode>General</c:formatCode>
                <c:ptCount val="16"/>
                <c:pt idx="0">
                  <c:v>0.2254804786946899</c:v>
                </c:pt>
                <c:pt idx="1">
                  <c:v>0.2244783432338246</c:v>
                </c:pt>
                <c:pt idx="2">
                  <c:v>0.22147193685122873</c:v>
                </c:pt>
                <c:pt idx="3">
                  <c:v>0.21646125954690229</c:v>
                </c:pt>
                <c:pt idx="4">
                  <c:v>0.20944631132084529</c:v>
                </c:pt>
                <c:pt idx="5">
                  <c:v>0.20042709217305768</c:v>
                </c:pt>
                <c:pt idx="6">
                  <c:v>0.18940360210353951</c:v>
                </c:pt>
                <c:pt idx="7">
                  <c:v>0.17637584111229074</c:v>
                </c:pt>
                <c:pt idx="8">
                  <c:v>0.16134380919931143</c:v>
                </c:pt>
                <c:pt idx="9">
                  <c:v>0.14430750636460152</c:v>
                </c:pt>
                <c:pt idx="10">
                  <c:v>0.12526693260816105</c:v>
                </c:pt>
                <c:pt idx="11">
                  <c:v>0.10422208792998996</c:v>
                </c:pt>
                <c:pt idx="12">
                  <c:v>8.1172972330088342E-2</c:v>
                </c:pt>
                <c:pt idx="13">
                  <c:v>5.6119585808456086E-2</c:v>
                </c:pt>
                <c:pt idx="14">
                  <c:v>2.90619283650933E-2</c:v>
                </c:pt>
                <c:pt idx="15">
                  <c:v>5.0066723810069358E-17</c:v>
                </c:pt>
              </c:numCache>
            </c:numRef>
          </c:yVal>
          <c:smooth val="0"/>
          <c:extLst>
            <c:ext xmlns:c16="http://schemas.microsoft.com/office/drawing/2014/chart" uri="{C3380CC4-5D6E-409C-BE32-E72D297353CC}">
              <c16:uniqueId val="{00000000-2981-4D9F-A6BB-53F5E37A53A0}"/>
            </c:ext>
          </c:extLst>
        </c:ser>
        <c:ser>
          <c:idx val="6"/>
          <c:order val="1"/>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rates'!$CN$277:$DC$277</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rates'!$G$16:$V$16</c:f>
              <c:numCache>
                <c:formatCode>General</c:formatCode>
                <c:ptCount val="16"/>
                <c:pt idx="0">
                  <c:v>0.2254804786946899</c:v>
                </c:pt>
                <c:pt idx="1">
                  <c:v>0.2244783432338246</c:v>
                </c:pt>
                <c:pt idx="2">
                  <c:v>0.22147193685122873</c:v>
                </c:pt>
                <c:pt idx="3">
                  <c:v>0.21646125954690229</c:v>
                </c:pt>
                <c:pt idx="4">
                  <c:v>0.20944631132084529</c:v>
                </c:pt>
                <c:pt idx="5">
                  <c:v>0.20042709217305768</c:v>
                </c:pt>
                <c:pt idx="6">
                  <c:v>0.18940360210353951</c:v>
                </c:pt>
                <c:pt idx="7">
                  <c:v>0.17637584111229074</c:v>
                </c:pt>
                <c:pt idx="8">
                  <c:v>0.16134380919931143</c:v>
                </c:pt>
                <c:pt idx="9">
                  <c:v>0.14430750636460152</c:v>
                </c:pt>
                <c:pt idx="10">
                  <c:v>0.12526693260816105</c:v>
                </c:pt>
                <c:pt idx="11">
                  <c:v>0.10422208792998996</c:v>
                </c:pt>
                <c:pt idx="12">
                  <c:v>8.1172972330088342E-2</c:v>
                </c:pt>
                <c:pt idx="13">
                  <c:v>5.6119585808456086E-2</c:v>
                </c:pt>
                <c:pt idx="14">
                  <c:v>2.90619283650933E-2</c:v>
                </c:pt>
                <c:pt idx="15">
                  <c:v>5.0066723810069358E-17</c:v>
                </c:pt>
              </c:numCache>
            </c:numRef>
          </c:yVal>
          <c:smooth val="0"/>
          <c:extLst>
            <c:ext xmlns:c16="http://schemas.microsoft.com/office/drawing/2014/chart" uri="{C3380CC4-5D6E-409C-BE32-E72D297353CC}">
              <c16:uniqueId val="{00000001-2981-4D9F-A6BB-53F5E37A53A0}"/>
            </c:ext>
          </c:extLst>
        </c:ser>
        <c:ser>
          <c:idx val="12"/>
          <c:order val="2"/>
          <c:tx>
            <c:v>Extension rate 1.6 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rates'!$CM$263:$FO$263</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rates'!$G$54:$CI$54</c:f>
              <c:numCache>
                <c:formatCode>General</c:formatCode>
                <c:ptCount val="81"/>
                <c:pt idx="0">
                  <c:v>4.2277589755254356E-2</c:v>
                </c:pt>
                <c:pt idx="1">
                  <c:v>4.2270983881855101E-2</c:v>
                </c:pt>
                <c:pt idx="2">
                  <c:v>4.2251166261657321E-2</c:v>
                </c:pt>
                <c:pt idx="3">
                  <c:v>4.2218136894661029E-2</c:v>
                </c:pt>
                <c:pt idx="4">
                  <c:v>4.217189578086622E-2</c:v>
                </c:pt>
                <c:pt idx="5">
                  <c:v>4.2112442920272893E-2</c:v>
                </c:pt>
                <c:pt idx="6">
                  <c:v>4.2039778312881054E-2</c:v>
                </c:pt>
                <c:pt idx="7">
                  <c:v>4.1953901958690691E-2</c:v>
                </c:pt>
                <c:pt idx="8">
                  <c:v>4.185481385770181E-2</c:v>
                </c:pt>
                <c:pt idx="9">
                  <c:v>4.1742514009914418E-2</c:v>
                </c:pt>
                <c:pt idx="10">
                  <c:v>4.1617002415328508E-2</c:v>
                </c:pt>
                <c:pt idx="11">
                  <c:v>4.147827907394408E-2</c:v>
                </c:pt>
                <c:pt idx="12">
                  <c:v>4.1326343985761134E-2</c:v>
                </c:pt>
                <c:pt idx="13">
                  <c:v>4.116119715077967E-2</c:v>
                </c:pt>
                <c:pt idx="14">
                  <c:v>4.0982838568999688E-2</c:v>
                </c:pt>
                <c:pt idx="15">
                  <c:v>4.0791268240421195E-2</c:v>
                </c:pt>
                <c:pt idx="16">
                  <c:v>4.0586486165044178E-2</c:v>
                </c:pt>
                <c:pt idx="17">
                  <c:v>4.0368492342868649E-2</c:v>
                </c:pt>
                <c:pt idx="18">
                  <c:v>4.0137286773894602E-2</c:v>
                </c:pt>
                <c:pt idx="19">
                  <c:v>3.9892869458122038E-2</c:v>
                </c:pt>
                <c:pt idx="20">
                  <c:v>3.9635240395550962E-2</c:v>
                </c:pt>
                <c:pt idx="21">
                  <c:v>3.9364399586181362E-2</c:v>
                </c:pt>
                <c:pt idx="22">
                  <c:v>3.9080347030013243E-2</c:v>
                </c:pt>
                <c:pt idx="23">
                  <c:v>3.8783082727046614E-2</c:v>
                </c:pt>
                <c:pt idx="24">
                  <c:v>3.8472606677281466E-2</c:v>
                </c:pt>
                <c:pt idx="25">
                  <c:v>3.8148918880717801E-2</c:v>
                </c:pt>
                <c:pt idx="26">
                  <c:v>3.7812019337355618E-2</c:v>
                </c:pt>
                <c:pt idx="27">
                  <c:v>3.746190804719491E-2</c:v>
                </c:pt>
                <c:pt idx="28">
                  <c:v>3.7098585010235698E-2</c:v>
                </c:pt>
                <c:pt idx="29">
                  <c:v>3.6722050226477961E-2</c:v>
                </c:pt>
                <c:pt idx="30">
                  <c:v>3.6332303695921705E-2</c:v>
                </c:pt>
                <c:pt idx="31">
                  <c:v>3.5929345418566933E-2</c:v>
                </c:pt>
                <c:pt idx="32">
                  <c:v>3.5513175394413656E-2</c:v>
                </c:pt>
                <c:pt idx="33">
                  <c:v>3.5083793623461847E-2</c:v>
                </c:pt>
                <c:pt idx="34">
                  <c:v>3.4641200105711527E-2</c:v>
                </c:pt>
                <c:pt idx="35">
                  <c:v>3.4185394841162696E-2</c:v>
                </c:pt>
                <c:pt idx="36">
                  <c:v>3.3716377829815333E-2</c:v>
                </c:pt>
                <c:pt idx="37">
                  <c:v>3.323414907166946E-2</c:v>
                </c:pt>
                <c:pt idx="38">
                  <c:v>3.2738708566725075E-2</c:v>
                </c:pt>
                <c:pt idx="39">
                  <c:v>3.2230056314982172E-2</c:v>
                </c:pt>
                <c:pt idx="40">
                  <c:v>3.1708192316440752E-2</c:v>
                </c:pt>
                <c:pt idx="41">
                  <c:v>3.117311657110081E-2</c:v>
                </c:pt>
                <c:pt idx="42">
                  <c:v>3.0624829078962346E-2</c:v>
                </c:pt>
                <c:pt idx="43">
                  <c:v>3.0063329840025379E-2</c:v>
                </c:pt>
                <c:pt idx="44">
                  <c:v>2.9488618854289887E-2</c:v>
                </c:pt>
                <c:pt idx="45">
                  <c:v>2.890069612175588E-2</c:v>
                </c:pt>
                <c:pt idx="46">
                  <c:v>2.8299561642423348E-2</c:v>
                </c:pt>
                <c:pt idx="47">
                  <c:v>2.7685215416292305E-2</c:v>
                </c:pt>
                <c:pt idx="48">
                  <c:v>2.7057657443362752E-2</c:v>
                </c:pt>
                <c:pt idx="49">
                  <c:v>2.6416887723634673E-2</c:v>
                </c:pt>
                <c:pt idx="50">
                  <c:v>2.5762906257108076E-2</c:v>
                </c:pt>
                <c:pt idx="51">
                  <c:v>2.5095713043782969E-2</c:v>
                </c:pt>
                <c:pt idx="52">
                  <c:v>2.441530808365934E-2</c:v>
                </c:pt>
                <c:pt idx="53">
                  <c:v>2.37216913767372E-2</c:v>
                </c:pt>
                <c:pt idx="54">
                  <c:v>2.3014862923016535E-2</c:v>
                </c:pt>
                <c:pt idx="55">
                  <c:v>2.2294822722497359E-2</c:v>
                </c:pt>
                <c:pt idx="56">
                  <c:v>2.1561570775179666E-2</c:v>
                </c:pt>
                <c:pt idx="57">
                  <c:v>2.081510708106345E-2</c:v>
                </c:pt>
                <c:pt idx="58">
                  <c:v>2.0055431640148721E-2</c:v>
                </c:pt>
                <c:pt idx="59">
                  <c:v>1.9282544452435473E-2</c:v>
                </c:pt>
                <c:pt idx="60">
                  <c:v>1.8496445517923711E-2</c:v>
                </c:pt>
                <c:pt idx="61">
                  <c:v>1.7697134836613428E-2</c:v>
                </c:pt>
                <c:pt idx="62">
                  <c:v>1.688461240850463E-2</c:v>
                </c:pt>
                <c:pt idx="63">
                  <c:v>1.6058878233597314E-2</c:v>
                </c:pt>
                <c:pt idx="64">
                  <c:v>1.5219932311891478E-2</c:v>
                </c:pt>
                <c:pt idx="65">
                  <c:v>1.4367774643387133E-2</c:v>
                </c:pt>
                <c:pt idx="66">
                  <c:v>1.3502405228084265E-2</c:v>
                </c:pt>
                <c:pt idx="67">
                  <c:v>1.2623824065982881E-2</c:v>
                </c:pt>
                <c:pt idx="68">
                  <c:v>1.1732031157082984E-2</c:v>
                </c:pt>
                <c:pt idx="69">
                  <c:v>1.0827026501384562E-2</c:v>
                </c:pt>
                <c:pt idx="70">
                  <c:v>9.9088100988876313E-3</c:v>
                </c:pt>
                <c:pt idx="71">
                  <c:v>8.977381949592177E-3</c:v>
                </c:pt>
                <c:pt idx="72">
                  <c:v>8.0327420534982135E-3</c:v>
                </c:pt>
                <c:pt idx="73">
                  <c:v>7.0748904106057295E-3</c:v>
                </c:pt>
                <c:pt idx="74">
                  <c:v>6.1038270209147266E-3</c:v>
                </c:pt>
                <c:pt idx="75">
                  <c:v>5.1195518844252006E-3</c:v>
                </c:pt>
                <c:pt idx="76">
                  <c:v>4.1220650011371696E-3</c:v>
                </c:pt>
                <c:pt idx="77">
                  <c:v>3.1113663710506147E-3</c:v>
                </c:pt>
                <c:pt idx="78">
                  <c:v>2.0874559941655409E-3</c:v>
                </c:pt>
                <c:pt idx="79">
                  <c:v>1.0503338704819572E-3</c:v>
                </c:pt>
                <c:pt idx="80">
                  <c:v>1.5020017143020807E-16</c:v>
                </c:pt>
              </c:numCache>
            </c:numRef>
          </c:yVal>
          <c:smooth val="0"/>
          <c:extLst>
            <c:ext xmlns:c16="http://schemas.microsoft.com/office/drawing/2014/chart" uri="{C3380CC4-5D6E-409C-BE32-E72D297353CC}">
              <c16:uniqueId val="{00000002-2981-4D9F-A6BB-53F5E37A53A0}"/>
            </c:ext>
          </c:extLst>
        </c:ser>
        <c:ser>
          <c:idx val="14"/>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rates'!$CN$286:$FP$286</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rates'!$G$54:$CI$54</c:f>
              <c:numCache>
                <c:formatCode>General</c:formatCode>
                <c:ptCount val="81"/>
                <c:pt idx="0">
                  <c:v>4.2277589755254356E-2</c:v>
                </c:pt>
                <c:pt idx="1">
                  <c:v>4.2270983881855101E-2</c:v>
                </c:pt>
                <c:pt idx="2">
                  <c:v>4.2251166261657321E-2</c:v>
                </c:pt>
                <c:pt idx="3">
                  <c:v>4.2218136894661029E-2</c:v>
                </c:pt>
                <c:pt idx="4">
                  <c:v>4.217189578086622E-2</c:v>
                </c:pt>
                <c:pt idx="5">
                  <c:v>4.2112442920272893E-2</c:v>
                </c:pt>
                <c:pt idx="6">
                  <c:v>4.2039778312881054E-2</c:v>
                </c:pt>
                <c:pt idx="7">
                  <c:v>4.1953901958690691E-2</c:v>
                </c:pt>
                <c:pt idx="8">
                  <c:v>4.185481385770181E-2</c:v>
                </c:pt>
                <c:pt idx="9">
                  <c:v>4.1742514009914418E-2</c:v>
                </c:pt>
                <c:pt idx="10">
                  <c:v>4.1617002415328508E-2</c:v>
                </c:pt>
                <c:pt idx="11">
                  <c:v>4.147827907394408E-2</c:v>
                </c:pt>
                <c:pt idx="12">
                  <c:v>4.1326343985761134E-2</c:v>
                </c:pt>
                <c:pt idx="13">
                  <c:v>4.116119715077967E-2</c:v>
                </c:pt>
                <c:pt idx="14">
                  <c:v>4.0982838568999688E-2</c:v>
                </c:pt>
                <c:pt idx="15">
                  <c:v>4.0791268240421195E-2</c:v>
                </c:pt>
                <c:pt idx="16">
                  <c:v>4.0586486165044178E-2</c:v>
                </c:pt>
                <c:pt idx="17">
                  <c:v>4.0368492342868649E-2</c:v>
                </c:pt>
                <c:pt idx="18">
                  <c:v>4.0137286773894602E-2</c:v>
                </c:pt>
                <c:pt idx="19">
                  <c:v>3.9892869458122038E-2</c:v>
                </c:pt>
                <c:pt idx="20">
                  <c:v>3.9635240395550962E-2</c:v>
                </c:pt>
                <c:pt idx="21">
                  <c:v>3.9364399586181362E-2</c:v>
                </c:pt>
                <c:pt idx="22">
                  <c:v>3.9080347030013243E-2</c:v>
                </c:pt>
                <c:pt idx="23">
                  <c:v>3.8783082727046614E-2</c:v>
                </c:pt>
                <c:pt idx="24">
                  <c:v>3.8472606677281466E-2</c:v>
                </c:pt>
                <c:pt idx="25">
                  <c:v>3.8148918880717801E-2</c:v>
                </c:pt>
                <c:pt idx="26">
                  <c:v>3.7812019337355618E-2</c:v>
                </c:pt>
                <c:pt idx="27">
                  <c:v>3.746190804719491E-2</c:v>
                </c:pt>
                <c:pt idx="28">
                  <c:v>3.7098585010235698E-2</c:v>
                </c:pt>
                <c:pt idx="29">
                  <c:v>3.6722050226477961E-2</c:v>
                </c:pt>
                <c:pt idx="30">
                  <c:v>3.6332303695921705E-2</c:v>
                </c:pt>
                <c:pt idx="31">
                  <c:v>3.5929345418566933E-2</c:v>
                </c:pt>
                <c:pt idx="32">
                  <c:v>3.5513175394413656E-2</c:v>
                </c:pt>
                <c:pt idx="33">
                  <c:v>3.5083793623461847E-2</c:v>
                </c:pt>
                <c:pt idx="34">
                  <c:v>3.4641200105711527E-2</c:v>
                </c:pt>
                <c:pt idx="35">
                  <c:v>3.4185394841162696E-2</c:v>
                </c:pt>
                <c:pt idx="36">
                  <c:v>3.3716377829815333E-2</c:v>
                </c:pt>
                <c:pt idx="37">
                  <c:v>3.323414907166946E-2</c:v>
                </c:pt>
                <c:pt idx="38">
                  <c:v>3.2738708566725075E-2</c:v>
                </c:pt>
                <c:pt idx="39">
                  <c:v>3.2230056314982172E-2</c:v>
                </c:pt>
                <c:pt idx="40">
                  <c:v>3.1708192316440752E-2</c:v>
                </c:pt>
                <c:pt idx="41">
                  <c:v>3.117311657110081E-2</c:v>
                </c:pt>
                <c:pt idx="42">
                  <c:v>3.0624829078962346E-2</c:v>
                </c:pt>
                <c:pt idx="43">
                  <c:v>3.0063329840025379E-2</c:v>
                </c:pt>
                <c:pt idx="44">
                  <c:v>2.9488618854289887E-2</c:v>
                </c:pt>
                <c:pt idx="45">
                  <c:v>2.890069612175588E-2</c:v>
                </c:pt>
                <c:pt idx="46">
                  <c:v>2.8299561642423348E-2</c:v>
                </c:pt>
                <c:pt idx="47">
                  <c:v>2.7685215416292305E-2</c:v>
                </c:pt>
                <c:pt idx="48">
                  <c:v>2.7057657443362752E-2</c:v>
                </c:pt>
                <c:pt idx="49">
                  <c:v>2.6416887723634673E-2</c:v>
                </c:pt>
                <c:pt idx="50">
                  <c:v>2.5762906257108076E-2</c:v>
                </c:pt>
                <c:pt idx="51">
                  <c:v>2.5095713043782969E-2</c:v>
                </c:pt>
                <c:pt idx="52">
                  <c:v>2.441530808365934E-2</c:v>
                </c:pt>
                <c:pt idx="53">
                  <c:v>2.37216913767372E-2</c:v>
                </c:pt>
                <c:pt idx="54">
                  <c:v>2.3014862923016535E-2</c:v>
                </c:pt>
                <c:pt idx="55">
                  <c:v>2.2294822722497359E-2</c:v>
                </c:pt>
                <c:pt idx="56">
                  <c:v>2.1561570775179666E-2</c:v>
                </c:pt>
                <c:pt idx="57">
                  <c:v>2.081510708106345E-2</c:v>
                </c:pt>
                <c:pt idx="58">
                  <c:v>2.0055431640148721E-2</c:v>
                </c:pt>
                <c:pt idx="59">
                  <c:v>1.9282544452435473E-2</c:v>
                </c:pt>
                <c:pt idx="60">
                  <c:v>1.8496445517923711E-2</c:v>
                </c:pt>
                <c:pt idx="61">
                  <c:v>1.7697134836613428E-2</c:v>
                </c:pt>
                <c:pt idx="62">
                  <c:v>1.688461240850463E-2</c:v>
                </c:pt>
                <c:pt idx="63">
                  <c:v>1.6058878233597314E-2</c:v>
                </c:pt>
                <c:pt idx="64">
                  <c:v>1.5219932311891478E-2</c:v>
                </c:pt>
                <c:pt idx="65">
                  <c:v>1.4367774643387133E-2</c:v>
                </c:pt>
                <c:pt idx="66">
                  <c:v>1.3502405228084265E-2</c:v>
                </c:pt>
                <c:pt idx="67">
                  <c:v>1.2623824065982881E-2</c:v>
                </c:pt>
                <c:pt idx="68">
                  <c:v>1.1732031157082984E-2</c:v>
                </c:pt>
                <c:pt idx="69">
                  <c:v>1.0827026501384562E-2</c:v>
                </c:pt>
                <c:pt idx="70">
                  <c:v>9.9088100988876313E-3</c:v>
                </c:pt>
                <c:pt idx="71">
                  <c:v>8.977381949592177E-3</c:v>
                </c:pt>
                <c:pt idx="72">
                  <c:v>8.0327420534982135E-3</c:v>
                </c:pt>
                <c:pt idx="73">
                  <c:v>7.0748904106057295E-3</c:v>
                </c:pt>
                <c:pt idx="74">
                  <c:v>6.1038270209147266E-3</c:v>
                </c:pt>
                <c:pt idx="75">
                  <c:v>5.1195518844252006E-3</c:v>
                </c:pt>
                <c:pt idx="76">
                  <c:v>4.1220650011371696E-3</c:v>
                </c:pt>
                <c:pt idx="77">
                  <c:v>3.1113663710506147E-3</c:v>
                </c:pt>
                <c:pt idx="78">
                  <c:v>2.0874559941655409E-3</c:v>
                </c:pt>
                <c:pt idx="79">
                  <c:v>1.0503338704819572E-3</c:v>
                </c:pt>
                <c:pt idx="80">
                  <c:v>1.5020017143020807E-16</c:v>
                </c:pt>
              </c:numCache>
            </c:numRef>
          </c:yVal>
          <c:smooth val="0"/>
          <c:extLst>
            <c:ext xmlns:c16="http://schemas.microsoft.com/office/drawing/2014/chart" uri="{C3380CC4-5D6E-409C-BE32-E72D297353CC}">
              <c16:uniqueId val="{00000005-2981-4D9F-A6BB-53F5E37A53A0}"/>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Extension rate s</a:t>
                </a:r>
                <a:r>
                  <a:rPr lang="en-GB" sz="1600" baseline="30000">
                    <a:solidFill>
                      <a:schemeClr val="tx1"/>
                    </a:solidFill>
                  </a:rPr>
                  <a:t>-1</a:t>
                </a:r>
              </a:p>
            </c:rich>
          </c:tx>
          <c:layout>
            <c:manualLayout>
              <c:xMode val="edge"/>
              <c:yMode val="edge"/>
              <c:x val="3.7980225454255008E-2"/>
              <c:y val="0.4547697690945286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1"/>
        <c:delete val="1"/>
      </c:legendEntry>
      <c:legendEntry>
        <c:idx val="3"/>
        <c:delete val="1"/>
      </c:legendEntry>
      <c:layout>
        <c:manualLayout>
          <c:xMode val="edge"/>
          <c:yMode val="edge"/>
          <c:x val="8.2955507410337484E-2"/>
          <c:y val="1.233984943061933E-2"/>
          <c:w val="0.18270042227066846"/>
          <c:h val="0.2820930694543973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Newtonian shear rate 12 mm distance from injection pt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 rate 0.3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rates'!$G$19:$V$19</c:f>
              <c:numCache>
                <c:formatCode>General</c:formatCode>
                <c:ptCount val="16"/>
                <c:pt idx="0">
                  <c:v>0</c:v>
                </c:pt>
                <c:pt idx="1">
                  <c:v>20.833333333333339</c:v>
                </c:pt>
                <c:pt idx="2">
                  <c:v>41.666666666666679</c:v>
                </c:pt>
                <c:pt idx="3">
                  <c:v>62.500000000000021</c:v>
                </c:pt>
                <c:pt idx="4">
                  <c:v>83.333333333333357</c:v>
                </c:pt>
                <c:pt idx="5">
                  <c:v>104.1666666666667</c:v>
                </c:pt>
                <c:pt idx="6">
                  <c:v>125.00000000000003</c:v>
                </c:pt>
                <c:pt idx="7">
                  <c:v>145.83333333333337</c:v>
                </c:pt>
                <c:pt idx="8">
                  <c:v>166.66666666666671</c:v>
                </c:pt>
                <c:pt idx="9">
                  <c:v>187.50000000000003</c:v>
                </c:pt>
                <c:pt idx="10">
                  <c:v>208.3333333333334</c:v>
                </c:pt>
                <c:pt idx="11">
                  <c:v>229.16666666666671</c:v>
                </c:pt>
                <c:pt idx="12">
                  <c:v>250.00000000000006</c:v>
                </c:pt>
                <c:pt idx="13">
                  <c:v>270.83333333333343</c:v>
                </c:pt>
                <c:pt idx="14">
                  <c:v>291.66666666666674</c:v>
                </c:pt>
                <c:pt idx="15">
                  <c:v>312.50000000000006</c:v>
                </c:pt>
              </c:numCache>
            </c:numRef>
          </c:yVal>
          <c:smooth val="0"/>
          <c:extLst>
            <c:ext xmlns:c16="http://schemas.microsoft.com/office/drawing/2014/chart" uri="{C3380CC4-5D6E-409C-BE32-E72D297353CC}">
              <c16:uniqueId val="{00000000-0FEE-4CA7-ABC0-57D3CCD63A6C}"/>
            </c:ext>
          </c:extLst>
        </c:ser>
        <c:ser>
          <c:idx val="2"/>
          <c:order val="1"/>
          <c:tx>
            <c:v>Shear rate 1.6mm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rates'!$CM$263:$FO$263</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rates'!$G$57:$CI$57</c:f>
              <c:numCache>
                <c:formatCode>General</c:formatCode>
                <c:ptCount val="81"/>
                <c:pt idx="0">
                  <c:v>0</c:v>
                </c:pt>
                <c:pt idx="1">
                  <c:v>0.13732910156249997</c:v>
                </c:pt>
                <c:pt idx="2">
                  <c:v>0.27465820312499994</c:v>
                </c:pt>
                <c:pt idx="3">
                  <c:v>0.4119873046875</c:v>
                </c:pt>
                <c:pt idx="4">
                  <c:v>0.54931640624999989</c:v>
                </c:pt>
                <c:pt idx="5">
                  <c:v>0.68664550781249989</c:v>
                </c:pt>
                <c:pt idx="6">
                  <c:v>0.82397460937499978</c:v>
                </c:pt>
                <c:pt idx="7">
                  <c:v>0.96130371093749989</c:v>
                </c:pt>
                <c:pt idx="8">
                  <c:v>1.0986328124999998</c:v>
                </c:pt>
                <c:pt idx="9">
                  <c:v>1.2359619140624998</c:v>
                </c:pt>
                <c:pt idx="10">
                  <c:v>1.3732910156249998</c:v>
                </c:pt>
                <c:pt idx="11">
                  <c:v>1.5106201171874996</c:v>
                </c:pt>
                <c:pt idx="12">
                  <c:v>1.6479492187499996</c:v>
                </c:pt>
                <c:pt idx="13">
                  <c:v>1.7852783203124998</c:v>
                </c:pt>
                <c:pt idx="14">
                  <c:v>1.9226074218749998</c:v>
                </c:pt>
                <c:pt idx="15">
                  <c:v>2.0599365234374996</c:v>
                </c:pt>
                <c:pt idx="16">
                  <c:v>2.1972656249999996</c:v>
                </c:pt>
                <c:pt idx="17">
                  <c:v>2.3345947265625</c:v>
                </c:pt>
                <c:pt idx="18">
                  <c:v>2.4719238281249996</c:v>
                </c:pt>
                <c:pt idx="19">
                  <c:v>2.6092529296874996</c:v>
                </c:pt>
                <c:pt idx="20">
                  <c:v>2.7465820312499996</c:v>
                </c:pt>
                <c:pt idx="21">
                  <c:v>2.8839111328124996</c:v>
                </c:pt>
                <c:pt idx="22">
                  <c:v>3.0212402343749991</c:v>
                </c:pt>
                <c:pt idx="23">
                  <c:v>3.1585693359374996</c:v>
                </c:pt>
                <c:pt idx="24">
                  <c:v>3.2958984374999991</c:v>
                </c:pt>
                <c:pt idx="25">
                  <c:v>3.4332275390624991</c:v>
                </c:pt>
                <c:pt idx="26">
                  <c:v>3.5705566406249996</c:v>
                </c:pt>
                <c:pt idx="27">
                  <c:v>3.7078857421874996</c:v>
                </c:pt>
                <c:pt idx="28">
                  <c:v>3.84521484375</c:v>
                </c:pt>
                <c:pt idx="29">
                  <c:v>3.9825439453125004</c:v>
                </c:pt>
                <c:pt idx="30">
                  <c:v>4.1198730468750009</c:v>
                </c:pt>
                <c:pt idx="31">
                  <c:v>4.2572021484375009</c:v>
                </c:pt>
                <c:pt idx="32">
                  <c:v>4.3945312500000018</c:v>
                </c:pt>
                <c:pt idx="33">
                  <c:v>4.5318603515625018</c:v>
                </c:pt>
                <c:pt idx="34">
                  <c:v>4.6691894531250027</c:v>
                </c:pt>
                <c:pt idx="35">
                  <c:v>4.8065185546875027</c:v>
                </c:pt>
                <c:pt idx="36">
                  <c:v>4.9438476562500027</c:v>
                </c:pt>
                <c:pt idx="37">
                  <c:v>5.0811767578125036</c:v>
                </c:pt>
                <c:pt idx="38">
                  <c:v>5.2185058593750036</c:v>
                </c:pt>
                <c:pt idx="39">
                  <c:v>5.3558349609375044</c:v>
                </c:pt>
                <c:pt idx="40">
                  <c:v>5.4931640625000044</c:v>
                </c:pt>
                <c:pt idx="41">
                  <c:v>5.6304931640625044</c:v>
                </c:pt>
                <c:pt idx="42">
                  <c:v>5.7678222656250053</c:v>
                </c:pt>
                <c:pt idx="43">
                  <c:v>5.9051513671875053</c:v>
                </c:pt>
                <c:pt idx="44">
                  <c:v>6.0424804687500053</c:v>
                </c:pt>
                <c:pt idx="45">
                  <c:v>6.1798095703125062</c:v>
                </c:pt>
                <c:pt idx="46">
                  <c:v>6.3171386718750062</c:v>
                </c:pt>
                <c:pt idx="47">
                  <c:v>6.4544677734375071</c:v>
                </c:pt>
                <c:pt idx="48">
                  <c:v>6.5917968750000062</c:v>
                </c:pt>
                <c:pt idx="49">
                  <c:v>6.729125976562508</c:v>
                </c:pt>
                <c:pt idx="50">
                  <c:v>6.8664550781250071</c:v>
                </c:pt>
                <c:pt idx="51">
                  <c:v>7.003784179687508</c:v>
                </c:pt>
                <c:pt idx="52">
                  <c:v>7.141113281250008</c:v>
                </c:pt>
                <c:pt idx="53">
                  <c:v>7.2784423828125089</c:v>
                </c:pt>
                <c:pt idx="54">
                  <c:v>7.4157714843750089</c:v>
                </c:pt>
                <c:pt idx="55">
                  <c:v>7.5531005859375098</c:v>
                </c:pt>
                <c:pt idx="56">
                  <c:v>7.6904296875000098</c:v>
                </c:pt>
                <c:pt idx="57">
                  <c:v>7.8277587890625107</c:v>
                </c:pt>
                <c:pt idx="58">
                  <c:v>7.9650878906250098</c:v>
                </c:pt>
                <c:pt idx="59">
                  <c:v>8.1024169921875107</c:v>
                </c:pt>
                <c:pt idx="60">
                  <c:v>8.2397460937500107</c:v>
                </c:pt>
                <c:pt idx="61">
                  <c:v>8.3770751953125124</c:v>
                </c:pt>
                <c:pt idx="62">
                  <c:v>8.5144042968750124</c:v>
                </c:pt>
                <c:pt idx="63">
                  <c:v>8.6517333984375107</c:v>
                </c:pt>
                <c:pt idx="64">
                  <c:v>8.7890625000000124</c:v>
                </c:pt>
                <c:pt idx="65">
                  <c:v>8.9263916015625124</c:v>
                </c:pt>
                <c:pt idx="66">
                  <c:v>9.0637207031250124</c:v>
                </c:pt>
                <c:pt idx="67">
                  <c:v>9.2010498046875124</c:v>
                </c:pt>
                <c:pt idx="68">
                  <c:v>9.3383789062500142</c:v>
                </c:pt>
                <c:pt idx="69">
                  <c:v>9.4757080078125142</c:v>
                </c:pt>
                <c:pt idx="70">
                  <c:v>9.6130371093750142</c:v>
                </c:pt>
                <c:pt idx="71">
                  <c:v>9.7503662109375142</c:v>
                </c:pt>
                <c:pt idx="72">
                  <c:v>9.887695312500016</c:v>
                </c:pt>
                <c:pt idx="73">
                  <c:v>10.025024414062514</c:v>
                </c:pt>
                <c:pt idx="74">
                  <c:v>10.162353515625016</c:v>
                </c:pt>
                <c:pt idx="75">
                  <c:v>10.299682617187516</c:v>
                </c:pt>
                <c:pt idx="76">
                  <c:v>10.437011718750016</c:v>
                </c:pt>
                <c:pt idx="77">
                  <c:v>10.574340820312516</c:v>
                </c:pt>
                <c:pt idx="78">
                  <c:v>10.711669921875018</c:v>
                </c:pt>
                <c:pt idx="79">
                  <c:v>10.848999023437518</c:v>
                </c:pt>
                <c:pt idx="80">
                  <c:v>10.986328125000018</c:v>
                </c:pt>
              </c:numCache>
            </c:numRef>
          </c:yVal>
          <c:smooth val="0"/>
          <c:extLst>
            <c:ext xmlns:c16="http://schemas.microsoft.com/office/drawing/2014/chart" uri="{C3380CC4-5D6E-409C-BE32-E72D297353CC}">
              <c16:uniqueId val="{00000002-0FEE-4CA7-ABC0-57D3CCD63A6C}"/>
            </c:ext>
          </c:extLst>
        </c:ser>
        <c:ser>
          <c:idx val="1"/>
          <c:order val="2"/>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rates'!$CN$277:$DC$277</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rates'!$G$19:$V$19</c:f>
              <c:numCache>
                <c:formatCode>General</c:formatCode>
                <c:ptCount val="16"/>
                <c:pt idx="0">
                  <c:v>0</c:v>
                </c:pt>
                <c:pt idx="1">
                  <c:v>20.833333333333339</c:v>
                </c:pt>
                <c:pt idx="2">
                  <c:v>41.666666666666679</c:v>
                </c:pt>
                <c:pt idx="3">
                  <c:v>62.500000000000021</c:v>
                </c:pt>
                <c:pt idx="4">
                  <c:v>83.333333333333357</c:v>
                </c:pt>
                <c:pt idx="5">
                  <c:v>104.1666666666667</c:v>
                </c:pt>
                <c:pt idx="6">
                  <c:v>125.00000000000003</c:v>
                </c:pt>
                <c:pt idx="7">
                  <c:v>145.83333333333337</c:v>
                </c:pt>
                <c:pt idx="8">
                  <c:v>166.66666666666671</c:v>
                </c:pt>
                <c:pt idx="9">
                  <c:v>187.50000000000003</c:v>
                </c:pt>
                <c:pt idx="10">
                  <c:v>208.3333333333334</c:v>
                </c:pt>
                <c:pt idx="11">
                  <c:v>229.16666666666671</c:v>
                </c:pt>
                <c:pt idx="12">
                  <c:v>250.00000000000006</c:v>
                </c:pt>
                <c:pt idx="13">
                  <c:v>270.83333333333343</c:v>
                </c:pt>
                <c:pt idx="14">
                  <c:v>291.66666666666674</c:v>
                </c:pt>
                <c:pt idx="15">
                  <c:v>312.50000000000006</c:v>
                </c:pt>
              </c:numCache>
            </c:numRef>
          </c:yVal>
          <c:smooth val="0"/>
          <c:extLst>
            <c:ext xmlns:c16="http://schemas.microsoft.com/office/drawing/2014/chart" uri="{C3380CC4-5D6E-409C-BE32-E72D297353CC}">
              <c16:uniqueId val="{00000007-0FEE-4CA7-ABC0-57D3CCD63A6C}"/>
            </c:ext>
          </c:extLst>
        </c:ser>
        <c:ser>
          <c:idx val="3"/>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rates'!$CN$286:$FP$286</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rates'!$G$57:$CI$57</c:f>
              <c:numCache>
                <c:formatCode>General</c:formatCode>
                <c:ptCount val="81"/>
                <c:pt idx="0">
                  <c:v>0</c:v>
                </c:pt>
                <c:pt idx="1">
                  <c:v>0.13732910156249997</c:v>
                </c:pt>
                <c:pt idx="2">
                  <c:v>0.27465820312499994</c:v>
                </c:pt>
                <c:pt idx="3">
                  <c:v>0.4119873046875</c:v>
                </c:pt>
                <c:pt idx="4">
                  <c:v>0.54931640624999989</c:v>
                </c:pt>
                <c:pt idx="5">
                  <c:v>0.68664550781249989</c:v>
                </c:pt>
                <c:pt idx="6">
                  <c:v>0.82397460937499978</c:v>
                </c:pt>
                <c:pt idx="7">
                  <c:v>0.96130371093749989</c:v>
                </c:pt>
                <c:pt idx="8">
                  <c:v>1.0986328124999998</c:v>
                </c:pt>
                <c:pt idx="9">
                  <c:v>1.2359619140624998</c:v>
                </c:pt>
                <c:pt idx="10">
                  <c:v>1.3732910156249998</c:v>
                </c:pt>
                <c:pt idx="11">
                  <c:v>1.5106201171874996</c:v>
                </c:pt>
                <c:pt idx="12">
                  <c:v>1.6479492187499996</c:v>
                </c:pt>
                <c:pt idx="13">
                  <c:v>1.7852783203124998</c:v>
                </c:pt>
                <c:pt idx="14">
                  <c:v>1.9226074218749998</c:v>
                </c:pt>
                <c:pt idx="15">
                  <c:v>2.0599365234374996</c:v>
                </c:pt>
                <c:pt idx="16">
                  <c:v>2.1972656249999996</c:v>
                </c:pt>
                <c:pt idx="17">
                  <c:v>2.3345947265625</c:v>
                </c:pt>
                <c:pt idx="18">
                  <c:v>2.4719238281249996</c:v>
                </c:pt>
                <c:pt idx="19">
                  <c:v>2.6092529296874996</c:v>
                </c:pt>
                <c:pt idx="20">
                  <c:v>2.7465820312499996</c:v>
                </c:pt>
                <c:pt idx="21">
                  <c:v>2.8839111328124996</c:v>
                </c:pt>
                <c:pt idx="22">
                  <c:v>3.0212402343749991</c:v>
                </c:pt>
                <c:pt idx="23">
                  <c:v>3.1585693359374996</c:v>
                </c:pt>
                <c:pt idx="24">
                  <c:v>3.2958984374999991</c:v>
                </c:pt>
                <c:pt idx="25">
                  <c:v>3.4332275390624991</c:v>
                </c:pt>
                <c:pt idx="26">
                  <c:v>3.5705566406249996</c:v>
                </c:pt>
                <c:pt idx="27">
                  <c:v>3.7078857421874996</c:v>
                </c:pt>
                <c:pt idx="28">
                  <c:v>3.84521484375</c:v>
                </c:pt>
                <c:pt idx="29">
                  <c:v>3.9825439453125004</c:v>
                </c:pt>
                <c:pt idx="30">
                  <c:v>4.1198730468750009</c:v>
                </c:pt>
                <c:pt idx="31">
                  <c:v>4.2572021484375009</c:v>
                </c:pt>
                <c:pt idx="32">
                  <c:v>4.3945312500000018</c:v>
                </c:pt>
                <c:pt idx="33">
                  <c:v>4.5318603515625018</c:v>
                </c:pt>
                <c:pt idx="34">
                  <c:v>4.6691894531250027</c:v>
                </c:pt>
                <c:pt idx="35">
                  <c:v>4.8065185546875027</c:v>
                </c:pt>
                <c:pt idx="36">
                  <c:v>4.9438476562500027</c:v>
                </c:pt>
                <c:pt idx="37">
                  <c:v>5.0811767578125036</c:v>
                </c:pt>
                <c:pt idx="38">
                  <c:v>5.2185058593750036</c:v>
                </c:pt>
                <c:pt idx="39">
                  <c:v>5.3558349609375044</c:v>
                </c:pt>
                <c:pt idx="40">
                  <c:v>5.4931640625000044</c:v>
                </c:pt>
                <c:pt idx="41">
                  <c:v>5.6304931640625044</c:v>
                </c:pt>
                <c:pt idx="42">
                  <c:v>5.7678222656250053</c:v>
                </c:pt>
                <c:pt idx="43">
                  <c:v>5.9051513671875053</c:v>
                </c:pt>
                <c:pt idx="44">
                  <c:v>6.0424804687500053</c:v>
                </c:pt>
                <c:pt idx="45">
                  <c:v>6.1798095703125062</c:v>
                </c:pt>
                <c:pt idx="46">
                  <c:v>6.3171386718750062</c:v>
                </c:pt>
                <c:pt idx="47">
                  <c:v>6.4544677734375071</c:v>
                </c:pt>
                <c:pt idx="48">
                  <c:v>6.5917968750000062</c:v>
                </c:pt>
                <c:pt idx="49">
                  <c:v>6.729125976562508</c:v>
                </c:pt>
                <c:pt idx="50">
                  <c:v>6.8664550781250071</c:v>
                </c:pt>
                <c:pt idx="51">
                  <c:v>7.003784179687508</c:v>
                </c:pt>
                <c:pt idx="52">
                  <c:v>7.141113281250008</c:v>
                </c:pt>
                <c:pt idx="53">
                  <c:v>7.2784423828125089</c:v>
                </c:pt>
                <c:pt idx="54">
                  <c:v>7.4157714843750089</c:v>
                </c:pt>
                <c:pt idx="55">
                  <c:v>7.5531005859375098</c:v>
                </c:pt>
                <c:pt idx="56">
                  <c:v>7.6904296875000098</c:v>
                </c:pt>
                <c:pt idx="57">
                  <c:v>7.8277587890625107</c:v>
                </c:pt>
                <c:pt idx="58">
                  <c:v>7.9650878906250098</c:v>
                </c:pt>
                <c:pt idx="59">
                  <c:v>8.1024169921875107</c:v>
                </c:pt>
                <c:pt idx="60">
                  <c:v>8.2397460937500107</c:v>
                </c:pt>
                <c:pt idx="61">
                  <c:v>8.3770751953125124</c:v>
                </c:pt>
                <c:pt idx="62">
                  <c:v>8.5144042968750124</c:v>
                </c:pt>
                <c:pt idx="63">
                  <c:v>8.6517333984375107</c:v>
                </c:pt>
                <c:pt idx="64">
                  <c:v>8.7890625000000124</c:v>
                </c:pt>
                <c:pt idx="65">
                  <c:v>8.9263916015625124</c:v>
                </c:pt>
                <c:pt idx="66">
                  <c:v>9.0637207031250124</c:v>
                </c:pt>
                <c:pt idx="67">
                  <c:v>9.2010498046875124</c:v>
                </c:pt>
                <c:pt idx="68">
                  <c:v>9.3383789062500142</c:v>
                </c:pt>
                <c:pt idx="69">
                  <c:v>9.4757080078125142</c:v>
                </c:pt>
                <c:pt idx="70">
                  <c:v>9.6130371093750142</c:v>
                </c:pt>
                <c:pt idx="71">
                  <c:v>9.7503662109375142</c:v>
                </c:pt>
                <c:pt idx="72">
                  <c:v>9.887695312500016</c:v>
                </c:pt>
                <c:pt idx="73">
                  <c:v>10.025024414062514</c:v>
                </c:pt>
                <c:pt idx="74">
                  <c:v>10.162353515625016</c:v>
                </c:pt>
                <c:pt idx="75">
                  <c:v>10.299682617187516</c:v>
                </c:pt>
                <c:pt idx="76">
                  <c:v>10.437011718750016</c:v>
                </c:pt>
                <c:pt idx="77">
                  <c:v>10.574340820312516</c:v>
                </c:pt>
                <c:pt idx="78">
                  <c:v>10.711669921875018</c:v>
                </c:pt>
                <c:pt idx="79">
                  <c:v>10.848999023437518</c:v>
                </c:pt>
                <c:pt idx="80">
                  <c:v>10.986328125000018</c:v>
                </c:pt>
              </c:numCache>
            </c:numRef>
          </c:yVal>
          <c:smooth val="0"/>
          <c:extLst>
            <c:ext xmlns:c16="http://schemas.microsoft.com/office/drawing/2014/chart" uri="{C3380CC4-5D6E-409C-BE32-E72D297353CC}">
              <c16:uniqueId val="{00000008-0FEE-4CA7-ABC0-57D3CCD63A6C}"/>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 rate s</a:t>
                </a:r>
                <a:r>
                  <a:rPr lang="en-GB" sz="1600" baseline="30000">
                    <a:solidFill>
                      <a:schemeClr val="tx1"/>
                    </a:solidFill>
                  </a:rPr>
                  <a:t>-1</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2"/>
        <c:delete val="1"/>
      </c:legendEntry>
      <c:legendEntry>
        <c:idx val="3"/>
        <c:delete val="1"/>
      </c:legendEntry>
      <c:layout>
        <c:manualLayout>
          <c:xMode val="edge"/>
          <c:yMode val="edge"/>
          <c:x val="0.15999404346754895"/>
          <c:y val="0.13534398714552531"/>
          <c:w val="0.17923770239322875"/>
          <c:h val="0.1034253978557341"/>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Newtonian shear rate 42 mm distance from injection pt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 rate 0.3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rates'!$G$21:$V$21</c:f>
              <c:numCache>
                <c:formatCode>General</c:formatCode>
                <c:ptCount val="16"/>
                <c:pt idx="0">
                  <c:v>0</c:v>
                </c:pt>
                <c:pt idx="1">
                  <c:v>5.9523809523809534</c:v>
                </c:pt>
                <c:pt idx="2">
                  <c:v>11.904761904761907</c:v>
                </c:pt>
                <c:pt idx="3">
                  <c:v>17.857142857142861</c:v>
                </c:pt>
                <c:pt idx="4">
                  <c:v>23.809523809523814</c:v>
                </c:pt>
                <c:pt idx="5">
                  <c:v>29.761904761904766</c:v>
                </c:pt>
                <c:pt idx="6">
                  <c:v>35.714285714285722</c:v>
                </c:pt>
                <c:pt idx="7">
                  <c:v>41.666666666666671</c:v>
                </c:pt>
                <c:pt idx="8">
                  <c:v>47.619047619047628</c:v>
                </c:pt>
                <c:pt idx="9">
                  <c:v>53.571428571428577</c:v>
                </c:pt>
                <c:pt idx="10">
                  <c:v>59.523809523809533</c:v>
                </c:pt>
                <c:pt idx="11">
                  <c:v>65.476190476190482</c:v>
                </c:pt>
                <c:pt idx="12">
                  <c:v>71.428571428571445</c:v>
                </c:pt>
                <c:pt idx="13">
                  <c:v>77.380952380952394</c:v>
                </c:pt>
                <c:pt idx="14">
                  <c:v>83.333333333333343</c:v>
                </c:pt>
                <c:pt idx="15">
                  <c:v>89.285714285714306</c:v>
                </c:pt>
              </c:numCache>
            </c:numRef>
          </c:yVal>
          <c:smooth val="0"/>
          <c:extLst>
            <c:ext xmlns:c16="http://schemas.microsoft.com/office/drawing/2014/chart" uri="{C3380CC4-5D6E-409C-BE32-E72D297353CC}">
              <c16:uniqueId val="{00000000-F07E-4A8B-9EBC-6C6A7D216212}"/>
            </c:ext>
          </c:extLst>
        </c:ser>
        <c:ser>
          <c:idx val="2"/>
          <c:order val="1"/>
          <c:tx>
            <c:v>Shear rate 1.6mm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rates'!$CM$263:$FO$263</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rates'!$G$59:$CI$59</c:f>
              <c:numCache>
                <c:formatCode>General</c:formatCode>
                <c:ptCount val="81"/>
                <c:pt idx="0">
                  <c:v>0</c:v>
                </c:pt>
                <c:pt idx="1">
                  <c:v>3.9236886160714288E-2</c:v>
                </c:pt>
                <c:pt idx="2">
                  <c:v>7.8473772321428575E-2</c:v>
                </c:pt>
                <c:pt idx="3">
                  <c:v>0.11771065848214285</c:v>
                </c:pt>
                <c:pt idx="4">
                  <c:v>0.15694754464285715</c:v>
                </c:pt>
                <c:pt idx="5">
                  <c:v>0.19618443080357142</c:v>
                </c:pt>
                <c:pt idx="6">
                  <c:v>0.2354213169642857</c:v>
                </c:pt>
                <c:pt idx="7">
                  <c:v>0.274658203125</c:v>
                </c:pt>
                <c:pt idx="8">
                  <c:v>0.3138950892857143</c:v>
                </c:pt>
                <c:pt idx="9">
                  <c:v>0.35313197544642855</c:v>
                </c:pt>
                <c:pt idx="10">
                  <c:v>0.39236886160714285</c:v>
                </c:pt>
                <c:pt idx="11">
                  <c:v>0.43160574776785715</c:v>
                </c:pt>
                <c:pt idx="12">
                  <c:v>0.4708426339285714</c:v>
                </c:pt>
                <c:pt idx="13">
                  <c:v>0.5100795200892857</c:v>
                </c:pt>
                <c:pt idx="14">
                  <c:v>0.54931640625</c:v>
                </c:pt>
                <c:pt idx="15">
                  <c:v>0.5885532924107143</c:v>
                </c:pt>
                <c:pt idx="16">
                  <c:v>0.6277901785714286</c:v>
                </c:pt>
                <c:pt idx="17">
                  <c:v>0.66702706473214279</c:v>
                </c:pt>
                <c:pt idx="18">
                  <c:v>0.7062639508928571</c:v>
                </c:pt>
                <c:pt idx="19">
                  <c:v>0.74550083705357151</c:v>
                </c:pt>
                <c:pt idx="20">
                  <c:v>0.7847377232142857</c:v>
                </c:pt>
                <c:pt idx="21">
                  <c:v>0.823974609375</c:v>
                </c:pt>
                <c:pt idx="22">
                  <c:v>0.8632114955357143</c:v>
                </c:pt>
                <c:pt idx="23">
                  <c:v>0.90244838169642849</c:v>
                </c:pt>
                <c:pt idx="24">
                  <c:v>0.94168526785714279</c:v>
                </c:pt>
                <c:pt idx="25">
                  <c:v>0.9809221540178571</c:v>
                </c:pt>
                <c:pt idx="26">
                  <c:v>1.0201590401785714</c:v>
                </c:pt>
                <c:pt idx="27">
                  <c:v>1.0593959263392858</c:v>
                </c:pt>
                <c:pt idx="28">
                  <c:v>1.0986328125000002</c:v>
                </c:pt>
                <c:pt idx="29">
                  <c:v>1.1378696986607146</c:v>
                </c:pt>
                <c:pt idx="30">
                  <c:v>1.1771065848214288</c:v>
                </c:pt>
                <c:pt idx="31">
                  <c:v>1.2163434709821435</c:v>
                </c:pt>
                <c:pt idx="32">
                  <c:v>1.2555803571428579</c:v>
                </c:pt>
                <c:pt idx="33">
                  <c:v>1.2948172433035721</c:v>
                </c:pt>
                <c:pt idx="34">
                  <c:v>1.3340541294642865</c:v>
                </c:pt>
                <c:pt idx="35">
                  <c:v>1.3732910156250009</c:v>
                </c:pt>
                <c:pt idx="36">
                  <c:v>1.4125279017857153</c:v>
                </c:pt>
                <c:pt idx="37">
                  <c:v>1.4517647879464297</c:v>
                </c:pt>
                <c:pt idx="38">
                  <c:v>1.4910016741071439</c:v>
                </c:pt>
                <c:pt idx="39">
                  <c:v>1.5302385602678583</c:v>
                </c:pt>
                <c:pt idx="40">
                  <c:v>1.5694754464285727</c:v>
                </c:pt>
                <c:pt idx="41">
                  <c:v>1.6087123325892871</c:v>
                </c:pt>
                <c:pt idx="42">
                  <c:v>1.6479492187500016</c:v>
                </c:pt>
                <c:pt idx="43">
                  <c:v>1.687186104910716</c:v>
                </c:pt>
                <c:pt idx="44">
                  <c:v>1.7264229910714302</c:v>
                </c:pt>
                <c:pt idx="45">
                  <c:v>1.7656598772321446</c:v>
                </c:pt>
                <c:pt idx="46">
                  <c:v>1.804896763392859</c:v>
                </c:pt>
                <c:pt idx="47">
                  <c:v>1.8441336495535734</c:v>
                </c:pt>
                <c:pt idx="48">
                  <c:v>1.883370535714288</c:v>
                </c:pt>
                <c:pt idx="49">
                  <c:v>1.9226074218750024</c:v>
                </c:pt>
                <c:pt idx="50">
                  <c:v>1.9618443080357169</c:v>
                </c:pt>
                <c:pt idx="51">
                  <c:v>2.001081194196431</c:v>
                </c:pt>
                <c:pt idx="52">
                  <c:v>2.0403180803571455</c:v>
                </c:pt>
                <c:pt idx="53">
                  <c:v>2.0795549665178599</c:v>
                </c:pt>
                <c:pt idx="54">
                  <c:v>2.1187918526785743</c:v>
                </c:pt>
                <c:pt idx="55">
                  <c:v>2.1580287388392887</c:v>
                </c:pt>
                <c:pt idx="56">
                  <c:v>2.1972656250000031</c:v>
                </c:pt>
                <c:pt idx="57">
                  <c:v>2.2365025111607171</c:v>
                </c:pt>
                <c:pt idx="58">
                  <c:v>2.2757393973214315</c:v>
                </c:pt>
                <c:pt idx="59">
                  <c:v>2.3149762834821459</c:v>
                </c:pt>
                <c:pt idx="60">
                  <c:v>2.3542131696428603</c:v>
                </c:pt>
                <c:pt idx="61">
                  <c:v>2.3934500558035747</c:v>
                </c:pt>
                <c:pt idx="62">
                  <c:v>2.4326869419642891</c:v>
                </c:pt>
                <c:pt idx="63">
                  <c:v>2.471923828125004</c:v>
                </c:pt>
                <c:pt idx="64">
                  <c:v>2.511160714285718</c:v>
                </c:pt>
                <c:pt idx="65">
                  <c:v>2.5503976004464324</c:v>
                </c:pt>
                <c:pt idx="66">
                  <c:v>2.5896344866071468</c:v>
                </c:pt>
                <c:pt idx="67">
                  <c:v>2.6288713727678612</c:v>
                </c:pt>
                <c:pt idx="68">
                  <c:v>2.6681082589285756</c:v>
                </c:pt>
                <c:pt idx="69">
                  <c:v>2.70734514508929</c:v>
                </c:pt>
                <c:pt idx="70">
                  <c:v>2.746582031250004</c:v>
                </c:pt>
                <c:pt idx="71">
                  <c:v>2.7858189174107184</c:v>
                </c:pt>
                <c:pt idx="72">
                  <c:v>2.8250558035714328</c:v>
                </c:pt>
                <c:pt idx="73">
                  <c:v>2.8642926897321477</c:v>
                </c:pt>
                <c:pt idx="74">
                  <c:v>2.9035295758928621</c:v>
                </c:pt>
                <c:pt idx="75">
                  <c:v>2.9427664620535765</c:v>
                </c:pt>
                <c:pt idx="76">
                  <c:v>2.9820033482142905</c:v>
                </c:pt>
                <c:pt idx="77">
                  <c:v>3.0212402343750053</c:v>
                </c:pt>
                <c:pt idx="78">
                  <c:v>3.0604771205357193</c:v>
                </c:pt>
                <c:pt idx="79">
                  <c:v>3.0997140066964342</c:v>
                </c:pt>
                <c:pt idx="80">
                  <c:v>3.1389508928571481</c:v>
                </c:pt>
              </c:numCache>
            </c:numRef>
          </c:yVal>
          <c:smooth val="0"/>
          <c:extLst>
            <c:ext xmlns:c16="http://schemas.microsoft.com/office/drawing/2014/chart" uri="{C3380CC4-5D6E-409C-BE32-E72D297353CC}">
              <c16:uniqueId val="{00000001-F07E-4A8B-9EBC-6C6A7D216212}"/>
            </c:ext>
          </c:extLst>
        </c:ser>
        <c:ser>
          <c:idx val="1"/>
          <c:order val="2"/>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rates'!$CN$277:$DC$277</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rates'!$G$21:$V$21</c:f>
              <c:numCache>
                <c:formatCode>General</c:formatCode>
                <c:ptCount val="16"/>
                <c:pt idx="0">
                  <c:v>0</c:v>
                </c:pt>
                <c:pt idx="1">
                  <c:v>5.9523809523809534</c:v>
                </c:pt>
                <c:pt idx="2">
                  <c:v>11.904761904761907</c:v>
                </c:pt>
                <c:pt idx="3">
                  <c:v>17.857142857142861</c:v>
                </c:pt>
                <c:pt idx="4">
                  <c:v>23.809523809523814</c:v>
                </c:pt>
                <c:pt idx="5">
                  <c:v>29.761904761904766</c:v>
                </c:pt>
                <c:pt idx="6">
                  <c:v>35.714285714285722</c:v>
                </c:pt>
                <c:pt idx="7">
                  <c:v>41.666666666666671</c:v>
                </c:pt>
                <c:pt idx="8">
                  <c:v>47.619047619047628</c:v>
                </c:pt>
                <c:pt idx="9">
                  <c:v>53.571428571428577</c:v>
                </c:pt>
                <c:pt idx="10">
                  <c:v>59.523809523809533</c:v>
                </c:pt>
                <c:pt idx="11">
                  <c:v>65.476190476190482</c:v>
                </c:pt>
                <c:pt idx="12">
                  <c:v>71.428571428571445</c:v>
                </c:pt>
                <c:pt idx="13">
                  <c:v>77.380952380952394</c:v>
                </c:pt>
                <c:pt idx="14">
                  <c:v>83.333333333333343</c:v>
                </c:pt>
                <c:pt idx="15">
                  <c:v>89.285714285714306</c:v>
                </c:pt>
              </c:numCache>
            </c:numRef>
          </c:yVal>
          <c:smooth val="0"/>
          <c:extLst>
            <c:ext xmlns:c16="http://schemas.microsoft.com/office/drawing/2014/chart" uri="{C3380CC4-5D6E-409C-BE32-E72D297353CC}">
              <c16:uniqueId val="{00000002-F07E-4A8B-9EBC-6C6A7D216212}"/>
            </c:ext>
          </c:extLst>
        </c:ser>
        <c:ser>
          <c:idx val="3"/>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rates'!$CN$286:$FP$286</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rates'!$G$59:$CI$59</c:f>
              <c:numCache>
                <c:formatCode>General</c:formatCode>
                <c:ptCount val="81"/>
                <c:pt idx="0">
                  <c:v>0</c:v>
                </c:pt>
                <c:pt idx="1">
                  <c:v>3.9236886160714288E-2</c:v>
                </c:pt>
                <c:pt idx="2">
                  <c:v>7.8473772321428575E-2</c:v>
                </c:pt>
                <c:pt idx="3">
                  <c:v>0.11771065848214285</c:v>
                </c:pt>
                <c:pt idx="4">
                  <c:v>0.15694754464285715</c:v>
                </c:pt>
                <c:pt idx="5">
                  <c:v>0.19618443080357142</c:v>
                </c:pt>
                <c:pt idx="6">
                  <c:v>0.2354213169642857</c:v>
                </c:pt>
                <c:pt idx="7">
                  <c:v>0.274658203125</c:v>
                </c:pt>
                <c:pt idx="8">
                  <c:v>0.3138950892857143</c:v>
                </c:pt>
                <c:pt idx="9">
                  <c:v>0.35313197544642855</c:v>
                </c:pt>
                <c:pt idx="10">
                  <c:v>0.39236886160714285</c:v>
                </c:pt>
                <c:pt idx="11">
                  <c:v>0.43160574776785715</c:v>
                </c:pt>
                <c:pt idx="12">
                  <c:v>0.4708426339285714</c:v>
                </c:pt>
                <c:pt idx="13">
                  <c:v>0.5100795200892857</c:v>
                </c:pt>
                <c:pt idx="14">
                  <c:v>0.54931640625</c:v>
                </c:pt>
                <c:pt idx="15">
                  <c:v>0.5885532924107143</c:v>
                </c:pt>
                <c:pt idx="16">
                  <c:v>0.6277901785714286</c:v>
                </c:pt>
                <c:pt idx="17">
                  <c:v>0.66702706473214279</c:v>
                </c:pt>
                <c:pt idx="18">
                  <c:v>0.7062639508928571</c:v>
                </c:pt>
                <c:pt idx="19">
                  <c:v>0.74550083705357151</c:v>
                </c:pt>
                <c:pt idx="20">
                  <c:v>0.7847377232142857</c:v>
                </c:pt>
                <c:pt idx="21">
                  <c:v>0.823974609375</c:v>
                </c:pt>
                <c:pt idx="22">
                  <c:v>0.8632114955357143</c:v>
                </c:pt>
                <c:pt idx="23">
                  <c:v>0.90244838169642849</c:v>
                </c:pt>
                <c:pt idx="24">
                  <c:v>0.94168526785714279</c:v>
                </c:pt>
                <c:pt idx="25">
                  <c:v>0.9809221540178571</c:v>
                </c:pt>
                <c:pt idx="26">
                  <c:v>1.0201590401785714</c:v>
                </c:pt>
                <c:pt idx="27">
                  <c:v>1.0593959263392858</c:v>
                </c:pt>
                <c:pt idx="28">
                  <c:v>1.0986328125000002</c:v>
                </c:pt>
                <c:pt idx="29">
                  <c:v>1.1378696986607146</c:v>
                </c:pt>
                <c:pt idx="30">
                  <c:v>1.1771065848214288</c:v>
                </c:pt>
                <c:pt idx="31">
                  <c:v>1.2163434709821435</c:v>
                </c:pt>
                <c:pt idx="32">
                  <c:v>1.2555803571428579</c:v>
                </c:pt>
                <c:pt idx="33">
                  <c:v>1.2948172433035721</c:v>
                </c:pt>
                <c:pt idx="34">
                  <c:v>1.3340541294642865</c:v>
                </c:pt>
                <c:pt idx="35">
                  <c:v>1.3732910156250009</c:v>
                </c:pt>
                <c:pt idx="36">
                  <c:v>1.4125279017857153</c:v>
                </c:pt>
                <c:pt idx="37">
                  <c:v>1.4517647879464297</c:v>
                </c:pt>
                <c:pt idx="38">
                  <c:v>1.4910016741071439</c:v>
                </c:pt>
                <c:pt idx="39">
                  <c:v>1.5302385602678583</c:v>
                </c:pt>
                <c:pt idx="40">
                  <c:v>1.5694754464285727</c:v>
                </c:pt>
                <c:pt idx="41">
                  <c:v>1.6087123325892871</c:v>
                </c:pt>
                <c:pt idx="42">
                  <c:v>1.6479492187500016</c:v>
                </c:pt>
                <c:pt idx="43">
                  <c:v>1.687186104910716</c:v>
                </c:pt>
                <c:pt idx="44">
                  <c:v>1.7264229910714302</c:v>
                </c:pt>
                <c:pt idx="45">
                  <c:v>1.7656598772321446</c:v>
                </c:pt>
                <c:pt idx="46">
                  <c:v>1.804896763392859</c:v>
                </c:pt>
                <c:pt idx="47">
                  <c:v>1.8441336495535734</c:v>
                </c:pt>
                <c:pt idx="48">
                  <c:v>1.883370535714288</c:v>
                </c:pt>
                <c:pt idx="49">
                  <c:v>1.9226074218750024</c:v>
                </c:pt>
                <c:pt idx="50">
                  <c:v>1.9618443080357169</c:v>
                </c:pt>
                <c:pt idx="51">
                  <c:v>2.001081194196431</c:v>
                </c:pt>
                <c:pt idx="52">
                  <c:v>2.0403180803571455</c:v>
                </c:pt>
                <c:pt idx="53">
                  <c:v>2.0795549665178599</c:v>
                </c:pt>
                <c:pt idx="54">
                  <c:v>2.1187918526785743</c:v>
                </c:pt>
                <c:pt idx="55">
                  <c:v>2.1580287388392887</c:v>
                </c:pt>
                <c:pt idx="56">
                  <c:v>2.1972656250000031</c:v>
                </c:pt>
                <c:pt idx="57">
                  <c:v>2.2365025111607171</c:v>
                </c:pt>
                <c:pt idx="58">
                  <c:v>2.2757393973214315</c:v>
                </c:pt>
                <c:pt idx="59">
                  <c:v>2.3149762834821459</c:v>
                </c:pt>
                <c:pt idx="60">
                  <c:v>2.3542131696428603</c:v>
                </c:pt>
                <c:pt idx="61">
                  <c:v>2.3934500558035747</c:v>
                </c:pt>
                <c:pt idx="62">
                  <c:v>2.4326869419642891</c:v>
                </c:pt>
                <c:pt idx="63">
                  <c:v>2.471923828125004</c:v>
                </c:pt>
                <c:pt idx="64">
                  <c:v>2.511160714285718</c:v>
                </c:pt>
                <c:pt idx="65">
                  <c:v>2.5503976004464324</c:v>
                </c:pt>
                <c:pt idx="66">
                  <c:v>2.5896344866071468</c:v>
                </c:pt>
                <c:pt idx="67">
                  <c:v>2.6288713727678612</c:v>
                </c:pt>
                <c:pt idx="68">
                  <c:v>2.6681082589285756</c:v>
                </c:pt>
                <c:pt idx="69">
                  <c:v>2.70734514508929</c:v>
                </c:pt>
                <c:pt idx="70">
                  <c:v>2.746582031250004</c:v>
                </c:pt>
                <c:pt idx="71">
                  <c:v>2.7858189174107184</c:v>
                </c:pt>
                <c:pt idx="72">
                  <c:v>2.8250558035714328</c:v>
                </c:pt>
                <c:pt idx="73">
                  <c:v>2.8642926897321477</c:v>
                </c:pt>
                <c:pt idx="74">
                  <c:v>2.9035295758928621</c:v>
                </c:pt>
                <c:pt idx="75">
                  <c:v>2.9427664620535765</c:v>
                </c:pt>
                <c:pt idx="76">
                  <c:v>2.9820033482142905</c:v>
                </c:pt>
                <c:pt idx="77">
                  <c:v>3.0212402343750053</c:v>
                </c:pt>
                <c:pt idx="78">
                  <c:v>3.0604771205357193</c:v>
                </c:pt>
                <c:pt idx="79">
                  <c:v>3.0997140066964342</c:v>
                </c:pt>
                <c:pt idx="80">
                  <c:v>3.1389508928571481</c:v>
                </c:pt>
              </c:numCache>
            </c:numRef>
          </c:yVal>
          <c:smooth val="0"/>
          <c:extLst>
            <c:ext xmlns:c16="http://schemas.microsoft.com/office/drawing/2014/chart" uri="{C3380CC4-5D6E-409C-BE32-E72D297353CC}">
              <c16:uniqueId val="{00000003-F07E-4A8B-9EBC-6C6A7D216212}"/>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 rate s</a:t>
                </a:r>
                <a:r>
                  <a:rPr lang="en-GB" sz="1600" baseline="30000">
                    <a:solidFill>
                      <a:schemeClr val="tx1"/>
                    </a:solidFill>
                  </a:rPr>
                  <a:t>-1</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2"/>
        <c:delete val="1"/>
      </c:legendEntry>
      <c:legendEntry>
        <c:idx val="3"/>
        <c:delete val="1"/>
      </c:legendEntry>
      <c:layout>
        <c:manualLayout>
          <c:xMode val="edge"/>
          <c:yMode val="edge"/>
          <c:x val="0.15999404346754895"/>
          <c:y val="0.13534398714552531"/>
          <c:w val="0.17516359193146705"/>
          <c:h val="9.488664172030753E-2"/>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12</a:t>
            </a:r>
            <a:r>
              <a:rPr lang="en-GB" baseline="0"/>
              <a:t>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shear/stretch 0.3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rates'!$X$14:$AM$14</c:f>
              <c:numCache>
                <c:formatCode>General</c:formatCode>
                <c:ptCount val="16"/>
                <c:pt idx="0">
                  <c:v>0</c:v>
                </c:pt>
                <c:pt idx="1">
                  <c:v>7.576144084141581</c:v>
                </c:pt>
                <c:pt idx="2">
                  <c:v>15.357975337988364</c:v>
                </c:pt>
                <c:pt idx="3">
                  <c:v>23.570226039551589</c:v>
                </c:pt>
                <c:pt idx="4">
                  <c:v>32.479545930099796</c:v>
                </c:pt>
                <c:pt idx="5">
                  <c:v>42.426406871192853</c:v>
                </c:pt>
                <c:pt idx="6">
                  <c:v>53.874802376117906</c:v>
                </c:pt>
                <c:pt idx="7">
                  <c:v>67.49655638598864</c:v>
                </c:pt>
                <c:pt idx="8">
                  <c:v>84.325777632184554</c:v>
                </c:pt>
                <c:pt idx="9">
                  <c:v>106.06601717798215</c:v>
                </c:pt>
                <c:pt idx="10">
                  <c:v>135.76450198781717</c:v>
                </c:pt>
                <c:pt idx="11">
                  <c:v>179.49633676273905</c:v>
                </c:pt>
                <c:pt idx="12">
                  <c:v>251.41574442188366</c:v>
                </c:pt>
                <c:pt idx="13">
                  <c:v>393.95949237536269</c:v>
                </c:pt>
                <c:pt idx="14">
                  <c:v>819.26854647820858</c:v>
                </c:pt>
                <c:pt idx="15">
                  <c:v>5.0952413380206182E+17</c:v>
                </c:pt>
              </c:numCache>
            </c:numRef>
          </c:yVal>
          <c:smooth val="0"/>
          <c:extLst>
            <c:ext xmlns:c16="http://schemas.microsoft.com/office/drawing/2014/chart" uri="{C3380CC4-5D6E-409C-BE32-E72D297353CC}">
              <c16:uniqueId val="{00000000-8830-4A87-8823-CC4B35FB4AAD}"/>
            </c:ext>
          </c:extLst>
        </c:ser>
        <c:ser>
          <c:idx val="1"/>
          <c:order val="1"/>
          <c:tx>
            <c:v>shear/ stretch 1.6 mm </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rates'!$CM$263:$FO$263</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rates'!$CK$52:$FM$52</c:f>
              <c:numCache>
                <c:formatCode>General</c:formatCode>
                <c:ptCount val="81"/>
                <c:pt idx="0">
                  <c:v>0</c:v>
                </c:pt>
                <c:pt idx="1">
                  <c:v>0.265206481457683</c:v>
                </c:pt>
                <c:pt idx="2">
                  <c:v>0.53066174948333755</c:v>
                </c:pt>
                <c:pt idx="3">
                  <c:v>0.7966153691978004</c:v>
                </c:pt>
                <c:pt idx="4">
                  <c:v>1.0633184679496952</c:v>
                </c:pt>
                <c:pt idx="5">
                  <c:v>1.3310245292923242</c:v>
                </c:pt>
                <c:pt idx="6">
                  <c:v>1.5999902025591264</c:v>
                </c:pt>
                <c:pt idx="7">
                  <c:v>1.8704761335118869</c:v>
                </c:pt>
                <c:pt idx="8">
                  <c:v>2.1427478217774159</c:v>
                </c:pt>
                <c:pt idx="9">
                  <c:v>2.417076511098184</c:v>
                </c:pt>
                <c:pt idx="10">
                  <c:v>2.6937401188058945</c:v>
                </c:pt>
                <c:pt idx="11">
                  <c:v>2.9730242113911212</c:v>
                </c:pt>
                <c:pt idx="12">
                  <c:v>3.255223033595358</c:v>
                </c:pt>
                <c:pt idx="13">
                  <c:v>3.5406405991045218</c:v>
                </c:pt>
                <c:pt idx="14">
                  <c:v>3.8295918516872969</c:v>
                </c:pt>
                <c:pt idx="15">
                  <c:v>4.1224039065126643</c:v>
                </c:pt>
                <c:pt idx="16">
                  <c:v>4.4194173824159204</c:v>
                </c:pt>
                <c:pt idx="17">
                  <c:v>4.7209878370824967</c:v>
                </c:pt>
                <c:pt idx="18">
                  <c:v>5.0274873185086975</c:v>
                </c:pt>
                <c:pt idx="19">
                  <c:v>5.3393060477076597</c:v>
                </c:pt>
                <c:pt idx="20">
                  <c:v>5.6568542494923788</c:v>
                </c:pt>
                <c:pt idx="21">
                  <c:v>5.9805641503275693</c:v>
                </c:pt>
                <c:pt idx="22">
                  <c:v>6.3108921647480889</c:v>
                </c:pt>
                <c:pt idx="23">
                  <c:v>6.6483212947534343</c:v>
                </c:pt>
                <c:pt idx="24">
                  <c:v>6.9933637699768401</c:v>
                </c:pt>
                <c:pt idx="25">
                  <c:v>7.3465639603797115</c:v>
                </c:pt>
                <c:pt idx="26">
                  <c:v>7.7085015978407672</c:v>
                </c:pt>
                <c:pt idx="27">
                  <c:v>8.0797953484197276</c:v>
                </c:pt>
                <c:pt idx="28">
                  <c:v>8.4611067834287734</c:v>
                </c:pt>
                <c:pt idx="29">
                  <c:v>8.8531448049260124</c:v>
                </c:pt>
                <c:pt idx="30">
                  <c:v>9.2566705900784427</c:v>
                </c:pt>
                <c:pt idx="31">
                  <c:v>9.6725031293030241</c:v>
                </c:pt>
                <c:pt idx="32">
                  <c:v>10.10152544552211</c:v>
                </c:pt>
                <c:pt idx="33">
                  <c:v>10.544691596681339</c:v>
                </c:pt>
                <c:pt idx="34">
                  <c:v>11.003034581392509</c:v>
                </c:pt>
                <c:pt idx="35">
                  <c:v>11.477675288825127</c:v>
                </c:pt>
                <c:pt idx="36">
                  <c:v>11.969832659584199</c:v>
                </c:pt>
                <c:pt idx="37">
                  <c:v>12.480835255290298</c:v>
                </c:pt>
                <c:pt idx="38">
                  <c:v>13.012134472197983</c:v>
                </c:pt>
                <c:pt idx="39">
                  <c:v>13.565319680069878</c:v>
                </c:pt>
                <c:pt idx="40">
                  <c:v>14.142135623730969</c:v>
                </c:pt>
                <c:pt idx="41">
                  <c:v>14.744502493908957</c:v>
                </c:pt>
                <c:pt idx="42">
                  <c:v>15.374539159534967</c:v>
                </c:pt>
                <c:pt idx="43">
                  <c:v>16.03459016006412</c:v>
                </c:pt>
                <c:pt idx="44">
                  <c:v>16.727257189359218</c:v>
                </c:pt>
                <c:pt idx="45">
                  <c:v>17.455435969862233</c:v>
                </c:pt>
                <c:pt idx="46">
                  <c:v>18.222359627216388</c:v>
                </c:pt>
                <c:pt idx="47">
                  <c:v>19.031649944605761</c:v>
                </c:pt>
                <c:pt idx="48">
                  <c:v>19.887378220871692</c:v>
                </c:pt>
                <c:pt idx="49">
                  <c:v>20.794137901359889</c:v>
                </c:pt>
                <c:pt idx="50">
                  <c:v>21.757131728816908</c:v>
                </c:pt>
                <c:pt idx="51">
                  <c:v>22.782276919513993</c:v>
                </c:pt>
                <c:pt idx="52">
                  <c:v>23.876332871234144</c:v>
                </c:pt>
                <c:pt idx="53">
                  <c:v>25.047057245037351</c:v>
                </c:pt>
                <c:pt idx="54">
                  <c:v>26.303398060211503</c:v>
                </c:pt>
                <c:pt idx="55">
                  <c:v>27.655731886407292</c:v>
                </c:pt>
                <c:pt idx="56">
                  <c:v>29.116161578269711</c:v>
                </c:pt>
                <c:pt idx="57">
                  <c:v>30.698891674490671</c:v>
                </c:pt>
                <c:pt idx="58">
                  <c:v>32.420706172980189</c:v>
                </c:pt>
                <c:pt idx="59">
                  <c:v>34.301582807816239</c:v>
                </c:pt>
                <c:pt idx="60">
                  <c:v>36.365491603879768</c:v>
                </c:pt>
                <c:pt idx="61">
                  <c:v>38.641445601235965</c:v>
                </c:pt>
                <c:pt idx="62">
                  <c:v>41.164901815555126</c:v>
                </c:pt>
                <c:pt idx="63">
                  <c:v>43.979656649694221</c:v>
                </c:pt>
                <c:pt idx="64">
                  <c:v>47.140452079103504</c:v>
                </c:pt>
                <c:pt idx="65">
                  <c:v>50.716624305794134</c:v>
                </c:pt>
                <c:pt idx="66">
                  <c:v>54.797316115435443</c:v>
                </c:pt>
                <c:pt idx="67">
                  <c:v>59.499094931867013</c:v>
                </c:pt>
                <c:pt idx="68">
                  <c:v>64.977379892818533</c:v>
                </c:pt>
                <c:pt idx="69">
                  <c:v>71.444101869733728</c:v>
                </c:pt>
                <c:pt idx="70">
                  <c:v>79.195959492894289</c:v>
                </c:pt>
                <c:pt idx="71">
                  <c:v>88.661512519639004</c:v>
                </c:pt>
                <c:pt idx="72">
                  <c:v>100.48359522124781</c:v>
                </c:pt>
                <c:pt idx="73">
                  <c:v>115.67236980754933</c:v>
                </c:pt>
                <c:pt idx="74">
                  <c:v>135.9114332670276</c:v>
                </c:pt>
                <c:pt idx="75">
                  <c:v>164.23125240462193</c:v>
                </c:pt>
                <c:pt idx="76">
                  <c:v>206.69275142376685</c:v>
                </c:pt>
                <c:pt idx="77">
                  <c:v>277.43807465664514</c:v>
                </c:pt>
                <c:pt idx="78">
                  <c:v>418.89363746243981</c:v>
                </c:pt>
                <c:pt idx="79">
                  <c:v>843.19148247162195</c:v>
                </c:pt>
                <c:pt idx="80">
                  <c:v>5970985942992921</c:v>
                </c:pt>
              </c:numCache>
            </c:numRef>
          </c:yVal>
          <c:smooth val="0"/>
          <c:extLst>
            <c:ext xmlns:c16="http://schemas.microsoft.com/office/drawing/2014/chart" uri="{C3380CC4-5D6E-409C-BE32-E72D297353CC}">
              <c16:uniqueId val="{00000001-8830-4A87-8823-CC4B35FB4AAD}"/>
            </c:ext>
          </c:extLst>
        </c:ser>
        <c:ser>
          <c:idx val="2"/>
          <c:order val="2"/>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rates'!$CN$277:$DC$277</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rates'!$X$14:$AM$14</c:f>
              <c:numCache>
                <c:formatCode>General</c:formatCode>
                <c:ptCount val="16"/>
                <c:pt idx="0">
                  <c:v>0</c:v>
                </c:pt>
                <c:pt idx="1">
                  <c:v>7.576144084141581</c:v>
                </c:pt>
                <c:pt idx="2">
                  <c:v>15.357975337988364</c:v>
                </c:pt>
                <c:pt idx="3">
                  <c:v>23.570226039551589</c:v>
                </c:pt>
                <c:pt idx="4">
                  <c:v>32.479545930099796</c:v>
                </c:pt>
                <c:pt idx="5">
                  <c:v>42.426406871192853</c:v>
                </c:pt>
                <c:pt idx="6">
                  <c:v>53.874802376117906</c:v>
                </c:pt>
                <c:pt idx="7">
                  <c:v>67.49655638598864</c:v>
                </c:pt>
                <c:pt idx="8">
                  <c:v>84.325777632184554</c:v>
                </c:pt>
                <c:pt idx="9">
                  <c:v>106.06601717798215</c:v>
                </c:pt>
                <c:pt idx="10">
                  <c:v>135.76450198781717</c:v>
                </c:pt>
                <c:pt idx="11">
                  <c:v>179.49633676273905</c:v>
                </c:pt>
                <c:pt idx="12">
                  <c:v>251.41574442188366</c:v>
                </c:pt>
                <c:pt idx="13">
                  <c:v>393.95949237536269</c:v>
                </c:pt>
                <c:pt idx="14">
                  <c:v>819.26854647820858</c:v>
                </c:pt>
                <c:pt idx="15">
                  <c:v>5.0952413380206182E+17</c:v>
                </c:pt>
              </c:numCache>
            </c:numRef>
          </c:yVal>
          <c:smooth val="0"/>
          <c:extLst>
            <c:ext xmlns:c16="http://schemas.microsoft.com/office/drawing/2014/chart" uri="{C3380CC4-5D6E-409C-BE32-E72D297353CC}">
              <c16:uniqueId val="{00000004-8830-4A87-8823-CC4B35FB4AAD}"/>
            </c:ext>
          </c:extLst>
        </c:ser>
        <c:ser>
          <c:idx val="3"/>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rates'!$CN$286:$FP$286</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rates'!$CK$52:$FM$52</c:f>
              <c:numCache>
                <c:formatCode>General</c:formatCode>
                <c:ptCount val="81"/>
                <c:pt idx="0">
                  <c:v>0</c:v>
                </c:pt>
                <c:pt idx="1">
                  <c:v>0.265206481457683</c:v>
                </c:pt>
                <c:pt idx="2">
                  <c:v>0.53066174948333755</c:v>
                </c:pt>
                <c:pt idx="3">
                  <c:v>0.7966153691978004</c:v>
                </c:pt>
                <c:pt idx="4">
                  <c:v>1.0633184679496952</c:v>
                </c:pt>
                <c:pt idx="5">
                  <c:v>1.3310245292923242</c:v>
                </c:pt>
                <c:pt idx="6">
                  <c:v>1.5999902025591264</c:v>
                </c:pt>
                <c:pt idx="7">
                  <c:v>1.8704761335118869</c:v>
                </c:pt>
                <c:pt idx="8">
                  <c:v>2.1427478217774159</c:v>
                </c:pt>
                <c:pt idx="9">
                  <c:v>2.417076511098184</c:v>
                </c:pt>
                <c:pt idx="10">
                  <c:v>2.6937401188058945</c:v>
                </c:pt>
                <c:pt idx="11">
                  <c:v>2.9730242113911212</c:v>
                </c:pt>
                <c:pt idx="12">
                  <c:v>3.255223033595358</c:v>
                </c:pt>
                <c:pt idx="13">
                  <c:v>3.5406405991045218</c:v>
                </c:pt>
                <c:pt idx="14">
                  <c:v>3.8295918516872969</c:v>
                </c:pt>
                <c:pt idx="15">
                  <c:v>4.1224039065126643</c:v>
                </c:pt>
                <c:pt idx="16">
                  <c:v>4.4194173824159204</c:v>
                </c:pt>
                <c:pt idx="17">
                  <c:v>4.7209878370824967</c:v>
                </c:pt>
                <c:pt idx="18">
                  <c:v>5.0274873185086975</c:v>
                </c:pt>
                <c:pt idx="19">
                  <c:v>5.3393060477076597</c:v>
                </c:pt>
                <c:pt idx="20">
                  <c:v>5.6568542494923788</c:v>
                </c:pt>
                <c:pt idx="21">
                  <c:v>5.9805641503275693</c:v>
                </c:pt>
                <c:pt idx="22">
                  <c:v>6.3108921647480889</c:v>
                </c:pt>
                <c:pt idx="23">
                  <c:v>6.6483212947534343</c:v>
                </c:pt>
                <c:pt idx="24">
                  <c:v>6.9933637699768401</c:v>
                </c:pt>
                <c:pt idx="25">
                  <c:v>7.3465639603797115</c:v>
                </c:pt>
                <c:pt idx="26">
                  <c:v>7.7085015978407672</c:v>
                </c:pt>
                <c:pt idx="27">
                  <c:v>8.0797953484197276</c:v>
                </c:pt>
                <c:pt idx="28">
                  <c:v>8.4611067834287734</c:v>
                </c:pt>
                <c:pt idx="29">
                  <c:v>8.8531448049260124</c:v>
                </c:pt>
                <c:pt idx="30">
                  <c:v>9.2566705900784427</c:v>
                </c:pt>
                <c:pt idx="31">
                  <c:v>9.6725031293030241</c:v>
                </c:pt>
                <c:pt idx="32">
                  <c:v>10.10152544552211</c:v>
                </c:pt>
                <c:pt idx="33">
                  <c:v>10.544691596681339</c:v>
                </c:pt>
                <c:pt idx="34">
                  <c:v>11.003034581392509</c:v>
                </c:pt>
                <c:pt idx="35">
                  <c:v>11.477675288825127</c:v>
                </c:pt>
                <c:pt idx="36">
                  <c:v>11.969832659584199</c:v>
                </c:pt>
                <c:pt idx="37">
                  <c:v>12.480835255290298</c:v>
                </c:pt>
                <c:pt idx="38">
                  <c:v>13.012134472197983</c:v>
                </c:pt>
                <c:pt idx="39">
                  <c:v>13.565319680069878</c:v>
                </c:pt>
                <c:pt idx="40">
                  <c:v>14.142135623730969</c:v>
                </c:pt>
                <c:pt idx="41">
                  <c:v>14.744502493908957</c:v>
                </c:pt>
                <c:pt idx="42">
                  <c:v>15.374539159534967</c:v>
                </c:pt>
                <c:pt idx="43">
                  <c:v>16.03459016006412</c:v>
                </c:pt>
                <c:pt idx="44">
                  <c:v>16.727257189359218</c:v>
                </c:pt>
                <c:pt idx="45">
                  <c:v>17.455435969862233</c:v>
                </c:pt>
                <c:pt idx="46">
                  <c:v>18.222359627216388</c:v>
                </c:pt>
                <c:pt idx="47">
                  <c:v>19.031649944605761</c:v>
                </c:pt>
                <c:pt idx="48">
                  <c:v>19.887378220871692</c:v>
                </c:pt>
                <c:pt idx="49">
                  <c:v>20.794137901359889</c:v>
                </c:pt>
                <c:pt idx="50">
                  <c:v>21.757131728816908</c:v>
                </c:pt>
                <c:pt idx="51">
                  <c:v>22.782276919513993</c:v>
                </c:pt>
                <c:pt idx="52">
                  <c:v>23.876332871234144</c:v>
                </c:pt>
                <c:pt idx="53">
                  <c:v>25.047057245037351</c:v>
                </c:pt>
                <c:pt idx="54">
                  <c:v>26.303398060211503</c:v>
                </c:pt>
                <c:pt idx="55">
                  <c:v>27.655731886407292</c:v>
                </c:pt>
                <c:pt idx="56">
                  <c:v>29.116161578269711</c:v>
                </c:pt>
                <c:pt idx="57">
                  <c:v>30.698891674490671</c:v>
                </c:pt>
                <c:pt idx="58">
                  <c:v>32.420706172980189</c:v>
                </c:pt>
                <c:pt idx="59">
                  <c:v>34.301582807816239</c:v>
                </c:pt>
                <c:pt idx="60">
                  <c:v>36.365491603879768</c:v>
                </c:pt>
                <c:pt idx="61">
                  <c:v>38.641445601235965</c:v>
                </c:pt>
                <c:pt idx="62">
                  <c:v>41.164901815555126</c:v>
                </c:pt>
                <c:pt idx="63">
                  <c:v>43.979656649694221</c:v>
                </c:pt>
                <c:pt idx="64">
                  <c:v>47.140452079103504</c:v>
                </c:pt>
                <c:pt idx="65">
                  <c:v>50.716624305794134</c:v>
                </c:pt>
                <c:pt idx="66">
                  <c:v>54.797316115435443</c:v>
                </c:pt>
                <c:pt idx="67">
                  <c:v>59.499094931867013</c:v>
                </c:pt>
                <c:pt idx="68">
                  <c:v>64.977379892818533</c:v>
                </c:pt>
                <c:pt idx="69">
                  <c:v>71.444101869733728</c:v>
                </c:pt>
                <c:pt idx="70">
                  <c:v>79.195959492894289</c:v>
                </c:pt>
                <c:pt idx="71">
                  <c:v>88.661512519639004</c:v>
                </c:pt>
                <c:pt idx="72">
                  <c:v>100.48359522124781</c:v>
                </c:pt>
                <c:pt idx="73">
                  <c:v>115.67236980754933</c:v>
                </c:pt>
                <c:pt idx="74">
                  <c:v>135.9114332670276</c:v>
                </c:pt>
                <c:pt idx="75">
                  <c:v>164.23125240462193</c:v>
                </c:pt>
                <c:pt idx="76">
                  <c:v>206.69275142376685</c:v>
                </c:pt>
                <c:pt idx="77">
                  <c:v>277.43807465664514</c:v>
                </c:pt>
                <c:pt idx="78">
                  <c:v>418.89363746243981</c:v>
                </c:pt>
                <c:pt idx="79">
                  <c:v>843.19148247162195</c:v>
                </c:pt>
                <c:pt idx="80">
                  <c:v>5970985942992921</c:v>
                </c:pt>
              </c:numCache>
            </c:numRef>
          </c:yVal>
          <c:smooth val="0"/>
          <c:extLst>
            <c:ext xmlns:c16="http://schemas.microsoft.com/office/drawing/2014/chart" uri="{C3380CC4-5D6E-409C-BE32-E72D297353CC}">
              <c16:uniqueId val="{00000005-8830-4A87-8823-CC4B35FB4AAD}"/>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max val="850"/>
          <c:min val="0"/>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2"/>
        <c:delete val="1"/>
      </c:legendEntry>
      <c:legendEntry>
        <c:idx val="3"/>
        <c:delete val="1"/>
      </c:legendEntry>
      <c:layout>
        <c:manualLayout>
          <c:xMode val="edge"/>
          <c:yMode val="edge"/>
          <c:x val="0.68485728254896783"/>
          <c:y val="0.12825000438871484"/>
          <c:w val="0.12298116523481056"/>
          <c:h val="8.4266344990484326E-2"/>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aseline="0"/>
              <a:t>42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shear/stretch 0.3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rates'!$X$16:$AM$16</c:f>
              <c:numCache>
                <c:formatCode>General</c:formatCode>
                <c:ptCount val="16"/>
                <c:pt idx="0">
                  <c:v>0</c:v>
                </c:pt>
                <c:pt idx="1">
                  <c:v>26.51650429449554</c:v>
                </c:pt>
                <c:pt idx="2">
                  <c:v>53.752913682959282</c:v>
                </c:pt>
                <c:pt idx="3">
                  <c:v>82.495791138430562</c:v>
                </c:pt>
                <c:pt idx="4">
                  <c:v>113.67841075534929</c:v>
                </c:pt>
                <c:pt idx="5">
                  <c:v>148.49242404917501</c:v>
                </c:pt>
                <c:pt idx="6">
                  <c:v>188.56180831641271</c:v>
                </c:pt>
                <c:pt idx="7">
                  <c:v>236.23794735096027</c:v>
                </c:pt>
                <c:pt idx="8">
                  <c:v>295.140221712646</c:v>
                </c:pt>
                <c:pt idx="9">
                  <c:v>371.23106012293755</c:v>
                </c:pt>
                <c:pt idx="10">
                  <c:v>475.17575695736002</c:v>
                </c:pt>
                <c:pt idx="11">
                  <c:v>628.23717866958668</c:v>
                </c:pt>
                <c:pt idx="12">
                  <c:v>879.95510547659296</c:v>
                </c:pt>
                <c:pt idx="13">
                  <c:v>1378.8582233137695</c:v>
                </c:pt>
                <c:pt idx="14">
                  <c:v>2867.4399126737303</c:v>
                </c:pt>
                <c:pt idx="15">
                  <c:v>1.7833344683072166E+18</c:v>
                </c:pt>
              </c:numCache>
            </c:numRef>
          </c:yVal>
          <c:smooth val="0"/>
          <c:extLst>
            <c:ext xmlns:c16="http://schemas.microsoft.com/office/drawing/2014/chart" uri="{C3380CC4-5D6E-409C-BE32-E72D297353CC}">
              <c16:uniqueId val="{00000000-0D67-4DF0-8361-DEB8701B4548}"/>
            </c:ext>
          </c:extLst>
        </c:ser>
        <c:ser>
          <c:idx val="1"/>
          <c:order val="1"/>
          <c:tx>
            <c:v>shear/ stretch 1.6 mm </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rates'!$CM$263:$FO$263</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rates'!$CK$54:$FM$54</c:f>
              <c:numCache>
                <c:formatCode>General</c:formatCode>
                <c:ptCount val="81"/>
                <c:pt idx="0">
                  <c:v>0</c:v>
                </c:pt>
                <c:pt idx="1">
                  <c:v>0.92822268510189077</c:v>
                </c:pt>
                <c:pt idx="2">
                  <c:v>1.8573161231916822</c:v>
                </c:pt>
                <c:pt idx="3">
                  <c:v>2.788153792192301</c:v>
                </c:pt>
                <c:pt idx="4">
                  <c:v>3.7216146378239348</c:v>
                </c:pt>
                <c:pt idx="5">
                  <c:v>4.6585858525231369</c:v>
                </c:pt>
                <c:pt idx="6">
                  <c:v>5.5999657089569439</c:v>
                </c:pt>
                <c:pt idx="7">
                  <c:v>6.5466664672916064</c:v>
                </c:pt>
                <c:pt idx="8">
                  <c:v>7.499617376220959</c:v>
                </c:pt>
                <c:pt idx="9">
                  <c:v>8.459767788843644</c:v>
                </c:pt>
                <c:pt idx="10">
                  <c:v>9.428090415820634</c:v>
                </c:pt>
                <c:pt idx="11">
                  <c:v>10.405584739868926</c:v>
                </c:pt>
                <c:pt idx="12">
                  <c:v>11.393280617583757</c:v>
                </c:pt>
                <c:pt idx="13">
                  <c:v>12.39224209686583</c:v>
                </c:pt>
                <c:pt idx="14">
                  <c:v>13.403571480905544</c:v>
                </c:pt>
                <c:pt idx="15">
                  <c:v>14.42841367279433</c:v>
                </c:pt>
                <c:pt idx="16">
                  <c:v>15.467960838455729</c:v>
                </c:pt>
                <c:pt idx="17">
                  <c:v>16.523457429788738</c:v>
                </c:pt>
                <c:pt idx="18">
                  <c:v>17.596205614780445</c:v>
                </c:pt>
                <c:pt idx="19">
                  <c:v>18.687571166976817</c:v>
                </c:pt>
                <c:pt idx="20">
                  <c:v>19.798989873223327</c:v>
                </c:pt>
                <c:pt idx="21">
                  <c:v>20.931974526146497</c:v>
                </c:pt>
                <c:pt idx="22">
                  <c:v>22.088122576618321</c:v>
                </c:pt>
                <c:pt idx="23">
                  <c:v>23.269124531637026</c:v>
                </c:pt>
                <c:pt idx="24">
                  <c:v>24.476773194918948</c:v>
                </c:pt>
                <c:pt idx="25">
                  <c:v>25.712973861328997</c:v>
                </c:pt>
                <c:pt idx="26">
                  <c:v>26.97975559244269</c:v>
                </c:pt>
                <c:pt idx="27">
                  <c:v>28.279283719469056</c:v>
                </c:pt>
                <c:pt idx="28">
                  <c:v>29.613873742000713</c:v>
                </c:pt>
                <c:pt idx="29">
                  <c:v>30.986006817241059</c:v>
                </c:pt>
                <c:pt idx="30">
                  <c:v>32.398347065274557</c:v>
                </c:pt>
                <c:pt idx="31">
                  <c:v>33.853760952560606</c:v>
                </c:pt>
                <c:pt idx="32">
                  <c:v>35.355339059327399</c:v>
                </c:pt>
                <c:pt idx="33">
                  <c:v>36.906420588384698</c:v>
                </c:pt>
                <c:pt idx="34">
                  <c:v>38.510621034873793</c:v>
                </c:pt>
                <c:pt idx="35">
                  <c:v>40.171863510887952</c:v>
                </c:pt>
                <c:pt idx="36">
                  <c:v>41.894414308544718</c:v>
                </c:pt>
                <c:pt idx="37">
                  <c:v>43.682923393516056</c:v>
                </c:pt>
                <c:pt idx="38">
                  <c:v>45.542470652692948</c:v>
                </c:pt>
                <c:pt idx="39">
                  <c:v>47.478618880244568</c:v>
                </c:pt>
                <c:pt idx="40">
                  <c:v>49.497474683058392</c:v>
                </c:pt>
                <c:pt idx="41">
                  <c:v>51.605758728681359</c:v>
                </c:pt>
                <c:pt idx="42">
                  <c:v>53.810887058372394</c:v>
                </c:pt>
                <c:pt idx="43">
                  <c:v>56.121065560224437</c:v>
                </c:pt>
                <c:pt idx="44">
                  <c:v>58.545400162757268</c:v>
                </c:pt>
                <c:pt idx="45">
                  <c:v>61.094025894517827</c:v>
                </c:pt>
                <c:pt idx="46">
                  <c:v>63.778258695257378</c:v>
                </c:pt>
                <c:pt idx="47">
                  <c:v>66.610774806120176</c:v>
                </c:pt>
                <c:pt idx="48">
                  <c:v>69.605823773050957</c:v>
                </c:pt>
                <c:pt idx="49">
                  <c:v>72.779482654759633</c:v>
                </c:pt>
                <c:pt idx="50">
                  <c:v>76.149961050859204</c:v>
                </c:pt>
                <c:pt idx="51">
                  <c:v>79.737969218299</c:v>
                </c:pt>
                <c:pt idx="52">
                  <c:v>83.567165049319527</c:v>
                </c:pt>
                <c:pt idx="53">
                  <c:v>87.66470035763075</c:v>
                </c:pt>
                <c:pt idx="54">
                  <c:v>92.06189321074028</c:v>
                </c:pt>
                <c:pt idx="55">
                  <c:v>96.795061602425548</c:v>
                </c:pt>
                <c:pt idx="56">
                  <c:v>101.90656552394402</c:v>
                </c:pt>
                <c:pt idx="57">
                  <c:v>107.44612086071736</c:v>
                </c:pt>
                <c:pt idx="58">
                  <c:v>113.47247160543067</c:v>
                </c:pt>
                <c:pt idx="59">
                  <c:v>120.05553982735685</c:v>
                </c:pt>
                <c:pt idx="60">
                  <c:v>127.2792206135792</c:v>
                </c:pt>
                <c:pt idx="61">
                  <c:v>135.24505960432586</c:v>
                </c:pt>
                <c:pt idx="62">
                  <c:v>144.07715635444296</c:v>
                </c:pt>
                <c:pt idx="63">
                  <c:v>153.92879827392986</c:v>
                </c:pt>
                <c:pt idx="64">
                  <c:v>164.99158227686232</c:v>
                </c:pt>
                <c:pt idx="65">
                  <c:v>177.5081850702795</c:v>
                </c:pt>
                <c:pt idx="66">
                  <c:v>191.79060640402412</c:v>
                </c:pt>
                <c:pt idx="67">
                  <c:v>208.24683226153465</c:v>
                </c:pt>
                <c:pt idx="68">
                  <c:v>227.42082962486487</c:v>
                </c:pt>
                <c:pt idx="69">
                  <c:v>250.05435654406813</c:v>
                </c:pt>
                <c:pt idx="70">
                  <c:v>277.18585822513006</c:v>
                </c:pt>
                <c:pt idx="71">
                  <c:v>310.31529381873656</c:v>
                </c:pt>
                <c:pt idx="72">
                  <c:v>351.69258327436734</c:v>
                </c:pt>
                <c:pt idx="73">
                  <c:v>404.85329432642283</c:v>
                </c:pt>
                <c:pt idx="74">
                  <c:v>475.69001643459677</c:v>
                </c:pt>
                <c:pt idx="75">
                  <c:v>574.80938341617696</c:v>
                </c:pt>
                <c:pt idx="76">
                  <c:v>723.4246299831841</c:v>
                </c:pt>
                <c:pt idx="77">
                  <c:v>971.03326129825837</c:v>
                </c:pt>
                <c:pt idx="78">
                  <c:v>1466.1277311185393</c:v>
                </c:pt>
                <c:pt idx="79">
                  <c:v>2951.1701886506776</c:v>
                </c:pt>
                <c:pt idx="80">
                  <c:v>2.0898450800475228E+16</c:v>
                </c:pt>
              </c:numCache>
            </c:numRef>
          </c:yVal>
          <c:smooth val="0"/>
          <c:extLst>
            <c:ext xmlns:c16="http://schemas.microsoft.com/office/drawing/2014/chart" uri="{C3380CC4-5D6E-409C-BE32-E72D297353CC}">
              <c16:uniqueId val="{00000001-0D67-4DF0-8361-DEB8701B4548}"/>
            </c:ext>
          </c:extLst>
        </c:ser>
        <c:ser>
          <c:idx val="2"/>
          <c:order val="2"/>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rates'!$CN$277:$DC$277</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rates'!$X$16:$AM$16</c:f>
              <c:numCache>
                <c:formatCode>General</c:formatCode>
                <c:ptCount val="16"/>
                <c:pt idx="0">
                  <c:v>0</c:v>
                </c:pt>
                <c:pt idx="1">
                  <c:v>26.51650429449554</c:v>
                </c:pt>
                <c:pt idx="2">
                  <c:v>53.752913682959282</c:v>
                </c:pt>
                <c:pt idx="3">
                  <c:v>82.495791138430562</c:v>
                </c:pt>
                <c:pt idx="4">
                  <c:v>113.67841075534929</c:v>
                </c:pt>
                <c:pt idx="5">
                  <c:v>148.49242404917501</c:v>
                </c:pt>
                <c:pt idx="6">
                  <c:v>188.56180831641271</c:v>
                </c:pt>
                <c:pt idx="7">
                  <c:v>236.23794735096027</c:v>
                </c:pt>
                <c:pt idx="8">
                  <c:v>295.140221712646</c:v>
                </c:pt>
                <c:pt idx="9">
                  <c:v>371.23106012293755</c:v>
                </c:pt>
                <c:pt idx="10">
                  <c:v>475.17575695736002</c:v>
                </c:pt>
                <c:pt idx="11">
                  <c:v>628.23717866958668</c:v>
                </c:pt>
                <c:pt idx="12">
                  <c:v>879.95510547659296</c:v>
                </c:pt>
                <c:pt idx="13">
                  <c:v>1378.8582233137695</c:v>
                </c:pt>
                <c:pt idx="14">
                  <c:v>2867.4399126737303</c:v>
                </c:pt>
                <c:pt idx="15">
                  <c:v>1.7833344683072166E+18</c:v>
                </c:pt>
              </c:numCache>
            </c:numRef>
          </c:yVal>
          <c:smooth val="0"/>
          <c:extLst>
            <c:ext xmlns:c16="http://schemas.microsoft.com/office/drawing/2014/chart" uri="{C3380CC4-5D6E-409C-BE32-E72D297353CC}">
              <c16:uniqueId val="{00000002-0D67-4DF0-8361-DEB8701B4548}"/>
            </c:ext>
          </c:extLst>
        </c:ser>
        <c:ser>
          <c:idx val="3"/>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rates'!$CN$286:$FP$286</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rates'!$CK$54:$FM$54</c:f>
              <c:numCache>
                <c:formatCode>General</c:formatCode>
                <c:ptCount val="81"/>
                <c:pt idx="0">
                  <c:v>0</c:v>
                </c:pt>
                <c:pt idx="1">
                  <c:v>0.92822268510189077</c:v>
                </c:pt>
                <c:pt idx="2">
                  <c:v>1.8573161231916822</c:v>
                </c:pt>
                <c:pt idx="3">
                  <c:v>2.788153792192301</c:v>
                </c:pt>
                <c:pt idx="4">
                  <c:v>3.7216146378239348</c:v>
                </c:pt>
                <c:pt idx="5">
                  <c:v>4.6585858525231369</c:v>
                </c:pt>
                <c:pt idx="6">
                  <c:v>5.5999657089569439</c:v>
                </c:pt>
                <c:pt idx="7">
                  <c:v>6.5466664672916064</c:v>
                </c:pt>
                <c:pt idx="8">
                  <c:v>7.499617376220959</c:v>
                </c:pt>
                <c:pt idx="9">
                  <c:v>8.459767788843644</c:v>
                </c:pt>
                <c:pt idx="10">
                  <c:v>9.428090415820634</c:v>
                </c:pt>
                <c:pt idx="11">
                  <c:v>10.405584739868926</c:v>
                </c:pt>
                <c:pt idx="12">
                  <c:v>11.393280617583757</c:v>
                </c:pt>
                <c:pt idx="13">
                  <c:v>12.39224209686583</c:v>
                </c:pt>
                <c:pt idx="14">
                  <c:v>13.403571480905544</c:v>
                </c:pt>
                <c:pt idx="15">
                  <c:v>14.42841367279433</c:v>
                </c:pt>
                <c:pt idx="16">
                  <c:v>15.467960838455729</c:v>
                </c:pt>
                <c:pt idx="17">
                  <c:v>16.523457429788738</c:v>
                </c:pt>
                <c:pt idx="18">
                  <c:v>17.596205614780445</c:v>
                </c:pt>
                <c:pt idx="19">
                  <c:v>18.687571166976817</c:v>
                </c:pt>
                <c:pt idx="20">
                  <c:v>19.798989873223327</c:v>
                </c:pt>
                <c:pt idx="21">
                  <c:v>20.931974526146497</c:v>
                </c:pt>
                <c:pt idx="22">
                  <c:v>22.088122576618321</c:v>
                </c:pt>
                <c:pt idx="23">
                  <c:v>23.269124531637026</c:v>
                </c:pt>
                <c:pt idx="24">
                  <c:v>24.476773194918948</c:v>
                </c:pt>
                <c:pt idx="25">
                  <c:v>25.712973861328997</c:v>
                </c:pt>
                <c:pt idx="26">
                  <c:v>26.97975559244269</c:v>
                </c:pt>
                <c:pt idx="27">
                  <c:v>28.279283719469056</c:v>
                </c:pt>
                <c:pt idx="28">
                  <c:v>29.613873742000713</c:v>
                </c:pt>
                <c:pt idx="29">
                  <c:v>30.986006817241059</c:v>
                </c:pt>
                <c:pt idx="30">
                  <c:v>32.398347065274557</c:v>
                </c:pt>
                <c:pt idx="31">
                  <c:v>33.853760952560606</c:v>
                </c:pt>
                <c:pt idx="32">
                  <c:v>35.355339059327399</c:v>
                </c:pt>
                <c:pt idx="33">
                  <c:v>36.906420588384698</c:v>
                </c:pt>
                <c:pt idx="34">
                  <c:v>38.510621034873793</c:v>
                </c:pt>
                <c:pt idx="35">
                  <c:v>40.171863510887952</c:v>
                </c:pt>
                <c:pt idx="36">
                  <c:v>41.894414308544718</c:v>
                </c:pt>
                <c:pt idx="37">
                  <c:v>43.682923393516056</c:v>
                </c:pt>
                <c:pt idx="38">
                  <c:v>45.542470652692948</c:v>
                </c:pt>
                <c:pt idx="39">
                  <c:v>47.478618880244568</c:v>
                </c:pt>
                <c:pt idx="40">
                  <c:v>49.497474683058392</c:v>
                </c:pt>
                <c:pt idx="41">
                  <c:v>51.605758728681359</c:v>
                </c:pt>
                <c:pt idx="42">
                  <c:v>53.810887058372394</c:v>
                </c:pt>
                <c:pt idx="43">
                  <c:v>56.121065560224437</c:v>
                </c:pt>
                <c:pt idx="44">
                  <c:v>58.545400162757268</c:v>
                </c:pt>
                <c:pt idx="45">
                  <c:v>61.094025894517827</c:v>
                </c:pt>
                <c:pt idx="46">
                  <c:v>63.778258695257378</c:v>
                </c:pt>
                <c:pt idx="47">
                  <c:v>66.610774806120176</c:v>
                </c:pt>
                <c:pt idx="48">
                  <c:v>69.605823773050957</c:v>
                </c:pt>
                <c:pt idx="49">
                  <c:v>72.779482654759633</c:v>
                </c:pt>
                <c:pt idx="50">
                  <c:v>76.149961050859204</c:v>
                </c:pt>
                <c:pt idx="51">
                  <c:v>79.737969218299</c:v>
                </c:pt>
                <c:pt idx="52">
                  <c:v>83.567165049319527</c:v>
                </c:pt>
                <c:pt idx="53">
                  <c:v>87.66470035763075</c:v>
                </c:pt>
                <c:pt idx="54">
                  <c:v>92.06189321074028</c:v>
                </c:pt>
                <c:pt idx="55">
                  <c:v>96.795061602425548</c:v>
                </c:pt>
                <c:pt idx="56">
                  <c:v>101.90656552394402</c:v>
                </c:pt>
                <c:pt idx="57">
                  <c:v>107.44612086071736</c:v>
                </c:pt>
                <c:pt idx="58">
                  <c:v>113.47247160543067</c:v>
                </c:pt>
                <c:pt idx="59">
                  <c:v>120.05553982735685</c:v>
                </c:pt>
                <c:pt idx="60">
                  <c:v>127.2792206135792</c:v>
                </c:pt>
                <c:pt idx="61">
                  <c:v>135.24505960432586</c:v>
                </c:pt>
                <c:pt idx="62">
                  <c:v>144.07715635444296</c:v>
                </c:pt>
                <c:pt idx="63">
                  <c:v>153.92879827392986</c:v>
                </c:pt>
                <c:pt idx="64">
                  <c:v>164.99158227686232</c:v>
                </c:pt>
                <c:pt idx="65">
                  <c:v>177.5081850702795</c:v>
                </c:pt>
                <c:pt idx="66">
                  <c:v>191.79060640402412</c:v>
                </c:pt>
                <c:pt idx="67">
                  <c:v>208.24683226153465</c:v>
                </c:pt>
                <c:pt idx="68">
                  <c:v>227.42082962486487</c:v>
                </c:pt>
                <c:pt idx="69">
                  <c:v>250.05435654406813</c:v>
                </c:pt>
                <c:pt idx="70">
                  <c:v>277.18585822513006</c:v>
                </c:pt>
                <c:pt idx="71">
                  <c:v>310.31529381873656</c:v>
                </c:pt>
                <c:pt idx="72">
                  <c:v>351.69258327436734</c:v>
                </c:pt>
                <c:pt idx="73">
                  <c:v>404.85329432642283</c:v>
                </c:pt>
                <c:pt idx="74">
                  <c:v>475.69001643459677</c:v>
                </c:pt>
                <c:pt idx="75">
                  <c:v>574.80938341617696</c:v>
                </c:pt>
                <c:pt idx="76">
                  <c:v>723.4246299831841</c:v>
                </c:pt>
                <c:pt idx="77">
                  <c:v>971.03326129825837</c:v>
                </c:pt>
                <c:pt idx="78">
                  <c:v>1466.1277311185393</c:v>
                </c:pt>
                <c:pt idx="79">
                  <c:v>2951.1701886506776</c:v>
                </c:pt>
                <c:pt idx="80">
                  <c:v>2.0898450800475228E+16</c:v>
                </c:pt>
              </c:numCache>
            </c:numRef>
          </c:yVal>
          <c:smooth val="0"/>
          <c:extLst>
            <c:ext xmlns:c16="http://schemas.microsoft.com/office/drawing/2014/chart" uri="{C3380CC4-5D6E-409C-BE32-E72D297353CC}">
              <c16:uniqueId val="{00000003-0D67-4DF0-8361-DEB8701B4548}"/>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max val="3000"/>
          <c:min val="0"/>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2"/>
        <c:delete val="1"/>
      </c:legendEntry>
      <c:legendEntry>
        <c:idx val="3"/>
        <c:delete val="1"/>
      </c:legendEntry>
      <c:layout>
        <c:manualLayout>
          <c:xMode val="edge"/>
          <c:yMode val="edge"/>
          <c:x val="0.68485728254896783"/>
          <c:y val="0.12825000438871484"/>
          <c:w val="0.12066522153619387"/>
          <c:h val="7.8934056056692195E-2"/>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Power law extension rate 12 mm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Extension rate 0.3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rates'!$G$109:$AK$109</c:f>
              <c:numCache>
                <c:formatCode>General</c:formatCode>
                <c:ptCount val="31"/>
                <c:pt idx="0">
                  <c:v>2.4793027798956428</c:v>
                </c:pt>
                <c:pt idx="1">
                  <c:v>2.4791678254867482</c:v>
                </c:pt>
                <c:pt idx="2">
                  <c:v>2.4783046244123605</c:v>
                </c:pt>
                <c:pt idx="3">
                  <c:v>2.4760851423975043</c:v>
                </c:pt>
                <c:pt idx="4">
                  <c:v>2.4719201802683424</c:v>
                </c:pt>
                <c:pt idx="5">
                  <c:v>2.4652433273384089</c:v>
                </c:pt>
                <c:pt idx="6">
                  <c:v>2.4555043539065062</c:v>
                </c:pt>
                <c:pt idx="7">
                  <c:v>2.4421655316159052</c:v>
                </c:pt>
                <c:pt idx="8">
                  <c:v>2.4246992855805192</c:v>
                </c:pt>
                <c:pt idx="9">
                  <c:v>2.4025865677004106</c:v>
                </c:pt>
                <c:pt idx="10">
                  <c:v>2.3753156647141811</c:v>
                </c:pt>
                <c:pt idx="11">
                  <c:v>2.3423812884104085</c:v>
                </c:pt>
                <c:pt idx="12">
                  <c:v>2.3032838592160831</c:v>
                </c:pt>
                <c:pt idx="13">
                  <c:v>2.2575289279928894</c:v>
                </c:pt>
                <c:pt idx="14">
                  <c:v>2.2046266999653072</c:v>
                </c:pt>
                <c:pt idx="15">
                  <c:v>2.1440916362060283</c:v>
                </c:pt>
                <c:pt idx="16">
                  <c:v>2.0754421153681695</c:v>
                </c:pt>
                <c:pt idx="17">
                  <c:v>1.9982001431239025</c:v>
                </c:pt>
                <c:pt idx="18">
                  <c:v>1.9118911000058494</c:v>
                </c:pt>
                <c:pt idx="19">
                  <c:v>1.8160435206060128</c:v>
                </c:pt>
                <c:pt idx="20">
                  <c:v>1.7101888987012615</c:v>
                </c:pt>
                <c:pt idx="21">
                  <c:v>1.5938615140527168</c:v>
                </c:pt>
                <c:pt idx="22">
                  <c:v>1.466598277502583</c:v>
                </c:pt>
                <c:pt idx="23">
                  <c:v>1.3279385916542852</c:v>
                </c:pt>
                <c:pt idx="24">
                  <c:v>1.1774242249298597</c:v>
                </c:pt>
                <c:pt idx="25">
                  <c:v>1.0145991971934341</c:v>
                </c:pt>
                <c:pt idx="26">
                  <c:v>0.83900967544030758</c:v>
                </c:pt>
                <c:pt idx="27">
                  <c:v>0.65020387829815718</c:v>
                </c:pt>
                <c:pt idx="28">
                  <c:v>0.44773198828529714</c:v>
                </c:pt>
                <c:pt idx="29">
                  <c:v>0.23114607093171344</c:v>
                </c:pt>
                <c:pt idx="30">
                  <c:v>3.3030948375087592E-15</c:v>
                </c:pt>
              </c:numCache>
            </c:numRef>
          </c:yVal>
          <c:smooth val="0"/>
          <c:extLst>
            <c:ext xmlns:c16="http://schemas.microsoft.com/office/drawing/2014/chart" uri="{C3380CC4-5D6E-409C-BE32-E72D297353CC}">
              <c16:uniqueId val="{00000000-B841-49FD-9CD2-BE20CC28B612}"/>
            </c:ext>
          </c:extLst>
        </c:ser>
        <c:ser>
          <c:idx val="6"/>
          <c:order val="1"/>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rates'!$CN$278:$DR$278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rates'!$G$109:$AK$109</c:f>
              <c:numCache>
                <c:formatCode>General</c:formatCode>
                <c:ptCount val="31"/>
                <c:pt idx="0">
                  <c:v>2.4793027798956428</c:v>
                </c:pt>
                <c:pt idx="1">
                  <c:v>2.4791678254867482</c:v>
                </c:pt>
                <c:pt idx="2">
                  <c:v>2.4783046244123605</c:v>
                </c:pt>
                <c:pt idx="3">
                  <c:v>2.4760851423975043</c:v>
                </c:pt>
                <c:pt idx="4">
                  <c:v>2.4719201802683424</c:v>
                </c:pt>
                <c:pt idx="5">
                  <c:v>2.4652433273384089</c:v>
                </c:pt>
                <c:pt idx="6">
                  <c:v>2.4555043539065062</c:v>
                </c:pt>
                <c:pt idx="7">
                  <c:v>2.4421655316159052</c:v>
                </c:pt>
                <c:pt idx="8">
                  <c:v>2.4246992855805192</c:v>
                </c:pt>
                <c:pt idx="9">
                  <c:v>2.4025865677004106</c:v>
                </c:pt>
                <c:pt idx="10">
                  <c:v>2.3753156647141811</c:v>
                </c:pt>
                <c:pt idx="11">
                  <c:v>2.3423812884104085</c:v>
                </c:pt>
                <c:pt idx="12">
                  <c:v>2.3032838592160831</c:v>
                </c:pt>
                <c:pt idx="13">
                  <c:v>2.2575289279928894</c:v>
                </c:pt>
                <c:pt idx="14">
                  <c:v>2.2046266999653072</c:v>
                </c:pt>
                <c:pt idx="15">
                  <c:v>2.1440916362060283</c:v>
                </c:pt>
                <c:pt idx="16">
                  <c:v>2.0754421153681695</c:v>
                </c:pt>
                <c:pt idx="17">
                  <c:v>1.9982001431239025</c:v>
                </c:pt>
                <c:pt idx="18">
                  <c:v>1.9118911000058494</c:v>
                </c:pt>
                <c:pt idx="19">
                  <c:v>1.8160435206060128</c:v>
                </c:pt>
                <c:pt idx="20">
                  <c:v>1.7101888987012615</c:v>
                </c:pt>
                <c:pt idx="21">
                  <c:v>1.5938615140527168</c:v>
                </c:pt>
                <c:pt idx="22">
                  <c:v>1.466598277502583</c:v>
                </c:pt>
                <c:pt idx="23">
                  <c:v>1.3279385916542852</c:v>
                </c:pt>
                <c:pt idx="24">
                  <c:v>1.1774242249298597</c:v>
                </c:pt>
                <c:pt idx="25">
                  <c:v>1.0145991971934341</c:v>
                </c:pt>
                <c:pt idx="26">
                  <c:v>0.83900967544030758</c:v>
                </c:pt>
                <c:pt idx="27">
                  <c:v>0.65020387829815718</c:v>
                </c:pt>
                <c:pt idx="28">
                  <c:v>0.44773198828529714</c:v>
                </c:pt>
                <c:pt idx="29">
                  <c:v>0.23114607093171344</c:v>
                </c:pt>
                <c:pt idx="30">
                  <c:v>3.3030948375087592E-15</c:v>
                </c:pt>
              </c:numCache>
            </c:numRef>
          </c:yVal>
          <c:smooth val="0"/>
          <c:extLst>
            <c:ext xmlns:c16="http://schemas.microsoft.com/office/drawing/2014/chart" uri="{C3380CC4-5D6E-409C-BE32-E72D297353CC}">
              <c16:uniqueId val="{00000001-B841-49FD-9CD2-BE20CC28B612}"/>
            </c:ext>
          </c:extLst>
        </c:ser>
        <c:ser>
          <c:idx val="12"/>
          <c:order val="2"/>
          <c:tx>
            <c:v>Extension rate 1.6 mm</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rates'!$CM$271:$IP$271</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rates'!$G$147:$FJ$147</c:f>
              <c:numCache>
                <c:formatCode>General</c:formatCode>
                <c:ptCount val="160"/>
                <c:pt idx="0">
                  <c:v>0.46486927123043298</c:v>
                </c:pt>
                <c:pt idx="1">
                  <c:v>0.46486906962886371</c:v>
                </c:pt>
                <c:pt idx="2">
                  <c:v>0.46486778013641494</c:v>
                </c:pt>
                <c:pt idx="3">
                  <c:v>0.46486446456443153</c:v>
                </c:pt>
                <c:pt idx="4">
                  <c:v>0.4648582427380526</c:v>
                </c:pt>
                <c:pt idx="5">
                  <c:v>0.46484826852498673</c:v>
                </c:pt>
                <c:pt idx="6">
                  <c:v>0.46483371996489831</c:v>
                </c:pt>
                <c:pt idx="7">
                  <c:v>0.46481379377257831</c:v>
                </c:pt>
                <c:pt idx="8">
                  <c:v>0.46478770183057422</c:v>
                </c:pt>
                <c:pt idx="9">
                  <c:v>0.46475466875916827</c:v>
                </c:pt>
                <c:pt idx="10">
                  <c:v>0.46471393013578716</c:v>
                </c:pt>
                <c:pt idx="11">
                  <c:v>0.46466473113591511</c:v>
                </c:pt>
                <c:pt idx="12">
                  <c:v>0.46460632546288261</c:v>
                </c:pt>
                <c:pt idx="13">
                  <c:v>0.4645379744841171</c:v>
                </c:pt>
                <c:pt idx="14">
                  <c:v>0.46445894651996339</c:v>
                </c:pt>
                <c:pt idx="15">
                  <c:v>0.46436851624836284</c:v>
                </c:pt>
                <c:pt idx="16">
                  <c:v>0.46426596419953203</c:v>
                </c:pt>
                <c:pt idx="17">
                  <c:v>0.46415057632190809</c:v>
                </c:pt>
                <c:pt idx="18">
                  <c:v>0.46402164360546144</c:v>
                </c:pt>
                <c:pt idx="19">
                  <c:v>0.4638784617518526</c:v>
                </c:pt>
                <c:pt idx="20">
                  <c:v>0.46372033088331843</c:v>
                </c:pt>
                <c:pt idx="21">
                  <c:v>0.46354655528393718</c:v>
                </c:pt>
                <c:pt idx="22">
                  <c:v>0.46335644316822583</c:v>
                </c:pt>
                <c:pt idx="23">
                  <c:v>0.46314930647301766</c:v>
                </c:pt>
                <c:pt idx="24">
                  <c:v>0.46292446066932275</c:v>
                </c:pt>
                <c:pt idx="25">
                  <c:v>0.46268122459146666</c:v>
                </c:pt>
                <c:pt idx="26">
                  <c:v>0.46241892028126563</c:v>
                </c:pt>
                <c:pt idx="27">
                  <c:v>0.46213687284536592</c:v>
                </c:pt>
                <c:pt idx="28">
                  <c:v>0.46183441032417066</c:v>
                </c:pt>
                <c:pt idx="29">
                  <c:v>0.46151086357101895</c:v>
                </c:pt>
                <c:pt idx="30">
                  <c:v>0.46116556614047721</c:v>
                </c:pt>
                <c:pt idx="31">
                  <c:v>0.46079785418476465</c:v>
                </c:pt>
                <c:pt idx="32">
                  <c:v>0.46040706635746992</c:v>
                </c:pt>
                <c:pt idx="33">
                  <c:v>0.45999254372382542</c:v>
                </c:pt>
                <c:pt idx="34">
                  <c:v>0.45955362967690355</c:v>
                </c:pt>
                <c:pt idx="35">
                  <c:v>0.45908966985917415</c:v>
                </c:pt>
                <c:pt idx="36">
                  <c:v>0.45860001208893481</c:v>
                </c:pt>
                <c:pt idx="37">
                  <c:v>0.4580840062911789</c:v>
                </c:pt>
                <c:pt idx="38">
                  <c:v>0.45754100443251922</c:v>
                </c:pt>
                <c:pt idx="39">
                  <c:v>0.45697036045982475</c:v>
                </c:pt>
                <c:pt idx="40">
                  <c:v>0.45637143024226795</c:v>
                </c:pt>
                <c:pt idx="41">
                  <c:v>0.4557435715165094</c:v>
                </c:pt>
                <c:pt idx="42">
                  <c:v>0.45508614383477608</c:v>
                </c:pt>
                <c:pt idx="43">
                  <c:v>0.4543985085156142</c:v>
                </c:pt>
                <c:pt idx="44">
                  <c:v>0.45368002859711737</c:v>
                </c:pt>
                <c:pt idx="45">
                  <c:v>0.45293006879245196</c:v>
                </c:pt>
                <c:pt idx="46">
                  <c:v>0.45214799544751683</c:v>
                </c:pt>
                <c:pt idx="47">
                  <c:v>0.45133317650058985</c:v>
                </c:pt>
                <c:pt idx="48">
                  <c:v>0.45048498144382693</c:v>
                </c:pt>
                <c:pt idx="49">
                  <c:v>0.4496027812864905</c:v>
                </c:pt>
                <c:pt idx="50">
                  <c:v>0.44868594851979626</c:v>
                </c:pt>
                <c:pt idx="51">
                  <c:v>0.44773385708327429</c:v>
                </c:pt>
                <c:pt idx="52">
                  <c:v>0.44674588233255119</c:v>
                </c:pt>
                <c:pt idx="53">
                  <c:v>0.44572140100846647</c:v>
                </c:pt>
                <c:pt idx="54">
                  <c:v>0.4446597912074422</c:v>
                </c:pt>
                <c:pt idx="55">
                  <c:v>0.4435604323530345</c:v>
                </c:pt>
                <c:pt idx="56">
                  <c:v>0.44242270516859633</c:v>
                </c:pt>
                <c:pt idx="57">
                  <c:v>0.44124599165099099</c:v>
                </c:pt>
                <c:pt idx="58">
                  <c:v>0.440029675045296</c:v>
                </c:pt>
                <c:pt idx="59">
                  <c:v>0.43877313982044469</c:v>
                </c:pt>
                <c:pt idx="60">
                  <c:v>0.43747577164575457</c:v>
                </c:pt>
                <c:pt idx="61">
                  <c:v>0.43613695736829566</c:v>
                </c:pt>
                <c:pt idx="62">
                  <c:v>0.43475608499105572</c:v>
                </c:pt>
                <c:pt idx="63">
                  <c:v>0.43333254365186102</c:v>
                </c:pt>
                <c:pt idx="64">
                  <c:v>0.43186572360301539</c:v>
                </c:pt>
                <c:pt idx="65">
                  <c:v>0.4303550161916217</c:v>
                </c:pt>
                <c:pt idx="66">
                  <c:v>0.42879981384055255</c:v>
                </c:pt>
                <c:pt idx="67">
                  <c:v>0.4271995100300397</c:v>
                </c:pt>
                <c:pt idx="68">
                  <c:v>0.42555349927985181</c:v>
                </c:pt>
                <c:pt idx="69">
                  <c:v>0.42386117713203497</c:v>
                </c:pt>
                <c:pt idx="70">
                  <c:v>0.42212194013418836</c:v>
                </c:pt>
                <c:pt idx="71">
                  <c:v>0.42033518582325219</c:v>
                </c:pt>
                <c:pt idx="72">
                  <c:v>0.41850031270978483</c:v>
                </c:pt>
                <c:pt idx="73">
                  <c:v>0.41661672026270768</c:v>
                </c:pt>
                <c:pt idx="74">
                  <c:v>0.41468380889449707</c:v>
                </c:pt>
                <c:pt idx="75">
                  <c:v>0.41270097994680521</c:v>
                </c:pt>
                <c:pt idx="76">
                  <c:v>0.41066763567649078</c:v>
                </c:pt>
                <c:pt idx="77">
                  <c:v>0.40858317924204407</c:v>
                </c:pt>
                <c:pt idx="78">
                  <c:v>0.40644701469038758</c:v>
                </c:pt>
                <c:pt idx="79">
                  <c:v>0.40425854694404056</c:v>
                </c:pt>
                <c:pt idx="80">
                  <c:v>0.40201718178862994</c:v>
                </c:pt>
                <c:pt idx="81">
                  <c:v>0.39972232586073531</c:v>
                </c:pt>
                <c:pt idx="82">
                  <c:v>0.39737338663605487</c:v>
                </c:pt>
                <c:pt idx="83">
                  <c:v>0.39496977241788062</c:v>
                </c:pt>
                <c:pt idx="84">
                  <c:v>0.392510892325869</c:v>
                </c:pt>
                <c:pt idx="85">
                  <c:v>0.38999615628509848</c:v>
                </c:pt>
                <c:pt idx="86">
                  <c:v>0.38742497501540191</c:v>
                </c:pt>
                <c:pt idx="87">
                  <c:v>0.3847967600209638</c:v>
                </c:pt>
                <c:pt idx="88">
                  <c:v>0.38211092358017312</c:v>
                </c:pt>
                <c:pt idx="89">
                  <c:v>0.37936687873572278</c:v>
                </c:pt>
                <c:pt idx="90">
                  <c:v>0.37656403928494614</c:v>
                </c:pt>
                <c:pt idx="91">
                  <c:v>0.37370181977038325</c:v>
                </c:pt>
                <c:pt idx="92">
                  <c:v>0.37077963547056891</c:v>
                </c:pt>
                <c:pt idx="93">
                  <c:v>0.36779690239103319</c:v>
                </c:pt>
                <c:pt idx="94">
                  <c:v>0.36475303725551017</c:v>
                </c:pt>
                <c:pt idx="95">
                  <c:v>0.36164745749734534</c:v>
                </c:pt>
                <c:pt idx="96">
                  <c:v>0.35847958125109619</c:v>
                </c:pt>
                <c:pt idx="97">
                  <c:v>0.3552488273443199</c:v>
                </c:pt>
                <c:pt idx="98">
                  <c:v>0.35195461528954158</c:v>
                </c:pt>
                <c:pt idx="99">
                  <c:v>0.34859636527639687</c:v>
                </c:pt>
                <c:pt idx="100">
                  <c:v>0.34517349816394483</c:v>
                </c:pt>
                <c:pt idx="101">
                  <c:v>0.34168543547314451</c:v>
                </c:pt>
                <c:pt idx="102">
                  <c:v>0.33813159937948939</c:v>
                </c:pt>
                <c:pt idx="103">
                  <c:v>0.33451141270579798</c:v>
                </c:pt>
                <c:pt idx="104">
                  <c:v>0.33082429891515158</c:v>
                </c:pt>
                <c:pt idx="105">
                  <c:v>0.32706968210397802</c:v>
                </c:pt>
                <c:pt idx="106">
                  <c:v>0.32324698699527576</c:v>
                </c:pt>
                <c:pt idx="107">
                  <c:v>0.31935563893197422</c:v>
                </c:pt>
                <c:pt idx="108">
                  <c:v>0.31539506387042587</c:v>
                </c:pt>
                <c:pt idx="109">
                  <c:v>0.31136468837402814</c:v>
                </c:pt>
                <c:pt idx="110">
                  <c:v>0.30726393960696835</c:v>
                </c:pt>
                <c:pt idx="111">
                  <c:v>0.30309224532809115</c:v>
                </c:pt>
                <c:pt idx="112">
                  <c:v>0.29884903388488349</c:v>
                </c:pt>
                <c:pt idx="113">
                  <c:v>0.29453373420757345</c:v>
                </c:pt>
                <c:pt idx="114">
                  <c:v>0.29014577580334094</c:v>
                </c:pt>
                <c:pt idx="115">
                  <c:v>0.28568458875063685</c:v>
                </c:pt>
                <c:pt idx="116">
                  <c:v>0.28114960369360609</c:v>
                </c:pt>
                <c:pt idx="117">
                  <c:v>0.27654025183661518</c:v>
                </c:pt>
                <c:pt idx="118">
                  <c:v>0.27185596493887765</c:v>
                </c:pt>
                <c:pt idx="119">
                  <c:v>0.2670961753091774</c:v>
                </c:pt>
                <c:pt idx="120">
                  <c:v>0.26226031580068626</c:v>
                </c:pt>
                <c:pt idx="121">
                  <c:v>0.25734781980587373</c:v>
                </c:pt>
                <c:pt idx="122">
                  <c:v>0.25235812125150603</c:v>
                </c:pt>
                <c:pt idx="123">
                  <c:v>0.24729065459373245</c:v>
                </c:pt>
                <c:pt idx="124">
                  <c:v>0.2421448548132574</c:v>
                </c:pt>
                <c:pt idx="125">
                  <c:v>0.23692015741059455</c:v>
                </c:pt>
                <c:pt idx="126">
                  <c:v>0.23161599840140207</c:v>
                </c:pt>
                <c:pt idx="127">
                  <c:v>0.22623181431189732</c:v>
                </c:pt>
                <c:pt idx="128">
                  <c:v>0.22076704217434726</c:v>
                </c:pt>
                <c:pt idx="129">
                  <c:v>0.21522111952263492</c:v>
                </c:pt>
                <c:pt idx="130">
                  <c:v>0.20959348438789874</c:v>
                </c:pt>
                <c:pt idx="131">
                  <c:v>0.20388357529424248</c:v>
                </c:pt>
                <c:pt idx="132">
                  <c:v>0.1980908312545166</c:v>
                </c:pt>
                <c:pt idx="133">
                  <c:v>0.19221469176616574</c:v>
                </c:pt>
                <c:pt idx="134">
                  <c:v>0.18625459680714387</c:v>
                </c:pt>
                <c:pt idx="135">
                  <c:v>0.18020998683189429</c:v>
                </c:pt>
                <c:pt idx="136">
                  <c:v>0.17408030276739214</c:v>
                </c:pt>
                <c:pt idx="137">
                  <c:v>0.16786498600924976</c:v>
                </c:pt>
                <c:pt idx="138">
                  <c:v>0.16156347841788224</c:v>
                </c:pt>
                <c:pt idx="139">
                  <c:v>0.15517522231473171</c:v>
                </c:pt>
                <c:pt idx="140">
                  <c:v>0.14869966047855002</c:v>
                </c:pt>
                <c:pt idx="141">
                  <c:v>0.14213623614173765</c:v>
                </c:pt>
                <c:pt idx="142">
                  <c:v>0.13548439298673762</c:v>
                </c:pt>
                <c:pt idx="143">
                  <c:v>0.12874357514248391</c:v>
                </c:pt>
                <c:pt idx="144">
                  <c:v>0.12191322718090265</c:v>
                </c:pt>
                <c:pt idx="145">
                  <c:v>0.11499279411346412</c:v>
                </c:pt>
                <c:pt idx="146">
                  <c:v>0.10798172138778669</c:v>
                </c:pt>
                <c:pt idx="147">
                  <c:v>0.10087945488428962</c:v>
                </c:pt>
                <c:pt idx="148">
                  <c:v>9.3685440912893631E-2</c:v>
                </c:pt>
                <c:pt idx="149">
                  <c:v>8.6399126209769903E-2</c:v>
                </c:pt>
                <c:pt idx="150">
                  <c:v>7.9019957934135396E-2</c:v>
                </c:pt>
                <c:pt idx="151">
                  <c:v>7.1547383665092668E-2</c:v>
                </c:pt>
                <c:pt idx="152">
                  <c:v>6.398085139851506E-2</c:v>
                </c:pt>
                <c:pt idx="153">
                  <c:v>5.6319809543975689E-2</c:v>
                </c:pt>
                <c:pt idx="154">
                  <c:v>4.8563706921717784E-2</c:v>
                </c:pt>
                <c:pt idx="155">
                  <c:v>4.0711992759668289E-2</c:v>
                </c:pt>
                <c:pt idx="156">
                  <c:v>3.2764116690492097E-2</c:v>
                </c:pt>
                <c:pt idx="157">
                  <c:v>2.471952874868551E-2</c:v>
                </c:pt>
                <c:pt idx="158">
                  <c:v>1.6577679367710117E-2</c:v>
                </c:pt>
                <c:pt idx="159">
                  <c:v>8.338019377165249E-3</c:v>
                </c:pt>
              </c:numCache>
            </c:numRef>
          </c:yVal>
          <c:smooth val="0"/>
          <c:extLst>
            <c:ext xmlns:c16="http://schemas.microsoft.com/office/drawing/2014/chart" uri="{C3380CC4-5D6E-409C-BE32-E72D297353CC}">
              <c16:uniqueId val="{00000002-B841-49FD-9CD2-BE20CC28B612}"/>
            </c:ext>
          </c:extLst>
        </c:ser>
        <c:ser>
          <c:idx val="14"/>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rates'!$CN$287:$IQ$287</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rates'!$G$147:$FJ$147</c:f>
              <c:numCache>
                <c:formatCode>General</c:formatCode>
                <c:ptCount val="160"/>
                <c:pt idx="0">
                  <c:v>0.46486927123043298</c:v>
                </c:pt>
                <c:pt idx="1">
                  <c:v>0.46486906962886371</c:v>
                </c:pt>
                <c:pt idx="2">
                  <c:v>0.46486778013641494</c:v>
                </c:pt>
                <c:pt idx="3">
                  <c:v>0.46486446456443153</c:v>
                </c:pt>
                <c:pt idx="4">
                  <c:v>0.4648582427380526</c:v>
                </c:pt>
                <c:pt idx="5">
                  <c:v>0.46484826852498673</c:v>
                </c:pt>
                <c:pt idx="6">
                  <c:v>0.46483371996489831</c:v>
                </c:pt>
                <c:pt idx="7">
                  <c:v>0.46481379377257831</c:v>
                </c:pt>
                <c:pt idx="8">
                  <c:v>0.46478770183057422</c:v>
                </c:pt>
                <c:pt idx="9">
                  <c:v>0.46475466875916827</c:v>
                </c:pt>
                <c:pt idx="10">
                  <c:v>0.46471393013578716</c:v>
                </c:pt>
                <c:pt idx="11">
                  <c:v>0.46466473113591511</c:v>
                </c:pt>
                <c:pt idx="12">
                  <c:v>0.46460632546288261</c:v>
                </c:pt>
                <c:pt idx="13">
                  <c:v>0.4645379744841171</c:v>
                </c:pt>
                <c:pt idx="14">
                  <c:v>0.46445894651996339</c:v>
                </c:pt>
                <c:pt idx="15">
                  <c:v>0.46436851624836284</c:v>
                </c:pt>
                <c:pt idx="16">
                  <c:v>0.46426596419953203</c:v>
                </c:pt>
                <c:pt idx="17">
                  <c:v>0.46415057632190809</c:v>
                </c:pt>
                <c:pt idx="18">
                  <c:v>0.46402164360546144</c:v>
                </c:pt>
                <c:pt idx="19">
                  <c:v>0.4638784617518526</c:v>
                </c:pt>
                <c:pt idx="20">
                  <c:v>0.46372033088331843</c:v>
                </c:pt>
                <c:pt idx="21">
                  <c:v>0.46354655528393718</c:v>
                </c:pt>
                <c:pt idx="22">
                  <c:v>0.46335644316822583</c:v>
                </c:pt>
                <c:pt idx="23">
                  <c:v>0.46314930647301766</c:v>
                </c:pt>
                <c:pt idx="24">
                  <c:v>0.46292446066932275</c:v>
                </c:pt>
                <c:pt idx="25">
                  <c:v>0.46268122459146666</c:v>
                </c:pt>
                <c:pt idx="26">
                  <c:v>0.46241892028126563</c:v>
                </c:pt>
                <c:pt idx="27">
                  <c:v>0.46213687284536592</c:v>
                </c:pt>
                <c:pt idx="28">
                  <c:v>0.46183441032417066</c:v>
                </c:pt>
                <c:pt idx="29">
                  <c:v>0.46151086357101895</c:v>
                </c:pt>
                <c:pt idx="30">
                  <c:v>0.46116556614047721</c:v>
                </c:pt>
                <c:pt idx="31">
                  <c:v>0.46079785418476465</c:v>
                </c:pt>
                <c:pt idx="32">
                  <c:v>0.46040706635746992</c:v>
                </c:pt>
                <c:pt idx="33">
                  <c:v>0.45999254372382542</c:v>
                </c:pt>
                <c:pt idx="34">
                  <c:v>0.45955362967690355</c:v>
                </c:pt>
                <c:pt idx="35">
                  <c:v>0.45908966985917415</c:v>
                </c:pt>
                <c:pt idx="36">
                  <c:v>0.45860001208893481</c:v>
                </c:pt>
                <c:pt idx="37">
                  <c:v>0.4580840062911789</c:v>
                </c:pt>
                <c:pt idx="38">
                  <c:v>0.45754100443251922</c:v>
                </c:pt>
                <c:pt idx="39">
                  <c:v>0.45697036045982475</c:v>
                </c:pt>
                <c:pt idx="40">
                  <c:v>0.45637143024226795</c:v>
                </c:pt>
                <c:pt idx="41">
                  <c:v>0.4557435715165094</c:v>
                </c:pt>
                <c:pt idx="42">
                  <c:v>0.45508614383477608</c:v>
                </c:pt>
                <c:pt idx="43">
                  <c:v>0.4543985085156142</c:v>
                </c:pt>
                <c:pt idx="44">
                  <c:v>0.45368002859711737</c:v>
                </c:pt>
                <c:pt idx="45">
                  <c:v>0.45293006879245196</c:v>
                </c:pt>
                <c:pt idx="46">
                  <c:v>0.45214799544751683</c:v>
                </c:pt>
                <c:pt idx="47">
                  <c:v>0.45133317650058985</c:v>
                </c:pt>
                <c:pt idx="48">
                  <c:v>0.45048498144382693</c:v>
                </c:pt>
                <c:pt idx="49">
                  <c:v>0.4496027812864905</c:v>
                </c:pt>
                <c:pt idx="50">
                  <c:v>0.44868594851979626</c:v>
                </c:pt>
                <c:pt idx="51">
                  <c:v>0.44773385708327429</c:v>
                </c:pt>
                <c:pt idx="52">
                  <c:v>0.44674588233255119</c:v>
                </c:pt>
                <c:pt idx="53">
                  <c:v>0.44572140100846647</c:v>
                </c:pt>
                <c:pt idx="54">
                  <c:v>0.4446597912074422</c:v>
                </c:pt>
                <c:pt idx="55">
                  <c:v>0.4435604323530345</c:v>
                </c:pt>
                <c:pt idx="56">
                  <c:v>0.44242270516859633</c:v>
                </c:pt>
                <c:pt idx="57">
                  <c:v>0.44124599165099099</c:v>
                </c:pt>
                <c:pt idx="58">
                  <c:v>0.440029675045296</c:v>
                </c:pt>
                <c:pt idx="59">
                  <c:v>0.43877313982044469</c:v>
                </c:pt>
                <c:pt idx="60">
                  <c:v>0.43747577164575457</c:v>
                </c:pt>
                <c:pt idx="61">
                  <c:v>0.43613695736829566</c:v>
                </c:pt>
                <c:pt idx="62">
                  <c:v>0.43475608499105572</c:v>
                </c:pt>
                <c:pt idx="63">
                  <c:v>0.43333254365186102</c:v>
                </c:pt>
                <c:pt idx="64">
                  <c:v>0.43186572360301539</c:v>
                </c:pt>
                <c:pt idx="65">
                  <c:v>0.4303550161916217</c:v>
                </c:pt>
                <c:pt idx="66">
                  <c:v>0.42879981384055255</c:v>
                </c:pt>
                <c:pt idx="67">
                  <c:v>0.4271995100300397</c:v>
                </c:pt>
                <c:pt idx="68">
                  <c:v>0.42555349927985181</c:v>
                </c:pt>
                <c:pt idx="69">
                  <c:v>0.42386117713203497</c:v>
                </c:pt>
                <c:pt idx="70">
                  <c:v>0.42212194013418836</c:v>
                </c:pt>
                <c:pt idx="71">
                  <c:v>0.42033518582325219</c:v>
                </c:pt>
                <c:pt idx="72">
                  <c:v>0.41850031270978483</c:v>
                </c:pt>
                <c:pt idx="73">
                  <c:v>0.41661672026270768</c:v>
                </c:pt>
                <c:pt idx="74">
                  <c:v>0.41468380889449707</c:v>
                </c:pt>
                <c:pt idx="75">
                  <c:v>0.41270097994680521</c:v>
                </c:pt>
                <c:pt idx="76">
                  <c:v>0.41066763567649078</c:v>
                </c:pt>
                <c:pt idx="77">
                  <c:v>0.40858317924204407</c:v>
                </c:pt>
                <c:pt idx="78">
                  <c:v>0.40644701469038758</c:v>
                </c:pt>
                <c:pt idx="79">
                  <c:v>0.40425854694404056</c:v>
                </c:pt>
                <c:pt idx="80">
                  <c:v>0.40201718178862994</c:v>
                </c:pt>
                <c:pt idx="81">
                  <c:v>0.39972232586073531</c:v>
                </c:pt>
                <c:pt idx="82">
                  <c:v>0.39737338663605487</c:v>
                </c:pt>
                <c:pt idx="83">
                  <c:v>0.39496977241788062</c:v>
                </c:pt>
                <c:pt idx="84">
                  <c:v>0.392510892325869</c:v>
                </c:pt>
                <c:pt idx="85">
                  <c:v>0.38999615628509848</c:v>
                </c:pt>
                <c:pt idx="86">
                  <c:v>0.38742497501540191</c:v>
                </c:pt>
                <c:pt idx="87">
                  <c:v>0.3847967600209638</c:v>
                </c:pt>
                <c:pt idx="88">
                  <c:v>0.38211092358017312</c:v>
                </c:pt>
                <c:pt idx="89">
                  <c:v>0.37936687873572278</c:v>
                </c:pt>
                <c:pt idx="90">
                  <c:v>0.37656403928494614</c:v>
                </c:pt>
                <c:pt idx="91">
                  <c:v>0.37370181977038325</c:v>
                </c:pt>
                <c:pt idx="92">
                  <c:v>0.37077963547056891</c:v>
                </c:pt>
                <c:pt idx="93">
                  <c:v>0.36779690239103319</c:v>
                </c:pt>
                <c:pt idx="94">
                  <c:v>0.36475303725551017</c:v>
                </c:pt>
                <c:pt idx="95">
                  <c:v>0.36164745749734534</c:v>
                </c:pt>
                <c:pt idx="96">
                  <c:v>0.35847958125109619</c:v>
                </c:pt>
                <c:pt idx="97">
                  <c:v>0.3552488273443199</c:v>
                </c:pt>
                <c:pt idx="98">
                  <c:v>0.35195461528954158</c:v>
                </c:pt>
                <c:pt idx="99">
                  <c:v>0.34859636527639687</c:v>
                </c:pt>
                <c:pt idx="100">
                  <c:v>0.34517349816394483</c:v>
                </c:pt>
                <c:pt idx="101">
                  <c:v>0.34168543547314451</c:v>
                </c:pt>
                <c:pt idx="102">
                  <c:v>0.33813159937948939</c:v>
                </c:pt>
                <c:pt idx="103">
                  <c:v>0.33451141270579798</c:v>
                </c:pt>
                <c:pt idx="104">
                  <c:v>0.33082429891515158</c:v>
                </c:pt>
                <c:pt idx="105">
                  <c:v>0.32706968210397802</c:v>
                </c:pt>
                <c:pt idx="106">
                  <c:v>0.32324698699527576</c:v>
                </c:pt>
                <c:pt idx="107">
                  <c:v>0.31935563893197422</c:v>
                </c:pt>
                <c:pt idx="108">
                  <c:v>0.31539506387042587</c:v>
                </c:pt>
                <c:pt idx="109">
                  <c:v>0.31136468837402814</c:v>
                </c:pt>
                <c:pt idx="110">
                  <c:v>0.30726393960696835</c:v>
                </c:pt>
                <c:pt idx="111">
                  <c:v>0.30309224532809115</c:v>
                </c:pt>
                <c:pt idx="112">
                  <c:v>0.29884903388488349</c:v>
                </c:pt>
                <c:pt idx="113">
                  <c:v>0.29453373420757345</c:v>
                </c:pt>
                <c:pt idx="114">
                  <c:v>0.29014577580334094</c:v>
                </c:pt>
                <c:pt idx="115">
                  <c:v>0.28568458875063685</c:v>
                </c:pt>
                <c:pt idx="116">
                  <c:v>0.28114960369360609</c:v>
                </c:pt>
                <c:pt idx="117">
                  <c:v>0.27654025183661518</c:v>
                </c:pt>
                <c:pt idx="118">
                  <c:v>0.27185596493887765</c:v>
                </c:pt>
                <c:pt idx="119">
                  <c:v>0.2670961753091774</c:v>
                </c:pt>
                <c:pt idx="120">
                  <c:v>0.26226031580068626</c:v>
                </c:pt>
                <c:pt idx="121">
                  <c:v>0.25734781980587373</c:v>
                </c:pt>
                <c:pt idx="122">
                  <c:v>0.25235812125150603</c:v>
                </c:pt>
                <c:pt idx="123">
                  <c:v>0.24729065459373245</c:v>
                </c:pt>
                <c:pt idx="124">
                  <c:v>0.2421448548132574</c:v>
                </c:pt>
                <c:pt idx="125">
                  <c:v>0.23692015741059455</c:v>
                </c:pt>
                <c:pt idx="126">
                  <c:v>0.23161599840140207</c:v>
                </c:pt>
                <c:pt idx="127">
                  <c:v>0.22623181431189732</c:v>
                </c:pt>
                <c:pt idx="128">
                  <c:v>0.22076704217434726</c:v>
                </c:pt>
                <c:pt idx="129">
                  <c:v>0.21522111952263492</c:v>
                </c:pt>
                <c:pt idx="130">
                  <c:v>0.20959348438789874</c:v>
                </c:pt>
                <c:pt idx="131">
                  <c:v>0.20388357529424248</c:v>
                </c:pt>
                <c:pt idx="132">
                  <c:v>0.1980908312545166</c:v>
                </c:pt>
                <c:pt idx="133">
                  <c:v>0.19221469176616574</c:v>
                </c:pt>
                <c:pt idx="134">
                  <c:v>0.18625459680714387</c:v>
                </c:pt>
                <c:pt idx="135">
                  <c:v>0.18020998683189429</c:v>
                </c:pt>
                <c:pt idx="136">
                  <c:v>0.17408030276739214</c:v>
                </c:pt>
                <c:pt idx="137">
                  <c:v>0.16786498600924976</c:v>
                </c:pt>
                <c:pt idx="138">
                  <c:v>0.16156347841788224</c:v>
                </c:pt>
                <c:pt idx="139">
                  <c:v>0.15517522231473171</c:v>
                </c:pt>
                <c:pt idx="140">
                  <c:v>0.14869966047855002</c:v>
                </c:pt>
                <c:pt idx="141">
                  <c:v>0.14213623614173765</c:v>
                </c:pt>
                <c:pt idx="142">
                  <c:v>0.13548439298673762</c:v>
                </c:pt>
                <c:pt idx="143">
                  <c:v>0.12874357514248391</c:v>
                </c:pt>
                <c:pt idx="144">
                  <c:v>0.12191322718090265</c:v>
                </c:pt>
                <c:pt idx="145">
                  <c:v>0.11499279411346412</c:v>
                </c:pt>
                <c:pt idx="146">
                  <c:v>0.10798172138778669</c:v>
                </c:pt>
                <c:pt idx="147">
                  <c:v>0.10087945488428962</c:v>
                </c:pt>
                <c:pt idx="148">
                  <c:v>9.3685440912893631E-2</c:v>
                </c:pt>
                <c:pt idx="149">
                  <c:v>8.6399126209769903E-2</c:v>
                </c:pt>
                <c:pt idx="150">
                  <c:v>7.9019957934135396E-2</c:v>
                </c:pt>
                <c:pt idx="151">
                  <c:v>7.1547383665092668E-2</c:v>
                </c:pt>
                <c:pt idx="152">
                  <c:v>6.398085139851506E-2</c:v>
                </c:pt>
                <c:pt idx="153">
                  <c:v>5.6319809543975689E-2</c:v>
                </c:pt>
                <c:pt idx="154">
                  <c:v>4.8563706921717784E-2</c:v>
                </c:pt>
                <c:pt idx="155">
                  <c:v>4.0711992759668289E-2</c:v>
                </c:pt>
                <c:pt idx="156">
                  <c:v>3.2764116690492097E-2</c:v>
                </c:pt>
                <c:pt idx="157">
                  <c:v>2.471952874868551E-2</c:v>
                </c:pt>
                <c:pt idx="158">
                  <c:v>1.6577679367710117E-2</c:v>
                </c:pt>
                <c:pt idx="159">
                  <c:v>8.338019377165249E-3</c:v>
                </c:pt>
              </c:numCache>
            </c:numRef>
          </c:yVal>
          <c:smooth val="0"/>
          <c:extLst>
            <c:ext xmlns:c16="http://schemas.microsoft.com/office/drawing/2014/chart" uri="{C3380CC4-5D6E-409C-BE32-E72D297353CC}">
              <c16:uniqueId val="{00000005-B841-49FD-9CD2-BE20CC28B612}"/>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Extension rate s</a:t>
                </a:r>
                <a:r>
                  <a:rPr lang="en-GB" sz="1600" baseline="30000">
                    <a:solidFill>
                      <a:schemeClr val="tx1"/>
                    </a:solidFill>
                  </a:rPr>
                  <a:t>-1</a:t>
                </a:r>
              </a:p>
            </c:rich>
          </c:tx>
          <c:layout>
            <c:manualLayout>
              <c:xMode val="edge"/>
              <c:yMode val="edge"/>
              <c:x val="3.7980225454255008E-2"/>
              <c:y val="0.4547697690945286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1"/>
        <c:delete val="1"/>
      </c:legendEntry>
      <c:legendEntry>
        <c:idx val="3"/>
        <c:delete val="1"/>
      </c:legendEntry>
      <c:layout>
        <c:manualLayout>
          <c:xMode val="edge"/>
          <c:yMode val="edge"/>
          <c:x val="8.2955507410337484E-2"/>
          <c:y val="1.233984943061933E-2"/>
          <c:w val="0.18270042227066846"/>
          <c:h val="0.2820930694543973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Power law extension rate 42 mm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Extension rate 0.3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rates'!$G$111:$AK$111</c:f>
              <c:numCache>
                <c:formatCode>General</c:formatCode>
                <c:ptCount val="31"/>
                <c:pt idx="0">
                  <c:v>0.20239206366495041</c:v>
                </c:pt>
                <c:pt idx="1">
                  <c:v>0.20238104697851006</c:v>
                </c:pt>
                <c:pt idx="2">
                  <c:v>0.20231058158468246</c:v>
                </c:pt>
                <c:pt idx="3">
                  <c:v>0.20212939937938809</c:v>
                </c:pt>
                <c:pt idx="4">
                  <c:v>0.20178940247088509</c:v>
                </c:pt>
                <c:pt idx="5">
                  <c:v>0.20124435325211498</c:v>
                </c:pt>
                <c:pt idx="6">
                  <c:v>0.20044933501277601</c:v>
                </c:pt>
                <c:pt idx="7">
                  <c:v>0.19936045156048204</c:v>
                </c:pt>
                <c:pt idx="8">
                  <c:v>0.19793463555759339</c:v>
                </c:pt>
                <c:pt idx="9">
                  <c:v>0.19612951573064574</c:v>
                </c:pt>
                <c:pt idx="10">
                  <c:v>0.19390331956850454</c:v>
                </c:pt>
                <c:pt idx="11">
                  <c:v>0.19121479905391087</c:v>
                </c:pt>
                <c:pt idx="12">
                  <c:v>0.18802317218090472</c:v>
                </c:pt>
                <c:pt idx="13">
                  <c:v>0.18428807575452155</c:v>
                </c:pt>
                <c:pt idx="14">
                  <c:v>0.17996952652778014</c:v>
                </c:pt>
                <c:pt idx="15">
                  <c:v>0.17502788866987981</c:v>
                </c:pt>
                <c:pt idx="16">
                  <c:v>0.16942384615250361</c:v>
                </c:pt>
                <c:pt idx="17">
                  <c:v>0.16311837903052262</c:v>
                </c:pt>
                <c:pt idx="18">
                  <c:v>0.15607274285762035</c:v>
                </c:pt>
                <c:pt idx="19">
                  <c:v>0.14824845066171533</c:v>
                </c:pt>
                <c:pt idx="20">
                  <c:v>0.13960725703683766</c:v>
                </c:pt>
                <c:pt idx="21">
                  <c:v>0.1301111440043034</c:v>
                </c:pt>
                <c:pt idx="22">
                  <c:v>0.11972230836755778</c:v>
                </c:pt>
                <c:pt idx="23">
                  <c:v>0.10840315033912531</c:v>
                </c:pt>
                <c:pt idx="24">
                  <c:v>9.6116263259580365E-2</c:v>
                </c:pt>
                <c:pt idx="25">
                  <c:v>8.2824424260688492E-2</c:v>
                </c:pt>
                <c:pt idx="26">
                  <c:v>6.8490585750229177E-2</c:v>
                </c:pt>
                <c:pt idx="27">
                  <c:v>5.307786761617609E-2</c:v>
                </c:pt>
                <c:pt idx="28">
                  <c:v>3.654955006410588E-2</c:v>
                </c:pt>
                <c:pt idx="29">
                  <c:v>1.8869067014833749E-2</c:v>
                </c:pt>
                <c:pt idx="30">
                  <c:v>2.6964039489867418E-16</c:v>
                </c:pt>
              </c:numCache>
            </c:numRef>
          </c:yVal>
          <c:smooth val="0"/>
          <c:extLst>
            <c:ext xmlns:c16="http://schemas.microsoft.com/office/drawing/2014/chart" uri="{C3380CC4-5D6E-409C-BE32-E72D297353CC}">
              <c16:uniqueId val="{00000000-DA33-45E0-8ACC-5075A80F128F}"/>
            </c:ext>
          </c:extLst>
        </c:ser>
        <c:ser>
          <c:idx val="6"/>
          <c:order val="1"/>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rates'!$CN$278:$DR$278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rates'!$G$111:$AK$111</c:f>
              <c:numCache>
                <c:formatCode>General</c:formatCode>
                <c:ptCount val="31"/>
                <c:pt idx="0">
                  <c:v>0.20239206366495041</c:v>
                </c:pt>
                <c:pt idx="1">
                  <c:v>0.20238104697851006</c:v>
                </c:pt>
                <c:pt idx="2">
                  <c:v>0.20231058158468246</c:v>
                </c:pt>
                <c:pt idx="3">
                  <c:v>0.20212939937938809</c:v>
                </c:pt>
                <c:pt idx="4">
                  <c:v>0.20178940247088509</c:v>
                </c:pt>
                <c:pt idx="5">
                  <c:v>0.20124435325211498</c:v>
                </c:pt>
                <c:pt idx="6">
                  <c:v>0.20044933501277601</c:v>
                </c:pt>
                <c:pt idx="7">
                  <c:v>0.19936045156048204</c:v>
                </c:pt>
                <c:pt idx="8">
                  <c:v>0.19793463555759339</c:v>
                </c:pt>
                <c:pt idx="9">
                  <c:v>0.19612951573064574</c:v>
                </c:pt>
                <c:pt idx="10">
                  <c:v>0.19390331956850454</c:v>
                </c:pt>
                <c:pt idx="11">
                  <c:v>0.19121479905391087</c:v>
                </c:pt>
                <c:pt idx="12">
                  <c:v>0.18802317218090472</c:v>
                </c:pt>
                <c:pt idx="13">
                  <c:v>0.18428807575452155</c:v>
                </c:pt>
                <c:pt idx="14">
                  <c:v>0.17996952652778014</c:v>
                </c:pt>
                <c:pt idx="15">
                  <c:v>0.17502788866987981</c:v>
                </c:pt>
                <c:pt idx="16">
                  <c:v>0.16942384615250361</c:v>
                </c:pt>
                <c:pt idx="17">
                  <c:v>0.16311837903052262</c:v>
                </c:pt>
                <c:pt idx="18">
                  <c:v>0.15607274285762035</c:v>
                </c:pt>
                <c:pt idx="19">
                  <c:v>0.14824845066171533</c:v>
                </c:pt>
                <c:pt idx="20">
                  <c:v>0.13960725703683766</c:v>
                </c:pt>
                <c:pt idx="21">
                  <c:v>0.1301111440043034</c:v>
                </c:pt>
                <c:pt idx="22">
                  <c:v>0.11972230836755778</c:v>
                </c:pt>
                <c:pt idx="23">
                  <c:v>0.10840315033912531</c:v>
                </c:pt>
                <c:pt idx="24">
                  <c:v>9.6116263259580365E-2</c:v>
                </c:pt>
                <c:pt idx="25">
                  <c:v>8.2824424260688492E-2</c:v>
                </c:pt>
                <c:pt idx="26">
                  <c:v>6.8490585750229177E-2</c:v>
                </c:pt>
                <c:pt idx="27">
                  <c:v>5.307786761617609E-2</c:v>
                </c:pt>
                <c:pt idx="28">
                  <c:v>3.654955006410588E-2</c:v>
                </c:pt>
                <c:pt idx="29">
                  <c:v>1.8869067014833749E-2</c:v>
                </c:pt>
                <c:pt idx="30">
                  <c:v>2.6964039489867418E-16</c:v>
                </c:pt>
              </c:numCache>
            </c:numRef>
          </c:yVal>
          <c:smooth val="0"/>
          <c:extLst>
            <c:ext xmlns:c16="http://schemas.microsoft.com/office/drawing/2014/chart" uri="{C3380CC4-5D6E-409C-BE32-E72D297353CC}">
              <c16:uniqueId val="{00000001-DA33-45E0-8ACC-5075A80F128F}"/>
            </c:ext>
          </c:extLst>
        </c:ser>
        <c:ser>
          <c:idx val="12"/>
          <c:order val="2"/>
          <c:tx>
            <c:v>Extension rate 1.6 mm</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rates'!$CM$271:$IP$271</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rates'!$G$149:$FJ$149</c:f>
              <c:numCache>
                <c:formatCode>General</c:formatCode>
                <c:ptCount val="160"/>
                <c:pt idx="0">
                  <c:v>3.79485119371782E-2</c:v>
                </c:pt>
                <c:pt idx="1">
                  <c:v>3.7948495479907238E-2</c:v>
                </c:pt>
                <c:pt idx="2">
                  <c:v>3.7948390215217544E-2</c:v>
                </c:pt>
                <c:pt idx="3">
                  <c:v>3.7948119556280122E-2</c:v>
                </c:pt>
                <c:pt idx="4">
                  <c:v>3.7947611652085926E-2</c:v>
                </c:pt>
                <c:pt idx="5">
                  <c:v>3.7946797430611162E-2</c:v>
                </c:pt>
                <c:pt idx="6">
                  <c:v>3.794560979305292E-2</c:v>
                </c:pt>
                <c:pt idx="7">
                  <c:v>3.7943983165108428E-2</c:v>
                </c:pt>
                <c:pt idx="8">
                  <c:v>3.794185321065912E-2</c:v>
                </c:pt>
                <c:pt idx="9">
                  <c:v>3.7939156633401486E-2</c:v>
                </c:pt>
                <c:pt idx="10">
                  <c:v>3.7935831031492832E-2</c:v>
                </c:pt>
                <c:pt idx="11">
                  <c:v>3.7931814786605317E-2</c:v>
                </c:pt>
                <c:pt idx="12">
                  <c:v>3.7927046976561844E-2</c:v>
                </c:pt>
                <c:pt idx="13">
                  <c:v>3.792146730482588E-2</c:v>
                </c:pt>
                <c:pt idx="14">
                  <c:v>3.7915016042445987E-2</c:v>
                </c:pt>
                <c:pt idx="15">
                  <c:v>3.7907633979458184E-2</c:v>
                </c:pt>
                <c:pt idx="16">
                  <c:v>3.7899262383635265E-2</c:v>
                </c:pt>
                <c:pt idx="17">
                  <c:v>3.7889842965053717E-2</c:v>
                </c:pt>
                <c:pt idx="18">
                  <c:v>3.7879317845343791E-2</c:v>
                </c:pt>
                <c:pt idx="19">
                  <c:v>3.7867629530763475E-2</c:v>
                </c:pt>
                <c:pt idx="20">
                  <c:v>3.7854720888434154E-2</c:v>
                </c:pt>
                <c:pt idx="21">
                  <c:v>3.7840535125219357E-2</c:v>
                </c:pt>
                <c:pt idx="22">
                  <c:v>3.7825015768834756E-2</c:v>
                </c:pt>
                <c:pt idx="23">
                  <c:v>3.7808106650858583E-2</c:v>
                </c:pt>
                <c:pt idx="24">
                  <c:v>3.7789751891373284E-2</c:v>
                </c:pt>
                <c:pt idx="25">
                  <c:v>3.7769895885017682E-2</c:v>
                </c:pt>
                <c:pt idx="26">
                  <c:v>3.7748483288266584E-2</c:v>
                </c:pt>
                <c:pt idx="27">
                  <c:v>3.772545900778497E-2</c:v>
                </c:pt>
                <c:pt idx="28">
                  <c:v>3.7700768189728215E-2</c:v>
                </c:pt>
                <c:pt idx="29">
                  <c:v>3.7674356209879099E-2</c:v>
                </c:pt>
                <c:pt idx="30">
                  <c:v>3.7646168664528745E-2</c:v>
                </c:pt>
                <c:pt idx="31">
                  <c:v>3.7616151362021601E-2</c:v>
                </c:pt>
                <c:pt idx="32">
                  <c:v>3.7584250314895498E-2</c:v>
                </c:pt>
                <c:pt idx="33">
                  <c:v>3.7550411732557173E-2</c:v>
                </c:pt>
                <c:pt idx="34">
                  <c:v>3.7514582014441106E-2</c:v>
                </c:pt>
                <c:pt idx="35">
                  <c:v>3.747670774360605E-2</c:v>
                </c:pt>
                <c:pt idx="36">
                  <c:v>3.7436735680729367E-2</c:v>
                </c:pt>
                <c:pt idx="37">
                  <c:v>3.7394612758463577E-2</c:v>
                </c:pt>
                <c:pt idx="38">
                  <c:v>3.7350286076124013E-2</c:v>
                </c:pt>
                <c:pt idx="39">
                  <c:v>3.7303702894679568E-2</c:v>
                </c:pt>
                <c:pt idx="40">
                  <c:v>3.7254810632021872E-2</c:v>
                </c:pt>
                <c:pt idx="41">
                  <c:v>3.7203556858490562E-2</c:v>
                </c:pt>
                <c:pt idx="42">
                  <c:v>3.7149889292634783E-2</c:v>
                </c:pt>
                <c:pt idx="43">
                  <c:v>3.7093755797192998E-2</c:v>
                </c:pt>
                <c:pt idx="44">
                  <c:v>3.7035104375274887E-2</c:v>
                </c:pt>
                <c:pt idx="45">
                  <c:v>3.6973883166730767E-2</c:v>
                </c:pt>
                <c:pt idx="46">
                  <c:v>3.6910040444695251E-2</c:v>
                </c:pt>
                <c:pt idx="47">
                  <c:v>3.6843524612293045E-2</c:v>
                </c:pt>
                <c:pt idx="48">
                  <c:v>3.677428419949607E-2</c:v>
                </c:pt>
                <c:pt idx="49">
                  <c:v>3.6702267860121672E-2</c:v>
                </c:pt>
                <c:pt idx="50">
                  <c:v>3.6627424368962956E-2</c:v>
                </c:pt>
                <c:pt idx="51">
                  <c:v>3.6549702619042793E-2</c:v>
                </c:pt>
                <c:pt idx="52">
                  <c:v>3.6469051618983769E-2</c:v>
                </c:pt>
                <c:pt idx="53">
                  <c:v>3.6385420490487055E-2</c:v>
                </c:pt>
                <c:pt idx="54">
                  <c:v>3.6298758465913648E-2</c:v>
                </c:pt>
                <c:pt idx="55">
                  <c:v>3.6209014885961996E-2</c:v>
                </c:pt>
                <c:pt idx="56">
                  <c:v>3.6116139197436434E-2</c:v>
                </c:pt>
                <c:pt idx="57">
                  <c:v>3.6020080951101305E-2</c:v>
                </c:pt>
                <c:pt idx="58">
                  <c:v>3.5920789799616E-2</c:v>
                </c:pt>
                <c:pt idx="59">
                  <c:v>3.58182154955465E-2</c:v>
                </c:pt>
                <c:pt idx="60">
                  <c:v>3.5712307889449353E-2</c:v>
                </c:pt>
                <c:pt idx="61">
                  <c:v>3.5603016928024131E-2</c:v>
                </c:pt>
                <c:pt idx="62">
                  <c:v>3.5490292652331078E-2</c:v>
                </c:pt>
                <c:pt idx="63">
                  <c:v>3.5374085196070285E-2</c:v>
                </c:pt>
                <c:pt idx="64">
                  <c:v>3.5254344783919624E-2</c:v>
                </c:pt>
                <c:pt idx="65">
                  <c:v>3.5131021729928297E-2</c:v>
                </c:pt>
                <c:pt idx="66">
                  <c:v>3.5004066435963474E-2</c:v>
                </c:pt>
                <c:pt idx="67">
                  <c:v>3.4873429390207315E-2</c:v>
                </c:pt>
                <c:pt idx="68">
                  <c:v>3.473906116570219E-2</c:v>
                </c:pt>
                <c:pt idx="69">
                  <c:v>3.4600912418941629E-2</c:v>
                </c:pt>
                <c:pt idx="70">
                  <c:v>3.4458933888505169E-2</c:v>
                </c:pt>
                <c:pt idx="71">
                  <c:v>3.4313076393734869E-2</c:v>
                </c:pt>
                <c:pt idx="72">
                  <c:v>3.416329083345182E-2</c:v>
                </c:pt>
                <c:pt idx="73">
                  <c:v>3.4009528184710827E-2</c:v>
                </c:pt>
                <c:pt idx="74">
                  <c:v>3.3851739501591593E-2</c:v>
                </c:pt>
                <c:pt idx="75">
                  <c:v>3.3689875914024912E-2</c:v>
                </c:pt>
                <c:pt idx="76">
                  <c:v>3.3523888626652308E-2</c:v>
                </c:pt>
                <c:pt idx="77">
                  <c:v>3.335372891771788E-2</c:v>
                </c:pt>
                <c:pt idx="78">
                  <c:v>3.3179348137990824E-2</c:v>
                </c:pt>
                <c:pt idx="79">
                  <c:v>3.3000697709717593E-2</c:v>
                </c:pt>
                <c:pt idx="80">
                  <c:v>3.2817729125602442E-2</c:v>
                </c:pt>
                <c:pt idx="81">
                  <c:v>3.2630393947815126E-2</c:v>
                </c:pt>
                <c:pt idx="82">
                  <c:v>3.2438643807024888E-2</c:v>
                </c:pt>
                <c:pt idx="83">
                  <c:v>3.2242430401459639E-2</c:v>
                </c:pt>
                <c:pt idx="84">
                  <c:v>3.2041705495989302E-2</c:v>
                </c:pt>
                <c:pt idx="85">
                  <c:v>3.1836420921232525E-2</c:v>
                </c:pt>
                <c:pt idx="86">
                  <c:v>3.1626528572685865E-2</c:v>
                </c:pt>
                <c:pt idx="87">
                  <c:v>3.1411980409874599E-2</c:v>
                </c:pt>
                <c:pt idx="88">
                  <c:v>3.1192728455524336E-2</c:v>
                </c:pt>
                <c:pt idx="89">
                  <c:v>3.0968724794752881E-2</c:v>
                </c:pt>
                <c:pt idx="90">
                  <c:v>3.0739921574281317E-2</c:v>
                </c:pt>
                <c:pt idx="91">
                  <c:v>3.0506271001663938E-2</c:v>
                </c:pt>
                <c:pt idx="92">
                  <c:v>3.0267725344536235E-2</c:v>
                </c:pt>
                <c:pt idx="93">
                  <c:v>3.0024236929880255E-2</c:v>
                </c:pt>
                <c:pt idx="94">
                  <c:v>2.9775758143306953E-2</c:v>
                </c:pt>
                <c:pt idx="95">
                  <c:v>2.9522241428354721E-2</c:v>
                </c:pt>
                <c:pt idx="96">
                  <c:v>2.9263639285803771E-2</c:v>
                </c:pt>
                <c:pt idx="97">
                  <c:v>2.8999904273005705E-2</c:v>
                </c:pt>
                <c:pt idx="98">
                  <c:v>2.8730989003227882E-2</c:v>
                </c:pt>
                <c:pt idx="99">
                  <c:v>2.8456846145011989E-2</c:v>
                </c:pt>
                <c:pt idx="100">
                  <c:v>2.8177428421546514E-2</c:v>
                </c:pt>
                <c:pt idx="101">
                  <c:v>2.7892688610052611E-2</c:v>
                </c:pt>
                <c:pt idx="102">
                  <c:v>2.7602579541182806E-2</c:v>
                </c:pt>
                <c:pt idx="103">
                  <c:v>2.7307054098432489E-2</c:v>
                </c:pt>
                <c:pt idx="104">
                  <c:v>2.7006065217563394E-2</c:v>
                </c:pt>
                <c:pt idx="105">
                  <c:v>2.6699565886039018E-2</c:v>
                </c:pt>
                <c:pt idx="106">
                  <c:v>2.6387509142471489E-2</c:v>
                </c:pt>
                <c:pt idx="107">
                  <c:v>2.6069848076079528E-2</c:v>
                </c:pt>
                <c:pt idx="108">
                  <c:v>2.5746535826157213E-2</c:v>
                </c:pt>
                <c:pt idx="109">
                  <c:v>2.5417525581553316E-2</c:v>
                </c:pt>
                <c:pt idx="110">
                  <c:v>2.5082770580160677E-2</c:v>
                </c:pt>
                <c:pt idx="111">
                  <c:v>2.4742224108415603E-2</c:v>
                </c:pt>
                <c:pt idx="112">
                  <c:v>2.4395839500806812E-2</c:v>
                </c:pt>
                <c:pt idx="113">
                  <c:v>2.404357013939375E-2</c:v>
                </c:pt>
                <c:pt idx="114">
                  <c:v>2.3685369453333955E-2</c:v>
                </c:pt>
                <c:pt idx="115">
                  <c:v>2.3321190918419332E-2</c:v>
                </c:pt>
                <c:pt idx="116">
                  <c:v>2.2950988056620904E-2</c:v>
                </c:pt>
                <c:pt idx="117">
                  <c:v>2.2574714435642053E-2</c:v>
                </c:pt>
                <c:pt idx="118">
                  <c:v>2.2192323668479806E-2</c:v>
                </c:pt>
                <c:pt idx="119">
                  <c:v>2.180376941299407E-2</c:v>
                </c:pt>
                <c:pt idx="120">
                  <c:v>2.1409005371484591E-2</c:v>
                </c:pt>
                <c:pt idx="121">
                  <c:v>2.1007985290275404E-2</c:v>
                </c:pt>
                <c:pt idx="122">
                  <c:v>2.0600662959306612E-2</c:v>
                </c:pt>
                <c:pt idx="123">
                  <c:v>2.018699221173326E-2</c:v>
                </c:pt>
                <c:pt idx="124">
                  <c:v>1.9766926923531217E-2</c:v>
                </c:pt>
                <c:pt idx="125">
                  <c:v>1.934042101310976E-2</c:v>
                </c:pt>
                <c:pt idx="126">
                  <c:v>1.8907428440930782E-2</c:v>
                </c:pt>
                <c:pt idx="127">
                  <c:v>1.8467903209134474E-2</c:v>
                </c:pt>
                <c:pt idx="128">
                  <c:v>1.8021799361171202E-2</c:v>
                </c:pt>
                <c:pt idx="129">
                  <c:v>1.7569070981439585E-2</c:v>
                </c:pt>
                <c:pt idx="130">
                  <c:v>1.7109672194930509E-2</c:v>
                </c:pt>
                <c:pt idx="131">
                  <c:v>1.6643557166876936E-2</c:v>
                </c:pt>
                <c:pt idx="132">
                  <c:v>1.6170680102409518E-2</c:v>
                </c:pt>
                <c:pt idx="133">
                  <c:v>1.5690995246217608E-2</c:v>
                </c:pt>
                <c:pt idx="134">
                  <c:v>1.5204456882215825E-2</c:v>
                </c:pt>
                <c:pt idx="135">
                  <c:v>1.471101933321586E-2</c:v>
                </c:pt>
                <c:pt idx="136">
                  <c:v>1.4210636960603441E-2</c:v>
                </c:pt>
                <c:pt idx="137">
                  <c:v>1.3703264164020387E-2</c:v>
                </c:pt>
                <c:pt idx="138">
                  <c:v>1.3188855381051611E-2</c:v>
                </c:pt>
                <c:pt idx="139">
                  <c:v>1.2667365086916875E-2</c:v>
                </c:pt>
                <c:pt idx="140">
                  <c:v>1.2138747794167347E-2</c:v>
                </c:pt>
                <c:pt idx="141">
                  <c:v>1.1602958052386746E-2</c:v>
                </c:pt>
                <c:pt idx="142">
                  <c:v>1.1059950447896946E-2</c:v>
                </c:pt>
                <c:pt idx="143">
                  <c:v>1.0509679603468075E-2</c:v>
                </c:pt>
                <c:pt idx="144">
                  <c:v>9.9521001780328681E-3</c:v>
                </c:pt>
                <c:pt idx="145">
                  <c:v>9.3871668664052346E-3</c:v>
                </c:pt>
                <c:pt idx="146">
                  <c:v>8.8148343990029961E-3</c:v>
                </c:pt>
                <c:pt idx="147">
                  <c:v>8.2350575415746623E-3</c:v>
                </c:pt>
                <c:pt idx="148">
                  <c:v>7.6477910949300917E-3</c:v>
                </c:pt>
                <c:pt idx="149">
                  <c:v>7.0529898946750935E-3</c:v>
                </c:pt>
                <c:pt idx="150">
                  <c:v>6.4506088109498273E-3</c:v>
                </c:pt>
                <c:pt idx="151">
                  <c:v>5.8406027481708294E-3</c:v>
                </c:pt>
                <c:pt idx="152">
                  <c:v>5.2229266447767391E-3</c:v>
                </c:pt>
                <c:pt idx="153">
                  <c:v>4.5975354729776074E-3</c:v>
                </c:pt>
                <c:pt idx="154">
                  <c:v>3.9643842385075744E-3</c:v>
                </c:pt>
                <c:pt idx="155">
                  <c:v>3.3234279803810844E-3</c:v>
                </c:pt>
                <c:pt idx="156">
                  <c:v>2.6746217706524159E-3</c:v>
                </c:pt>
                <c:pt idx="157">
                  <c:v>2.017920714178409E-3</c:v>
                </c:pt>
                <c:pt idx="158">
                  <c:v>1.3532799483844994E-3</c:v>
                </c:pt>
                <c:pt idx="159">
                  <c:v>6.8065464303389777E-4</c:v>
                </c:pt>
              </c:numCache>
            </c:numRef>
          </c:yVal>
          <c:smooth val="0"/>
          <c:extLst>
            <c:ext xmlns:c16="http://schemas.microsoft.com/office/drawing/2014/chart" uri="{C3380CC4-5D6E-409C-BE32-E72D297353CC}">
              <c16:uniqueId val="{00000002-DA33-45E0-8ACC-5075A80F128F}"/>
            </c:ext>
          </c:extLst>
        </c:ser>
        <c:ser>
          <c:idx val="14"/>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rates'!$CN$287:$IQ$287</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rates'!$G$149:$FJ$149</c:f>
              <c:numCache>
                <c:formatCode>General</c:formatCode>
                <c:ptCount val="160"/>
                <c:pt idx="0">
                  <c:v>3.79485119371782E-2</c:v>
                </c:pt>
                <c:pt idx="1">
                  <c:v>3.7948495479907238E-2</c:v>
                </c:pt>
                <c:pt idx="2">
                  <c:v>3.7948390215217544E-2</c:v>
                </c:pt>
                <c:pt idx="3">
                  <c:v>3.7948119556280122E-2</c:v>
                </c:pt>
                <c:pt idx="4">
                  <c:v>3.7947611652085926E-2</c:v>
                </c:pt>
                <c:pt idx="5">
                  <c:v>3.7946797430611162E-2</c:v>
                </c:pt>
                <c:pt idx="6">
                  <c:v>3.794560979305292E-2</c:v>
                </c:pt>
                <c:pt idx="7">
                  <c:v>3.7943983165108428E-2</c:v>
                </c:pt>
                <c:pt idx="8">
                  <c:v>3.794185321065912E-2</c:v>
                </c:pt>
                <c:pt idx="9">
                  <c:v>3.7939156633401486E-2</c:v>
                </c:pt>
                <c:pt idx="10">
                  <c:v>3.7935831031492832E-2</c:v>
                </c:pt>
                <c:pt idx="11">
                  <c:v>3.7931814786605317E-2</c:v>
                </c:pt>
                <c:pt idx="12">
                  <c:v>3.7927046976561844E-2</c:v>
                </c:pt>
                <c:pt idx="13">
                  <c:v>3.792146730482588E-2</c:v>
                </c:pt>
                <c:pt idx="14">
                  <c:v>3.7915016042445987E-2</c:v>
                </c:pt>
                <c:pt idx="15">
                  <c:v>3.7907633979458184E-2</c:v>
                </c:pt>
                <c:pt idx="16">
                  <c:v>3.7899262383635265E-2</c:v>
                </c:pt>
                <c:pt idx="17">
                  <c:v>3.7889842965053717E-2</c:v>
                </c:pt>
                <c:pt idx="18">
                  <c:v>3.7879317845343791E-2</c:v>
                </c:pt>
                <c:pt idx="19">
                  <c:v>3.7867629530763475E-2</c:v>
                </c:pt>
                <c:pt idx="20">
                  <c:v>3.7854720888434154E-2</c:v>
                </c:pt>
                <c:pt idx="21">
                  <c:v>3.7840535125219357E-2</c:v>
                </c:pt>
                <c:pt idx="22">
                  <c:v>3.7825015768834756E-2</c:v>
                </c:pt>
                <c:pt idx="23">
                  <c:v>3.7808106650858583E-2</c:v>
                </c:pt>
                <c:pt idx="24">
                  <c:v>3.7789751891373284E-2</c:v>
                </c:pt>
                <c:pt idx="25">
                  <c:v>3.7769895885017682E-2</c:v>
                </c:pt>
                <c:pt idx="26">
                  <c:v>3.7748483288266584E-2</c:v>
                </c:pt>
                <c:pt idx="27">
                  <c:v>3.772545900778497E-2</c:v>
                </c:pt>
                <c:pt idx="28">
                  <c:v>3.7700768189728215E-2</c:v>
                </c:pt>
                <c:pt idx="29">
                  <c:v>3.7674356209879099E-2</c:v>
                </c:pt>
                <c:pt idx="30">
                  <c:v>3.7646168664528745E-2</c:v>
                </c:pt>
                <c:pt idx="31">
                  <c:v>3.7616151362021601E-2</c:v>
                </c:pt>
                <c:pt idx="32">
                  <c:v>3.7584250314895498E-2</c:v>
                </c:pt>
                <c:pt idx="33">
                  <c:v>3.7550411732557173E-2</c:v>
                </c:pt>
                <c:pt idx="34">
                  <c:v>3.7514582014441106E-2</c:v>
                </c:pt>
                <c:pt idx="35">
                  <c:v>3.747670774360605E-2</c:v>
                </c:pt>
                <c:pt idx="36">
                  <c:v>3.7436735680729367E-2</c:v>
                </c:pt>
                <c:pt idx="37">
                  <c:v>3.7394612758463577E-2</c:v>
                </c:pt>
                <c:pt idx="38">
                  <c:v>3.7350286076124013E-2</c:v>
                </c:pt>
                <c:pt idx="39">
                  <c:v>3.7303702894679568E-2</c:v>
                </c:pt>
                <c:pt idx="40">
                  <c:v>3.7254810632021872E-2</c:v>
                </c:pt>
                <c:pt idx="41">
                  <c:v>3.7203556858490562E-2</c:v>
                </c:pt>
                <c:pt idx="42">
                  <c:v>3.7149889292634783E-2</c:v>
                </c:pt>
                <c:pt idx="43">
                  <c:v>3.7093755797192998E-2</c:v>
                </c:pt>
                <c:pt idx="44">
                  <c:v>3.7035104375274887E-2</c:v>
                </c:pt>
                <c:pt idx="45">
                  <c:v>3.6973883166730767E-2</c:v>
                </c:pt>
                <c:pt idx="46">
                  <c:v>3.6910040444695251E-2</c:v>
                </c:pt>
                <c:pt idx="47">
                  <c:v>3.6843524612293045E-2</c:v>
                </c:pt>
                <c:pt idx="48">
                  <c:v>3.677428419949607E-2</c:v>
                </c:pt>
                <c:pt idx="49">
                  <c:v>3.6702267860121672E-2</c:v>
                </c:pt>
                <c:pt idx="50">
                  <c:v>3.6627424368962956E-2</c:v>
                </c:pt>
                <c:pt idx="51">
                  <c:v>3.6549702619042793E-2</c:v>
                </c:pt>
                <c:pt idx="52">
                  <c:v>3.6469051618983769E-2</c:v>
                </c:pt>
                <c:pt idx="53">
                  <c:v>3.6385420490487055E-2</c:v>
                </c:pt>
                <c:pt idx="54">
                  <c:v>3.6298758465913648E-2</c:v>
                </c:pt>
                <c:pt idx="55">
                  <c:v>3.6209014885961996E-2</c:v>
                </c:pt>
                <c:pt idx="56">
                  <c:v>3.6116139197436434E-2</c:v>
                </c:pt>
                <c:pt idx="57">
                  <c:v>3.6020080951101305E-2</c:v>
                </c:pt>
                <c:pt idx="58">
                  <c:v>3.5920789799616E-2</c:v>
                </c:pt>
                <c:pt idx="59">
                  <c:v>3.58182154955465E-2</c:v>
                </c:pt>
                <c:pt idx="60">
                  <c:v>3.5712307889449353E-2</c:v>
                </c:pt>
                <c:pt idx="61">
                  <c:v>3.5603016928024131E-2</c:v>
                </c:pt>
                <c:pt idx="62">
                  <c:v>3.5490292652331078E-2</c:v>
                </c:pt>
                <c:pt idx="63">
                  <c:v>3.5374085196070285E-2</c:v>
                </c:pt>
                <c:pt idx="64">
                  <c:v>3.5254344783919624E-2</c:v>
                </c:pt>
                <c:pt idx="65">
                  <c:v>3.5131021729928297E-2</c:v>
                </c:pt>
                <c:pt idx="66">
                  <c:v>3.5004066435963474E-2</c:v>
                </c:pt>
                <c:pt idx="67">
                  <c:v>3.4873429390207315E-2</c:v>
                </c:pt>
                <c:pt idx="68">
                  <c:v>3.473906116570219E-2</c:v>
                </c:pt>
                <c:pt idx="69">
                  <c:v>3.4600912418941629E-2</c:v>
                </c:pt>
                <c:pt idx="70">
                  <c:v>3.4458933888505169E-2</c:v>
                </c:pt>
                <c:pt idx="71">
                  <c:v>3.4313076393734869E-2</c:v>
                </c:pt>
                <c:pt idx="72">
                  <c:v>3.416329083345182E-2</c:v>
                </c:pt>
                <c:pt idx="73">
                  <c:v>3.4009528184710827E-2</c:v>
                </c:pt>
                <c:pt idx="74">
                  <c:v>3.3851739501591593E-2</c:v>
                </c:pt>
                <c:pt idx="75">
                  <c:v>3.3689875914024912E-2</c:v>
                </c:pt>
                <c:pt idx="76">
                  <c:v>3.3523888626652308E-2</c:v>
                </c:pt>
                <c:pt idx="77">
                  <c:v>3.335372891771788E-2</c:v>
                </c:pt>
                <c:pt idx="78">
                  <c:v>3.3179348137990824E-2</c:v>
                </c:pt>
                <c:pt idx="79">
                  <c:v>3.3000697709717593E-2</c:v>
                </c:pt>
                <c:pt idx="80">
                  <c:v>3.2817729125602442E-2</c:v>
                </c:pt>
                <c:pt idx="81">
                  <c:v>3.2630393947815126E-2</c:v>
                </c:pt>
                <c:pt idx="82">
                  <c:v>3.2438643807024888E-2</c:v>
                </c:pt>
                <c:pt idx="83">
                  <c:v>3.2242430401459639E-2</c:v>
                </c:pt>
                <c:pt idx="84">
                  <c:v>3.2041705495989302E-2</c:v>
                </c:pt>
                <c:pt idx="85">
                  <c:v>3.1836420921232525E-2</c:v>
                </c:pt>
                <c:pt idx="86">
                  <c:v>3.1626528572685865E-2</c:v>
                </c:pt>
                <c:pt idx="87">
                  <c:v>3.1411980409874599E-2</c:v>
                </c:pt>
                <c:pt idx="88">
                  <c:v>3.1192728455524336E-2</c:v>
                </c:pt>
                <c:pt idx="89">
                  <c:v>3.0968724794752881E-2</c:v>
                </c:pt>
                <c:pt idx="90">
                  <c:v>3.0739921574281317E-2</c:v>
                </c:pt>
                <c:pt idx="91">
                  <c:v>3.0506271001663938E-2</c:v>
                </c:pt>
                <c:pt idx="92">
                  <c:v>3.0267725344536235E-2</c:v>
                </c:pt>
                <c:pt idx="93">
                  <c:v>3.0024236929880255E-2</c:v>
                </c:pt>
                <c:pt idx="94">
                  <c:v>2.9775758143306953E-2</c:v>
                </c:pt>
                <c:pt idx="95">
                  <c:v>2.9522241428354721E-2</c:v>
                </c:pt>
                <c:pt idx="96">
                  <c:v>2.9263639285803771E-2</c:v>
                </c:pt>
                <c:pt idx="97">
                  <c:v>2.8999904273005705E-2</c:v>
                </c:pt>
                <c:pt idx="98">
                  <c:v>2.8730989003227882E-2</c:v>
                </c:pt>
                <c:pt idx="99">
                  <c:v>2.8456846145011989E-2</c:v>
                </c:pt>
                <c:pt idx="100">
                  <c:v>2.8177428421546514E-2</c:v>
                </c:pt>
                <c:pt idx="101">
                  <c:v>2.7892688610052611E-2</c:v>
                </c:pt>
                <c:pt idx="102">
                  <c:v>2.7602579541182806E-2</c:v>
                </c:pt>
                <c:pt idx="103">
                  <c:v>2.7307054098432489E-2</c:v>
                </c:pt>
                <c:pt idx="104">
                  <c:v>2.7006065217563394E-2</c:v>
                </c:pt>
                <c:pt idx="105">
                  <c:v>2.6699565886039018E-2</c:v>
                </c:pt>
                <c:pt idx="106">
                  <c:v>2.6387509142471489E-2</c:v>
                </c:pt>
                <c:pt idx="107">
                  <c:v>2.6069848076079528E-2</c:v>
                </c:pt>
                <c:pt idx="108">
                  <c:v>2.5746535826157213E-2</c:v>
                </c:pt>
                <c:pt idx="109">
                  <c:v>2.5417525581553316E-2</c:v>
                </c:pt>
                <c:pt idx="110">
                  <c:v>2.5082770580160677E-2</c:v>
                </c:pt>
                <c:pt idx="111">
                  <c:v>2.4742224108415603E-2</c:v>
                </c:pt>
                <c:pt idx="112">
                  <c:v>2.4395839500806812E-2</c:v>
                </c:pt>
                <c:pt idx="113">
                  <c:v>2.404357013939375E-2</c:v>
                </c:pt>
                <c:pt idx="114">
                  <c:v>2.3685369453333955E-2</c:v>
                </c:pt>
                <c:pt idx="115">
                  <c:v>2.3321190918419332E-2</c:v>
                </c:pt>
                <c:pt idx="116">
                  <c:v>2.2950988056620904E-2</c:v>
                </c:pt>
                <c:pt idx="117">
                  <c:v>2.2574714435642053E-2</c:v>
                </c:pt>
                <c:pt idx="118">
                  <c:v>2.2192323668479806E-2</c:v>
                </c:pt>
                <c:pt idx="119">
                  <c:v>2.180376941299407E-2</c:v>
                </c:pt>
                <c:pt idx="120">
                  <c:v>2.1409005371484591E-2</c:v>
                </c:pt>
                <c:pt idx="121">
                  <c:v>2.1007985290275404E-2</c:v>
                </c:pt>
                <c:pt idx="122">
                  <c:v>2.0600662959306612E-2</c:v>
                </c:pt>
                <c:pt idx="123">
                  <c:v>2.018699221173326E-2</c:v>
                </c:pt>
                <c:pt idx="124">
                  <c:v>1.9766926923531217E-2</c:v>
                </c:pt>
                <c:pt idx="125">
                  <c:v>1.934042101310976E-2</c:v>
                </c:pt>
                <c:pt idx="126">
                  <c:v>1.8907428440930782E-2</c:v>
                </c:pt>
                <c:pt idx="127">
                  <c:v>1.8467903209134474E-2</c:v>
                </c:pt>
                <c:pt idx="128">
                  <c:v>1.8021799361171202E-2</c:v>
                </c:pt>
                <c:pt idx="129">
                  <c:v>1.7569070981439585E-2</c:v>
                </c:pt>
                <c:pt idx="130">
                  <c:v>1.7109672194930509E-2</c:v>
                </c:pt>
                <c:pt idx="131">
                  <c:v>1.6643557166876936E-2</c:v>
                </c:pt>
                <c:pt idx="132">
                  <c:v>1.6170680102409518E-2</c:v>
                </c:pt>
                <c:pt idx="133">
                  <c:v>1.5690995246217608E-2</c:v>
                </c:pt>
                <c:pt idx="134">
                  <c:v>1.5204456882215825E-2</c:v>
                </c:pt>
                <c:pt idx="135">
                  <c:v>1.471101933321586E-2</c:v>
                </c:pt>
                <c:pt idx="136">
                  <c:v>1.4210636960603441E-2</c:v>
                </c:pt>
                <c:pt idx="137">
                  <c:v>1.3703264164020387E-2</c:v>
                </c:pt>
                <c:pt idx="138">
                  <c:v>1.3188855381051611E-2</c:v>
                </c:pt>
                <c:pt idx="139">
                  <c:v>1.2667365086916875E-2</c:v>
                </c:pt>
                <c:pt idx="140">
                  <c:v>1.2138747794167347E-2</c:v>
                </c:pt>
                <c:pt idx="141">
                  <c:v>1.1602958052386746E-2</c:v>
                </c:pt>
                <c:pt idx="142">
                  <c:v>1.1059950447896946E-2</c:v>
                </c:pt>
                <c:pt idx="143">
                  <c:v>1.0509679603468075E-2</c:v>
                </c:pt>
                <c:pt idx="144">
                  <c:v>9.9521001780328681E-3</c:v>
                </c:pt>
                <c:pt idx="145">
                  <c:v>9.3871668664052346E-3</c:v>
                </c:pt>
                <c:pt idx="146">
                  <c:v>8.8148343990029961E-3</c:v>
                </c:pt>
                <c:pt idx="147">
                  <c:v>8.2350575415746623E-3</c:v>
                </c:pt>
                <c:pt idx="148">
                  <c:v>7.6477910949300917E-3</c:v>
                </c:pt>
                <c:pt idx="149">
                  <c:v>7.0529898946750935E-3</c:v>
                </c:pt>
                <c:pt idx="150">
                  <c:v>6.4506088109498273E-3</c:v>
                </c:pt>
                <c:pt idx="151">
                  <c:v>5.8406027481708294E-3</c:v>
                </c:pt>
                <c:pt idx="152">
                  <c:v>5.2229266447767391E-3</c:v>
                </c:pt>
                <c:pt idx="153">
                  <c:v>4.5975354729776074E-3</c:v>
                </c:pt>
                <c:pt idx="154">
                  <c:v>3.9643842385075744E-3</c:v>
                </c:pt>
                <c:pt idx="155">
                  <c:v>3.3234279803810844E-3</c:v>
                </c:pt>
                <c:pt idx="156">
                  <c:v>2.6746217706524159E-3</c:v>
                </c:pt>
                <c:pt idx="157">
                  <c:v>2.017920714178409E-3</c:v>
                </c:pt>
                <c:pt idx="158">
                  <c:v>1.3532799483844994E-3</c:v>
                </c:pt>
                <c:pt idx="159">
                  <c:v>6.8065464303389777E-4</c:v>
                </c:pt>
              </c:numCache>
            </c:numRef>
          </c:yVal>
          <c:smooth val="0"/>
          <c:extLst>
            <c:ext xmlns:c16="http://schemas.microsoft.com/office/drawing/2014/chart" uri="{C3380CC4-5D6E-409C-BE32-E72D297353CC}">
              <c16:uniqueId val="{00000003-DA33-45E0-8ACC-5075A80F128F}"/>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Extension rate s</a:t>
                </a:r>
                <a:r>
                  <a:rPr lang="en-GB" sz="1600" baseline="30000">
                    <a:solidFill>
                      <a:schemeClr val="tx1"/>
                    </a:solidFill>
                  </a:rPr>
                  <a:t>-1</a:t>
                </a:r>
              </a:p>
            </c:rich>
          </c:tx>
          <c:layout>
            <c:manualLayout>
              <c:xMode val="edge"/>
              <c:yMode val="edge"/>
              <c:x val="3.7980225454255008E-2"/>
              <c:y val="0.4547697690945286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1"/>
        <c:delete val="1"/>
      </c:legendEntry>
      <c:legendEntry>
        <c:idx val="3"/>
        <c:delete val="1"/>
      </c:legendEntry>
      <c:layout>
        <c:manualLayout>
          <c:xMode val="edge"/>
          <c:yMode val="edge"/>
          <c:x val="8.2955507410337484E-2"/>
          <c:y val="1.233984943061933E-2"/>
          <c:w val="0.18270042227066846"/>
          <c:h val="0.2820930694543973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Power law shear rate 12 mm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 rate 0.3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rates'!$G$114:$AK$114</c:f>
              <c:numCache>
                <c:formatCode>General</c:formatCode>
                <c:ptCount val="31"/>
                <c:pt idx="0">
                  <c:v>6.0731132075471692E-2</c:v>
                </c:pt>
                <c:pt idx="1">
                  <c:v>0.60041716309800286</c:v>
                </c:pt>
                <c:pt idx="2">
                  <c:v>2.3842753019359391</c:v>
                </c:pt>
                <c:pt idx="3">
                  <c:v>5.1937237212539289</c:v>
                </c:pt>
                <c:pt idx="4">
                  <c:v>8.981198652812882</c:v>
                </c:pt>
                <c:pt idx="5">
                  <c:v>13.714858958589572</c:v>
                </c:pt>
                <c:pt idx="6">
                  <c:v>19.370879018627459</c:v>
                </c:pt>
                <c:pt idx="7">
                  <c:v>25.930298609776322</c:v>
                </c:pt>
                <c:pt idx="8">
                  <c:v>33.377419826372922</c:v>
                </c:pt>
                <c:pt idx="9">
                  <c:v>41.698880149131064</c:v>
                </c:pt>
                <c:pt idx="10">
                  <c:v>50.883068692958368</c:v>
                </c:pt>
                <c:pt idx="11">
                  <c:v>60.919735200408979</c:v>
                </c:pt>
                <c:pt idx="12">
                  <c:v>71.799715591460512</c:v>
                </c:pt>
                <c:pt idx="13">
                  <c:v>83.514732099003382</c:v>
                </c:pt>
                <c:pt idx="14">
                  <c:v>96.057243321349617</c:v>
                </c:pt>
                <c:pt idx="15">
                  <c:v>109.42032892326151</c:v>
                </c:pt>
                <c:pt idx="16">
                  <c:v>123.59759912709821</c:v>
                </c:pt>
                <c:pt idx="17">
                  <c:v>138.58312240025268</c:v>
                </c:pt>
                <c:pt idx="18">
                  <c:v>154.37136679472241</c:v>
                </c:pt>
                <c:pt idx="19">
                  <c:v>170.95715172565278</c:v>
                </c:pt>
                <c:pt idx="20">
                  <c:v>188.33560786553883</c:v>
                </c:pt>
                <c:pt idx="21">
                  <c:v>206.50214344097031</c:v>
                </c:pt>
                <c:pt idx="22">
                  <c:v>225.45241564662024</c:v>
                </c:pt>
                <c:pt idx="23">
                  <c:v>245.18230619717934</c:v>
                </c:pt>
                <c:pt idx="24">
                  <c:v>265.6879002606417</c:v>
                </c:pt>
                <c:pt idx="25">
                  <c:v>286.9654681810996</c:v>
                </c:pt>
                <c:pt idx="26">
                  <c:v>309.0114495227287</c:v>
                </c:pt>
                <c:pt idx="27">
                  <c:v>331.82243906064326</c:v>
                </c:pt>
                <c:pt idx="28">
                  <c:v>355.39517441647655</c:v>
                </c:pt>
                <c:pt idx="29">
                  <c:v>379.72652509277719</c:v>
                </c:pt>
                <c:pt idx="30">
                  <c:v>404.8134827044031</c:v>
                </c:pt>
              </c:numCache>
            </c:numRef>
          </c:yVal>
          <c:smooth val="0"/>
          <c:extLst>
            <c:ext xmlns:c16="http://schemas.microsoft.com/office/drawing/2014/chart" uri="{C3380CC4-5D6E-409C-BE32-E72D297353CC}">
              <c16:uniqueId val="{00000000-6D26-4F6B-8E26-35CF1D82CB9D}"/>
            </c:ext>
          </c:extLst>
        </c:ser>
        <c:ser>
          <c:idx val="6"/>
          <c:order val="1"/>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rates'!$CN$278:$DR$278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rates'!$G$114:$AK$114</c:f>
              <c:numCache>
                <c:formatCode>General</c:formatCode>
                <c:ptCount val="31"/>
                <c:pt idx="0">
                  <c:v>6.0731132075471692E-2</c:v>
                </c:pt>
                <c:pt idx="1">
                  <c:v>0.60041716309800286</c:v>
                </c:pt>
                <c:pt idx="2">
                  <c:v>2.3842753019359391</c:v>
                </c:pt>
                <c:pt idx="3">
                  <c:v>5.1937237212539289</c:v>
                </c:pt>
                <c:pt idx="4">
                  <c:v>8.981198652812882</c:v>
                </c:pt>
                <c:pt idx="5">
                  <c:v>13.714858958589572</c:v>
                </c:pt>
                <c:pt idx="6">
                  <c:v>19.370879018627459</c:v>
                </c:pt>
                <c:pt idx="7">
                  <c:v>25.930298609776322</c:v>
                </c:pt>
                <c:pt idx="8">
                  <c:v>33.377419826372922</c:v>
                </c:pt>
                <c:pt idx="9">
                  <c:v>41.698880149131064</c:v>
                </c:pt>
                <c:pt idx="10">
                  <c:v>50.883068692958368</c:v>
                </c:pt>
                <c:pt idx="11">
                  <c:v>60.919735200408979</c:v>
                </c:pt>
                <c:pt idx="12">
                  <c:v>71.799715591460512</c:v>
                </c:pt>
                <c:pt idx="13">
                  <c:v>83.514732099003382</c:v>
                </c:pt>
                <c:pt idx="14">
                  <c:v>96.057243321349617</c:v>
                </c:pt>
                <c:pt idx="15">
                  <c:v>109.42032892326151</c:v>
                </c:pt>
                <c:pt idx="16">
                  <c:v>123.59759912709821</c:v>
                </c:pt>
                <c:pt idx="17">
                  <c:v>138.58312240025268</c:v>
                </c:pt>
                <c:pt idx="18">
                  <c:v>154.37136679472241</c:v>
                </c:pt>
                <c:pt idx="19">
                  <c:v>170.95715172565278</c:v>
                </c:pt>
                <c:pt idx="20">
                  <c:v>188.33560786553883</c:v>
                </c:pt>
                <c:pt idx="21">
                  <c:v>206.50214344097031</c:v>
                </c:pt>
                <c:pt idx="22">
                  <c:v>225.45241564662024</c:v>
                </c:pt>
                <c:pt idx="23">
                  <c:v>245.18230619717934</c:v>
                </c:pt>
                <c:pt idx="24">
                  <c:v>265.6879002606417</c:v>
                </c:pt>
                <c:pt idx="25">
                  <c:v>286.9654681810996</c:v>
                </c:pt>
                <c:pt idx="26">
                  <c:v>309.0114495227287</c:v>
                </c:pt>
                <c:pt idx="27">
                  <c:v>331.82243906064326</c:v>
                </c:pt>
                <c:pt idx="28">
                  <c:v>355.39517441647655</c:v>
                </c:pt>
                <c:pt idx="29">
                  <c:v>379.72652509277719</c:v>
                </c:pt>
                <c:pt idx="30">
                  <c:v>404.8134827044031</c:v>
                </c:pt>
              </c:numCache>
            </c:numRef>
          </c:yVal>
          <c:smooth val="0"/>
          <c:extLst>
            <c:ext xmlns:c16="http://schemas.microsoft.com/office/drawing/2014/chart" uri="{C3380CC4-5D6E-409C-BE32-E72D297353CC}">
              <c16:uniqueId val="{00000001-6D26-4F6B-8E26-35CF1D82CB9D}"/>
            </c:ext>
          </c:extLst>
        </c:ser>
        <c:ser>
          <c:idx val="12"/>
          <c:order val="2"/>
          <c:tx>
            <c:v>Shear rate 1.6 mm</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rates'!$CM$271:$IP$271</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rates'!$G$152:$FJ$152</c:f>
              <c:numCache>
                <c:formatCode>General</c:formatCode>
                <c:ptCount val="160"/>
                <c:pt idx="0">
                  <c:v>1.138708726415094E-2</c:v>
                </c:pt>
                <c:pt idx="1">
                  <c:v>1.0399431248150891E-2</c:v>
                </c:pt>
                <c:pt idx="2">
                  <c:v>7.7346157515735892E-3</c:v>
                </c:pt>
                <c:pt idx="3">
                  <c:v>3.5377227803027687E-3</c:v>
                </c:pt>
                <c:pt idx="4">
                  <c:v>2.1201945567177706E-3</c:v>
                </c:pt>
                <c:pt idx="5">
                  <c:v>9.1915703930182703E-3</c:v>
                </c:pt>
                <c:pt idx="6">
                  <c:v>1.764081283937087E-2</c:v>
                </c:pt>
                <c:pt idx="7">
                  <c:v>2.7439598176882657E-2</c:v>
                </c:pt>
                <c:pt idx="8">
                  <c:v>3.856447609783889E-2</c:v>
                </c:pt>
                <c:pt idx="9">
                  <c:v>5.0995485010175756E-2</c:v>
                </c:pt>
                <c:pt idx="10">
                  <c:v>6.4715279999603553E-2</c:v>
                </c:pt>
                <c:pt idx="11">
                  <c:v>7.97085487246917E-2</c:v>
                </c:pt>
                <c:pt idx="12">
                  <c:v>9.5961601429554413E-2</c:v>
                </c:pt>
                <c:pt idx="13">
                  <c:v>0.11346207237636176</c:v>
                </c:pt>
                <c:pt idx="14">
                  <c:v>0.13219869584636262</c:v>
                </c:pt>
                <c:pt idx="15">
                  <c:v>0.15216113390058003</c:v>
                </c:pt>
                <c:pt idx="16">
                  <c:v>0.17333984117321027</c:v>
                </c:pt>
                <c:pt idx="17">
                  <c:v>0.19572595684754068</c:v>
                </c:pt>
                <c:pt idx="18">
                  <c:v>0.21931121702609963</c:v>
                </c:pt>
                <c:pt idx="19">
                  <c:v>0.24408788269506007</c:v>
                </c:pt>
                <c:pt idx="20">
                  <c:v>0.27004867981221503</c:v>
                </c:pt>
                <c:pt idx="21">
                  <c:v>0.29718674895938879</c:v>
                </c:pt>
                <c:pt idx="22">
                  <c:v>0.3254956026392396</c:v>
                </c:pt>
                <c:pt idx="23">
                  <c:v>0.35496908875353</c:v>
                </c:pt>
                <c:pt idx="24">
                  <c:v>0.385601359132628</c:v>
                </c:pt>
                <c:pt idx="25">
                  <c:v>0.41738684223211309</c:v>
                </c:pt>
                <c:pt idx="26">
                  <c:v>0.45032021929689353</c:v>
                </c:pt>
                <c:pt idx="27">
                  <c:v>0.48439640343365248</c:v>
                </c:pt>
                <c:pt idx="28">
                  <c:v>0.51961052114026629</c:v>
                </c:pt>
                <c:pt idx="29">
                  <c:v>0.55595789592484446</c:v>
                </c:pt>
                <c:pt idx="30">
                  <c:v>0.59343403371290204</c:v>
                </c:pt>
                <c:pt idx="31">
                  <c:v>0.63203460979344095</c:v>
                </c:pt>
                <c:pt idx="32">
                  <c:v>0.67175545709649931</c:v>
                </c:pt>
                <c:pt idx="33">
                  <c:v>0.71259255562838486</c:v>
                </c:pt>
                <c:pt idx="34">
                  <c:v>0.7545420229181633</c:v>
                </c:pt>
                <c:pt idx="35">
                  <c:v>0.79760010535128278</c:v>
                </c:pt>
                <c:pt idx="36">
                  <c:v>0.84176317028462666</c:v>
                </c:pt>
                <c:pt idx="37">
                  <c:v>0.88702769885252186</c:v>
                </c:pt>
                <c:pt idx="38">
                  <c:v>0.93339027938586527</c:v>
                </c:pt>
                <c:pt idx="39">
                  <c:v>0.98084760137716454</c:v>
                </c:pt>
                <c:pt idx="40">
                  <c:v>1.0293964499332067</c:v>
                </c:pt>
                <c:pt idx="41">
                  <c:v>1.0790337006645967</c:v>
                </c:pt>
                <c:pt idx="42">
                  <c:v>1.12975631496784</c:v>
                </c:pt>
                <c:pt idx="43">
                  <c:v>1.1815613356610646</c:v>
                </c:pt>
                <c:pt idx="44">
                  <c:v>1.2344458829392182</c:v>
                </c:pt>
                <c:pt idx="45">
                  <c:v>1.2884071506184855</c:v>
                </c:pt>
                <c:pt idx="46">
                  <c:v>1.3434424026432836</c:v>
                </c:pt>
                <c:pt idx="47">
                  <c:v>1.3995489698320498</c:v>
                </c:pt>
                <c:pt idx="48">
                  <c:v>1.4567242468407673</c:v>
                </c:pt>
                <c:pt idx="49">
                  <c:v>1.5149656893253232</c:v>
                </c:pt>
                <c:pt idx="50">
                  <c:v>1.5742708112859061</c:v>
                </c:pt>
                <c:pt idx="51">
                  <c:v>1.6346371825783013</c:v>
                </c:pt>
                <c:pt idx="52">
                  <c:v>1.6960624265784852</c:v>
                </c:pt>
                <c:pt idx="53">
                  <c:v>1.7585442179883126</c:v>
                </c:pt>
                <c:pt idx="54">
                  <c:v>1.8220802807712002</c:v>
                </c:pt>
                <c:pt idx="55">
                  <c:v>1.8866683862078963</c:v>
                </c:pt>
                <c:pt idx="56">
                  <c:v>1.9523063510632115</c:v>
                </c:pt>
                <c:pt idx="57">
                  <c:v>2.018992035855474</c:v>
                </c:pt>
                <c:pt idx="58">
                  <c:v>2.0867233432213816</c:v>
                </c:pt>
                <c:pt idx="59">
                  <c:v>2.1554982163691645</c:v>
                </c:pt>
                <c:pt idx="60">
                  <c:v>2.2253146376142032</c:v>
                </c:pt>
                <c:pt idx="61">
                  <c:v>2.2961706269910276</c:v>
                </c:pt>
                <c:pt idx="62">
                  <c:v>2.3680642409368566</c:v>
                </c:pt>
                <c:pt idx="63">
                  <c:v>2.4409935710415995</c:v>
                </c:pt>
                <c:pt idx="64">
                  <c:v>2.5149567428601665</c:v>
                </c:pt>
                <c:pt idx="65">
                  <c:v>2.5899519147829539</c:v>
                </c:pt>
                <c:pt idx="66">
                  <c:v>2.6659772769607906</c:v>
                </c:pt>
                <c:pt idx="67">
                  <c:v>2.7430310502809871</c:v>
                </c:pt>
                <c:pt idx="68">
                  <c:v>2.821111485391222</c:v>
                </c:pt>
                <c:pt idx="69">
                  <c:v>2.9002168617685102</c:v>
                </c:pt>
                <c:pt idx="70">
                  <c:v>2.9803454868304122</c:v>
                </c:pt>
                <c:pt idx="71">
                  <c:v>3.06149569508599</c:v>
                </c:pt>
                <c:pt idx="72">
                  <c:v>3.1436658473243524</c:v>
                </c:pt>
                <c:pt idx="73">
                  <c:v>3.2268543298383681</c:v>
                </c:pt>
                <c:pt idx="74">
                  <c:v>3.3110595536818028</c:v>
                </c:pt>
                <c:pt idx="75">
                  <c:v>3.3962799539578534</c:v>
                </c:pt>
                <c:pt idx="76">
                  <c:v>3.4825139891373915</c:v>
                </c:pt>
                <c:pt idx="77">
                  <c:v>3.569760140405362</c:v>
                </c:pt>
                <c:pt idx="78">
                  <c:v>3.6580169110336618</c:v>
                </c:pt>
                <c:pt idx="79">
                  <c:v>3.7472828257792847</c:v>
                </c:pt>
                <c:pt idx="80">
                  <c:v>3.8375564303062988</c:v>
                </c:pt>
                <c:pt idx="81">
                  <c:v>3.9288362906304202</c:v>
                </c:pt>
                <c:pt idx="82">
                  <c:v>4.0211209925850868</c:v>
                </c:pt>
                <c:pt idx="83">
                  <c:v>4.1144091413079025</c:v>
                </c:pt>
                <c:pt idx="84">
                  <c:v>4.2086993607464454</c:v>
                </c:pt>
                <c:pt idx="85">
                  <c:v>4.3039902931825056</c:v>
                </c:pt>
                <c:pt idx="86">
                  <c:v>4.4002805987738371</c:v>
                </c:pt>
                <c:pt idx="87">
                  <c:v>4.4975689551125591</c:v>
                </c:pt>
                <c:pt idx="88">
                  <c:v>4.5958540567995199</c:v>
                </c:pt>
                <c:pt idx="89">
                  <c:v>4.6951346150336803</c:v>
                </c:pt>
                <c:pt idx="90">
                  <c:v>4.7954093572160597</c:v>
                </c:pt>
                <c:pt idx="91">
                  <c:v>4.8966770265673167</c:v>
                </c:pt>
                <c:pt idx="92">
                  <c:v>4.9989363817586527</c:v>
                </c:pt>
                <c:pt idx="93">
                  <c:v>5.1021861965550679</c:v>
                </c:pt>
                <c:pt idx="94">
                  <c:v>5.2064252594707838</c:v>
                </c:pt>
                <c:pt idx="95">
                  <c:v>5.311652373436031</c:v>
                </c:pt>
                <c:pt idx="96">
                  <c:v>5.4178663554748496</c:v>
                </c:pt>
                <c:pt idx="97">
                  <c:v>5.5250660363934028</c:v>
                </c:pt>
                <c:pt idx="98">
                  <c:v>5.6332502604783024</c:v>
                </c:pt>
                <c:pt idx="99">
                  <c:v>5.7424178852045831</c:v>
                </c:pt>
                <c:pt idx="100">
                  <c:v>5.8525677809529038</c:v>
                </c:pt>
                <c:pt idx="101">
                  <c:v>5.9636988307355807</c:v>
                </c:pt>
                <c:pt idx="102">
                  <c:v>6.0758099299311468</c:v>
                </c:pt>
                <c:pt idx="103">
                  <c:v>6.188899986026942</c:v>
                </c:pt>
                <c:pt idx="104">
                  <c:v>6.3029679183696903</c:v>
                </c:pt>
                <c:pt idx="105">
                  <c:v>6.4180126579233558</c:v>
                </c:pt>
                <c:pt idx="106">
                  <c:v>6.5340331470344566</c:v>
                </c:pt>
                <c:pt idx="107">
                  <c:v>6.6510283392040641</c:v>
                </c:pt>
                <c:pt idx="108">
                  <c:v>6.7689971988666482</c:v>
                </c:pt>
                <c:pt idx="109">
                  <c:v>6.8879387011752398</c:v>
                </c:pt>
                <c:pt idx="110">
                  <c:v>7.0078518317927001</c:v>
                </c:pt>
                <c:pt idx="111">
                  <c:v>7.1287355866890643</c:v>
                </c:pt>
                <c:pt idx="112">
                  <c:v>7.2505889719445067</c:v>
                </c:pt>
                <c:pt idx="113">
                  <c:v>7.3734110035577469</c:v>
                </c:pt>
                <c:pt idx="114">
                  <c:v>7.4972007072599043</c:v>
                </c:pt>
                <c:pt idx="115">
                  <c:v>7.6219571183333441</c:v>
                </c:pt>
                <c:pt idx="116">
                  <c:v>7.7476792814354285</c:v>
                </c:pt>
                <c:pt idx="117">
                  <c:v>7.8743662504271468</c:v>
                </c:pt>
                <c:pt idx="118">
                  <c:v>8.0020170882062018</c:v>
                </c:pt>
                <c:pt idx="119">
                  <c:v>8.1306308665445428</c:v>
                </c:pt>
                <c:pt idx="120">
                  <c:v>8.260206665930184</c:v>
                </c:pt>
                <c:pt idx="121">
                  <c:v>8.3907435754131399</c:v>
                </c:pt>
                <c:pt idx="122">
                  <c:v>8.5222406924554051</c:v>
                </c:pt>
                <c:pt idx="123">
                  <c:v>8.6546971227845528</c:v>
                </c:pt>
                <c:pt idx="124">
                  <c:v>8.7881119802513634</c:v>
                </c:pt>
                <c:pt idx="125">
                  <c:v>8.9224843866908063</c:v>
                </c:pt>
                <c:pt idx="126">
                  <c:v>9.0578134717865595</c:v>
                </c:pt>
                <c:pt idx="127">
                  <c:v>9.1940983729389583</c:v>
                </c:pt>
                <c:pt idx="128">
                  <c:v>9.3313382351361014</c:v>
                </c:pt>
                <c:pt idx="129">
                  <c:v>9.4695322108281843</c:v>
                </c:pt>
                <c:pt idx="130">
                  <c:v>9.6086794598047565</c:v>
                </c:pt>
                <c:pt idx="131">
                  <c:v>9.7487791490750819</c:v>
                </c:pt>
                <c:pt idx="132">
                  <c:v>9.8898304527512177</c:v>
                </c:pt>
                <c:pt idx="133">
                  <c:v>10.031832551933912</c:v>
                </c:pt>
                <c:pt idx="134">
                  <c:v>10.174784634601286</c:v>
                </c:pt>
                <c:pt idx="135">
                  <c:v>10.318685895499863</c:v>
                </c:pt>
                <c:pt idx="136">
                  <c:v>10.463535536038359</c:v>
                </c:pt>
                <c:pt idx="137">
                  <c:v>10.609332764183863</c:v>
                </c:pt>
                <c:pt idx="138">
                  <c:v>10.756076794360181</c:v>
                </c:pt>
                <c:pt idx="139">
                  <c:v>10.903766847348839</c:v>
                </c:pt>
                <c:pt idx="140">
                  <c:v>11.052402150191917</c:v>
                </c:pt>
                <c:pt idx="141">
                  <c:v>11.201981936097463</c:v>
                </c:pt>
                <c:pt idx="142">
                  <c:v>11.35250544434655</c:v>
                </c:pt>
                <c:pt idx="143">
                  <c:v>11.503971920202801</c:v>
                </c:pt>
                <c:pt idx="144">
                  <c:v>11.656380614823668</c:v>
                </c:pt>
                <c:pt idx="145">
                  <c:v>11.80973078517351</c:v>
                </c:pt>
                <c:pt idx="146">
                  <c:v>11.964021693938953</c:v>
                </c:pt>
                <c:pt idx="147">
                  <c:v>12.119252609445621</c:v>
                </c:pt>
                <c:pt idx="148">
                  <c:v>12.275422805576925</c:v>
                </c:pt>
                <c:pt idx="149">
                  <c:v>12.432531561694359</c:v>
                </c:pt>
                <c:pt idx="150">
                  <c:v>12.590578162559709</c:v>
                </c:pt>
                <c:pt idx="151">
                  <c:v>12.74956189825866</c:v>
                </c:pt>
                <c:pt idx="152">
                  <c:v>12.909482064126069</c:v>
                </c:pt>
                <c:pt idx="153">
                  <c:v>13.070337960672754</c:v>
                </c:pt>
                <c:pt idx="154">
                  <c:v>13.23212889351392</c:v>
                </c:pt>
                <c:pt idx="155">
                  <c:v>13.394854173298764</c:v>
                </c:pt>
                <c:pt idx="156">
                  <c:v>13.558513115641638</c:v>
                </c:pt>
                <c:pt idx="157">
                  <c:v>13.723105041054765</c:v>
                </c:pt>
                <c:pt idx="158">
                  <c:v>13.888629274881994</c:v>
                </c:pt>
                <c:pt idx="159">
                  <c:v>14.055085147233923</c:v>
                </c:pt>
              </c:numCache>
            </c:numRef>
          </c:yVal>
          <c:smooth val="0"/>
          <c:extLst>
            <c:ext xmlns:c16="http://schemas.microsoft.com/office/drawing/2014/chart" uri="{C3380CC4-5D6E-409C-BE32-E72D297353CC}">
              <c16:uniqueId val="{00000002-6D26-4F6B-8E26-35CF1D82CB9D}"/>
            </c:ext>
          </c:extLst>
        </c:ser>
        <c:ser>
          <c:idx val="14"/>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rates'!$CN$287:$IQ$287</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rates'!$G$152:$FJ$152</c:f>
              <c:numCache>
                <c:formatCode>General</c:formatCode>
                <c:ptCount val="160"/>
                <c:pt idx="0">
                  <c:v>1.138708726415094E-2</c:v>
                </c:pt>
                <c:pt idx="1">
                  <c:v>1.0399431248150891E-2</c:v>
                </c:pt>
                <c:pt idx="2">
                  <c:v>7.7346157515735892E-3</c:v>
                </c:pt>
                <c:pt idx="3">
                  <c:v>3.5377227803027687E-3</c:v>
                </c:pt>
                <c:pt idx="4">
                  <c:v>2.1201945567177706E-3</c:v>
                </c:pt>
                <c:pt idx="5">
                  <c:v>9.1915703930182703E-3</c:v>
                </c:pt>
                <c:pt idx="6">
                  <c:v>1.764081283937087E-2</c:v>
                </c:pt>
                <c:pt idx="7">
                  <c:v>2.7439598176882657E-2</c:v>
                </c:pt>
                <c:pt idx="8">
                  <c:v>3.856447609783889E-2</c:v>
                </c:pt>
                <c:pt idx="9">
                  <c:v>5.0995485010175756E-2</c:v>
                </c:pt>
                <c:pt idx="10">
                  <c:v>6.4715279999603553E-2</c:v>
                </c:pt>
                <c:pt idx="11">
                  <c:v>7.97085487246917E-2</c:v>
                </c:pt>
                <c:pt idx="12">
                  <c:v>9.5961601429554413E-2</c:v>
                </c:pt>
                <c:pt idx="13">
                  <c:v>0.11346207237636176</c:v>
                </c:pt>
                <c:pt idx="14">
                  <c:v>0.13219869584636262</c:v>
                </c:pt>
                <c:pt idx="15">
                  <c:v>0.15216113390058003</c:v>
                </c:pt>
                <c:pt idx="16">
                  <c:v>0.17333984117321027</c:v>
                </c:pt>
                <c:pt idx="17">
                  <c:v>0.19572595684754068</c:v>
                </c:pt>
                <c:pt idx="18">
                  <c:v>0.21931121702609963</c:v>
                </c:pt>
                <c:pt idx="19">
                  <c:v>0.24408788269506007</c:v>
                </c:pt>
                <c:pt idx="20">
                  <c:v>0.27004867981221503</c:v>
                </c:pt>
                <c:pt idx="21">
                  <c:v>0.29718674895938879</c:v>
                </c:pt>
                <c:pt idx="22">
                  <c:v>0.3254956026392396</c:v>
                </c:pt>
                <c:pt idx="23">
                  <c:v>0.35496908875353</c:v>
                </c:pt>
                <c:pt idx="24">
                  <c:v>0.385601359132628</c:v>
                </c:pt>
                <c:pt idx="25">
                  <c:v>0.41738684223211309</c:v>
                </c:pt>
                <c:pt idx="26">
                  <c:v>0.45032021929689353</c:v>
                </c:pt>
                <c:pt idx="27">
                  <c:v>0.48439640343365248</c:v>
                </c:pt>
                <c:pt idx="28">
                  <c:v>0.51961052114026629</c:v>
                </c:pt>
                <c:pt idx="29">
                  <c:v>0.55595789592484446</c:v>
                </c:pt>
                <c:pt idx="30">
                  <c:v>0.59343403371290204</c:v>
                </c:pt>
                <c:pt idx="31">
                  <c:v>0.63203460979344095</c:v>
                </c:pt>
                <c:pt idx="32">
                  <c:v>0.67175545709649931</c:v>
                </c:pt>
                <c:pt idx="33">
                  <c:v>0.71259255562838486</c:v>
                </c:pt>
                <c:pt idx="34">
                  <c:v>0.7545420229181633</c:v>
                </c:pt>
                <c:pt idx="35">
                  <c:v>0.79760010535128278</c:v>
                </c:pt>
                <c:pt idx="36">
                  <c:v>0.84176317028462666</c:v>
                </c:pt>
                <c:pt idx="37">
                  <c:v>0.88702769885252186</c:v>
                </c:pt>
                <c:pt idx="38">
                  <c:v>0.93339027938586527</c:v>
                </c:pt>
                <c:pt idx="39">
                  <c:v>0.98084760137716454</c:v>
                </c:pt>
                <c:pt idx="40">
                  <c:v>1.0293964499332067</c:v>
                </c:pt>
                <c:pt idx="41">
                  <c:v>1.0790337006645967</c:v>
                </c:pt>
                <c:pt idx="42">
                  <c:v>1.12975631496784</c:v>
                </c:pt>
                <c:pt idx="43">
                  <c:v>1.1815613356610646</c:v>
                </c:pt>
                <c:pt idx="44">
                  <c:v>1.2344458829392182</c:v>
                </c:pt>
                <c:pt idx="45">
                  <c:v>1.2884071506184855</c:v>
                </c:pt>
                <c:pt idx="46">
                  <c:v>1.3434424026432836</c:v>
                </c:pt>
                <c:pt idx="47">
                  <c:v>1.3995489698320498</c:v>
                </c:pt>
                <c:pt idx="48">
                  <c:v>1.4567242468407673</c:v>
                </c:pt>
                <c:pt idx="49">
                  <c:v>1.5149656893253232</c:v>
                </c:pt>
                <c:pt idx="50">
                  <c:v>1.5742708112859061</c:v>
                </c:pt>
                <c:pt idx="51">
                  <c:v>1.6346371825783013</c:v>
                </c:pt>
                <c:pt idx="52">
                  <c:v>1.6960624265784852</c:v>
                </c:pt>
                <c:pt idx="53">
                  <c:v>1.7585442179883126</c:v>
                </c:pt>
                <c:pt idx="54">
                  <c:v>1.8220802807712002</c:v>
                </c:pt>
                <c:pt idx="55">
                  <c:v>1.8866683862078963</c:v>
                </c:pt>
                <c:pt idx="56">
                  <c:v>1.9523063510632115</c:v>
                </c:pt>
                <c:pt idx="57">
                  <c:v>2.018992035855474</c:v>
                </c:pt>
                <c:pt idx="58">
                  <c:v>2.0867233432213816</c:v>
                </c:pt>
                <c:pt idx="59">
                  <c:v>2.1554982163691645</c:v>
                </c:pt>
                <c:pt idx="60">
                  <c:v>2.2253146376142032</c:v>
                </c:pt>
                <c:pt idx="61">
                  <c:v>2.2961706269910276</c:v>
                </c:pt>
                <c:pt idx="62">
                  <c:v>2.3680642409368566</c:v>
                </c:pt>
                <c:pt idx="63">
                  <c:v>2.4409935710415995</c:v>
                </c:pt>
                <c:pt idx="64">
                  <c:v>2.5149567428601665</c:v>
                </c:pt>
                <c:pt idx="65">
                  <c:v>2.5899519147829539</c:v>
                </c:pt>
                <c:pt idx="66">
                  <c:v>2.6659772769607906</c:v>
                </c:pt>
                <c:pt idx="67">
                  <c:v>2.7430310502809871</c:v>
                </c:pt>
                <c:pt idx="68">
                  <c:v>2.821111485391222</c:v>
                </c:pt>
                <c:pt idx="69">
                  <c:v>2.9002168617685102</c:v>
                </c:pt>
                <c:pt idx="70">
                  <c:v>2.9803454868304122</c:v>
                </c:pt>
                <c:pt idx="71">
                  <c:v>3.06149569508599</c:v>
                </c:pt>
                <c:pt idx="72">
                  <c:v>3.1436658473243524</c:v>
                </c:pt>
                <c:pt idx="73">
                  <c:v>3.2268543298383681</c:v>
                </c:pt>
                <c:pt idx="74">
                  <c:v>3.3110595536818028</c:v>
                </c:pt>
                <c:pt idx="75">
                  <c:v>3.3962799539578534</c:v>
                </c:pt>
                <c:pt idx="76">
                  <c:v>3.4825139891373915</c:v>
                </c:pt>
                <c:pt idx="77">
                  <c:v>3.569760140405362</c:v>
                </c:pt>
                <c:pt idx="78">
                  <c:v>3.6580169110336618</c:v>
                </c:pt>
                <c:pt idx="79">
                  <c:v>3.7472828257792847</c:v>
                </c:pt>
                <c:pt idx="80">
                  <c:v>3.8375564303062988</c:v>
                </c:pt>
                <c:pt idx="81">
                  <c:v>3.9288362906304202</c:v>
                </c:pt>
                <c:pt idx="82">
                  <c:v>4.0211209925850868</c:v>
                </c:pt>
                <c:pt idx="83">
                  <c:v>4.1144091413079025</c:v>
                </c:pt>
                <c:pt idx="84">
                  <c:v>4.2086993607464454</c:v>
                </c:pt>
                <c:pt idx="85">
                  <c:v>4.3039902931825056</c:v>
                </c:pt>
                <c:pt idx="86">
                  <c:v>4.4002805987738371</c:v>
                </c:pt>
                <c:pt idx="87">
                  <c:v>4.4975689551125591</c:v>
                </c:pt>
                <c:pt idx="88">
                  <c:v>4.5958540567995199</c:v>
                </c:pt>
                <c:pt idx="89">
                  <c:v>4.6951346150336803</c:v>
                </c:pt>
                <c:pt idx="90">
                  <c:v>4.7954093572160597</c:v>
                </c:pt>
                <c:pt idx="91">
                  <c:v>4.8966770265673167</c:v>
                </c:pt>
                <c:pt idx="92">
                  <c:v>4.9989363817586527</c:v>
                </c:pt>
                <c:pt idx="93">
                  <c:v>5.1021861965550679</c:v>
                </c:pt>
                <c:pt idx="94">
                  <c:v>5.2064252594707838</c:v>
                </c:pt>
                <c:pt idx="95">
                  <c:v>5.311652373436031</c:v>
                </c:pt>
                <c:pt idx="96">
                  <c:v>5.4178663554748496</c:v>
                </c:pt>
                <c:pt idx="97">
                  <c:v>5.5250660363934028</c:v>
                </c:pt>
                <c:pt idx="98">
                  <c:v>5.6332502604783024</c:v>
                </c:pt>
                <c:pt idx="99">
                  <c:v>5.7424178852045831</c:v>
                </c:pt>
                <c:pt idx="100">
                  <c:v>5.8525677809529038</c:v>
                </c:pt>
                <c:pt idx="101">
                  <c:v>5.9636988307355807</c:v>
                </c:pt>
                <c:pt idx="102">
                  <c:v>6.0758099299311468</c:v>
                </c:pt>
                <c:pt idx="103">
                  <c:v>6.188899986026942</c:v>
                </c:pt>
                <c:pt idx="104">
                  <c:v>6.3029679183696903</c:v>
                </c:pt>
                <c:pt idx="105">
                  <c:v>6.4180126579233558</c:v>
                </c:pt>
                <c:pt idx="106">
                  <c:v>6.5340331470344566</c:v>
                </c:pt>
                <c:pt idx="107">
                  <c:v>6.6510283392040641</c:v>
                </c:pt>
                <c:pt idx="108">
                  <c:v>6.7689971988666482</c:v>
                </c:pt>
                <c:pt idx="109">
                  <c:v>6.8879387011752398</c:v>
                </c:pt>
                <c:pt idx="110">
                  <c:v>7.0078518317927001</c:v>
                </c:pt>
                <c:pt idx="111">
                  <c:v>7.1287355866890643</c:v>
                </c:pt>
                <c:pt idx="112">
                  <c:v>7.2505889719445067</c:v>
                </c:pt>
                <c:pt idx="113">
                  <c:v>7.3734110035577469</c:v>
                </c:pt>
                <c:pt idx="114">
                  <c:v>7.4972007072599043</c:v>
                </c:pt>
                <c:pt idx="115">
                  <c:v>7.6219571183333441</c:v>
                </c:pt>
                <c:pt idx="116">
                  <c:v>7.7476792814354285</c:v>
                </c:pt>
                <c:pt idx="117">
                  <c:v>7.8743662504271468</c:v>
                </c:pt>
                <c:pt idx="118">
                  <c:v>8.0020170882062018</c:v>
                </c:pt>
                <c:pt idx="119">
                  <c:v>8.1306308665445428</c:v>
                </c:pt>
                <c:pt idx="120">
                  <c:v>8.260206665930184</c:v>
                </c:pt>
                <c:pt idx="121">
                  <c:v>8.3907435754131399</c:v>
                </c:pt>
                <c:pt idx="122">
                  <c:v>8.5222406924554051</c:v>
                </c:pt>
                <c:pt idx="123">
                  <c:v>8.6546971227845528</c:v>
                </c:pt>
                <c:pt idx="124">
                  <c:v>8.7881119802513634</c:v>
                </c:pt>
                <c:pt idx="125">
                  <c:v>8.9224843866908063</c:v>
                </c:pt>
                <c:pt idx="126">
                  <c:v>9.0578134717865595</c:v>
                </c:pt>
                <c:pt idx="127">
                  <c:v>9.1940983729389583</c:v>
                </c:pt>
                <c:pt idx="128">
                  <c:v>9.3313382351361014</c:v>
                </c:pt>
                <c:pt idx="129">
                  <c:v>9.4695322108281843</c:v>
                </c:pt>
                <c:pt idx="130">
                  <c:v>9.6086794598047565</c:v>
                </c:pt>
                <c:pt idx="131">
                  <c:v>9.7487791490750819</c:v>
                </c:pt>
                <c:pt idx="132">
                  <c:v>9.8898304527512177</c:v>
                </c:pt>
                <c:pt idx="133">
                  <c:v>10.031832551933912</c:v>
                </c:pt>
                <c:pt idx="134">
                  <c:v>10.174784634601286</c:v>
                </c:pt>
                <c:pt idx="135">
                  <c:v>10.318685895499863</c:v>
                </c:pt>
                <c:pt idx="136">
                  <c:v>10.463535536038359</c:v>
                </c:pt>
                <c:pt idx="137">
                  <c:v>10.609332764183863</c:v>
                </c:pt>
                <c:pt idx="138">
                  <c:v>10.756076794360181</c:v>
                </c:pt>
                <c:pt idx="139">
                  <c:v>10.903766847348839</c:v>
                </c:pt>
                <c:pt idx="140">
                  <c:v>11.052402150191917</c:v>
                </c:pt>
                <c:pt idx="141">
                  <c:v>11.201981936097463</c:v>
                </c:pt>
                <c:pt idx="142">
                  <c:v>11.35250544434655</c:v>
                </c:pt>
                <c:pt idx="143">
                  <c:v>11.503971920202801</c:v>
                </c:pt>
                <c:pt idx="144">
                  <c:v>11.656380614823668</c:v>
                </c:pt>
                <c:pt idx="145">
                  <c:v>11.80973078517351</c:v>
                </c:pt>
                <c:pt idx="146">
                  <c:v>11.964021693938953</c:v>
                </c:pt>
                <c:pt idx="147">
                  <c:v>12.119252609445621</c:v>
                </c:pt>
                <c:pt idx="148">
                  <c:v>12.275422805576925</c:v>
                </c:pt>
                <c:pt idx="149">
                  <c:v>12.432531561694359</c:v>
                </c:pt>
                <c:pt idx="150">
                  <c:v>12.590578162559709</c:v>
                </c:pt>
                <c:pt idx="151">
                  <c:v>12.74956189825866</c:v>
                </c:pt>
                <c:pt idx="152">
                  <c:v>12.909482064126069</c:v>
                </c:pt>
                <c:pt idx="153">
                  <c:v>13.070337960672754</c:v>
                </c:pt>
                <c:pt idx="154">
                  <c:v>13.23212889351392</c:v>
                </c:pt>
                <c:pt idx="155">
                  <c:v>13.394854173298764</c:v>
                </c:pt>
                <c:pt idx="156">
                  <c:v>13.558513115641638</c:v>
                </c:pt>
                <c:pt idx="157">
                  <c:v>13.723105041054765</c:v>
                </c:pt>
                <c:pt idx="158">
                  <c:v>13.888629274881994</c:v>
                </c:pt>
                <c:pt idx="159">
                  <c:v>14.055085147233923</c:v>
                </c:pt>
              </c:numCache>
            </c:numRef>
          </c:yVal>
          <c:smooth val="0"/>
          <c:extLst>
            <c:ext xmlns:c16="http://schemas.microsoft.com/office/drawing/2014/chart" uri="{C3380CC4-5D6E-409C-BE32-E72D297353CC}">
              <c16:uniqueId val="{00000003-6D26-4F6B-8E26-35CF1D82CB9D}"/>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max val="450"/>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Extension rate s</a:t>
                </a:r>
                <a:r>
                  <a:rPr lang="en-GB" sz="1600" baseline="30000">
                    <a:solidFill>
                      <a:schemeClr val="tx1"/>
                    </a:solidFill>
                  </a:rPr>
                  <a:t>-1</a:t>
                </a:r>
              </a:p>
            </c:rich>
          </c:tx>
          <c:layout>
            <c:manualLayout>
              <c:xMode val="edge"/>
              <c:yMode val="edge"/>
              <c:x val="3.7980225454255008E-2"/>
              <c:y val="0.4547697690945286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1"/>
        <c:delete val="1"/>
      </c:legendEntry>
      <c:legendEntry>
        <c:idx val="3"/>
        <c:delete val="1"/>
      </c:legendEntry>
      <c:layout>
        <c:manualLayout>
          <c:xMode val="edge"/>
          <c:yMode val="edge"/>
          <c:x val="8.2955507410337484E-2"/>
          <c:y val="1.233984943061933E-2"/>
          <c:w val="0.18270042227066846"/>
          <c:h val="0.2820930694543973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Power law shear rate 42 mm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 rate 0.3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rates'!$G$116:$AK$116</c:f>
              <c:numCache>
                <c:formatCode>General</c:formatCode>
                <c:ptCount val="31"/>
                <c:pt idx="0">
                  <c:v>1.7351752021563339E-2</c:v>
                </c:pt>
                <c:pt idx="1">
                  <c:v>0.17154776088514367</c:v>
                </c:pt>
                <c:pt idx="2">
                  <c:v>0.68122151483883975</c:v>
                </c:pt>
                <c:pt idx="3">
                  <c:v>1.4839210632154083</c:v>
                </c:pt>
                <c:pt idx="4">
                  <c:v>2.5660567579465376</c:v>
                </c:pt>
                <c:pt idx="5">
                  <c:v>3.9185311310255919</c:v>
                </c:pt>
                <c:pt idx="6">
                  <c:v>5.5345368624649875</c:v>
                </c:pt>
                <c:pt idx="7">
                  <c:v>7.4086567456503776</c:v>
                </c:pt>
                <c:pt idx="8">
                  <c:v>9.5364056646779769</c:v>
                </c:pt>
                <c:pt idx="9">
                  <c:v>11.913965756894589</c:v>
                </c:pt>
                <c:pt idx="10">
                  <c:v>14.538019626559532</c:v>
                </c:pt>
                <c:pt idx="11">
                  <c:v>17.40563862868828</c:v>
                </c:pt>
                <c:pt idx="12">
                  <c:v>20.514204454703002</c:v>
                </c:pt>
                <c:pt idx="13">
                  <c:v>23.861352028286678</c:v>
                </c:pt>
                <c:pt idx="14">
                  <c:v>27.444926663242747</c:v>
                </c:pt>
                <c:pt idx="15">
                  <c:v>31.262951120931859</c:v>
                </c:pt>
                <c:pt idx="16">
                  <c:v>35.313599750599487</c:v>
                </c:pt>
                <c:pt idx="17">
                  <c:v>39.595177828643614</c:v>
                </c:pt>
                <c:pt idx="18">
                  <c:v>44.106104798492112</c:v>
                </c:pt>
                <c:pt idx="19">
                  <c:v>48.844900493043646</c:v>
                </c:pt>
                <c:pt idx="20">
                  <c:v>53.810173675868228</c:v>
                </c:pt>
                <c:pt idx="21">
                  <c:v>59.000612411705795</c:v>
                </c:pt>
                <c:pt idx="22">
                  <c:v>64.414975899034346</c:v>
                </c:pt>
                <c:pt idx="23">
                  <c:v>70.05208748490837</c:v>
                </c:pt>
                <c:pt idx="24">
                  <c:v>75.910828645897624</c:v>
                </c:pt>
                <c:pt idx="25">
                  <c:v>81.99013376602845</c:v>
                </c:pt>
                <c:pt idx="26">
                  <c:v>88.288985577922489</c:v>
                </c:pt>
                <c:pt idx="27">
                  <c:v>94.806411160183785</c:v>
                </c:pt>
                <c:pt idx="28">
                  <c:v>101.54147840470759</c:v>
                </c:pt>
                <c:pt idx="29">
                  <c:v>108.49329288365062</c:v>
                </c:pt>
                <c:pt idx="30">
                  <c:v>115.66099505840087</c:v>
                </c:pt>
              </c:numCache>
            </c:numRef>
          </c:yVal>
          <c:smooth val="0"/>
          <c:extLst>
            <c:ext xmlns:c16="http://schemas.microsoft.com/office/drawing/2014/chart" uri="{C3380CC4-5D6E-409C-BE32-E72D297353CC}">
              <c16:uniqueId val="{00000000-F931-4B43-96E7-69FB7B8BA689}"/>
            </c:ext>
          </c:extLst>
        </c:ser>
        <c:ser>
          <c:idx val="6"/>
          <c:order val="1"/>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rates'!$CN$278:$DR$278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rates'!$G$116:$AK$116</c:f>
              <c:numCache>
                <c:formatCode>General</c:formatCode>
                <c:ptCount val="31"/>
                <c:pt idx="0">
                  <c:v>1.7351752021563339E-2</c:v>
                </c:pt>
                <c:pt idx="1">
                  <c:v>0.17154776088514367</c:v>
                </c:pt>
                <c:pt idx="2">
                  <c:v>0.68122151483883975</c:v>
                </c:pt>
                <c:pt idx="3">
                  <c:v>1.4839210632154083</c:v>
                </c:pt>
                <c:pt idx="4">
                  <c:v>2.5660567579465376</c:v>
                </c:pt>
                <c:pt idx="5">
                  <c:v>3.9185311310255919</c:v>
                </c:pt>
                <c:pt idx="6">
                  <c:v>5.5345368624649875</c:v>
                </c:pt>
                <c:pt idx="7">
                  <c:v>7.4086567456503776</c:v>
                </c:pt>
                <c:pt idx="8">
                  <c:v>9.5364056646779769</c:v>
                </c:pt>
                <c:pt idx="9">
                  <c:v>11.913965756894589</c:v>
                </c:pt>
                <c:pt idx="10">
                  <c:v>14.538019626559532</c:v>
                </c:pt>
                <c:pt idx="11">
                  <c:v>17.40563862868828</c:v>
                </c:pt>
                <c:pt idx="12">
                  <c:v>20.514204454703002</c:v>
                </c:pt>
                <c:pt idx="13">
                  <c:v>23.861352028286678</c:v>
                </c:pt>
                <c:pt idx="14">
                  <c:v>27.444926663242747</c:v>
                </c:pt>
                <c:pt idx="15">
                  <c:v>31.262951120931859</c:v>
                </c:pt>
                <c:pt idx="16">
                  <c:v>35.313599750599487</c:v>
                </c:pt>
                <c:pt idx="17">
                  <c:v>39.595177828643614</c:v>
                </c:pt>
                <c:pt idx="18">
                  <c:v>44.106104798492112</c:v>
                </c:pt>
                <c:pt idx="19">
                  <c:v>48.844900493043646</c:v>
                </c:pt>
                <c:pt idx="20">
                  <c:v>53.810173675868228</c:v>
                </c:pt>
                <c:pt idx="21">
                  <c:v>59.000612411705795</c:v>
                </c:pt>
                <c:pt idx="22">
                  <c:v>64.414975899034346</c:v>
                </c:pt>
                <c:pt idx="23">
                  <c:v>70.05208748490837</c:v>
                </c:pt>
                <c:pt idx="24">
                  <c:v>75.910828645897624</c:v>
                </c:pt>
                <c:pt idx="25">
                  <c:v>81.99013376602845</c:v>
                </c:pt>
                <c:pt idx="26">
                  <c:v>88.288985577922489</c:v>
                </c:pt>
                <c:pt idx="27">
                  <c:v>94.806411160183785</c:v>
                </c:pt>
                <c:pt idx="28">
                  <c:v>101.54147840470759</c:v>
                </c:pt>
                <c:pt idx="29">
                  <c:v>108.49329288365062</c:v>
                </c:pt>
                <c:pt idx="30">
                  <c:v>115.66099505840087</c:v>
                </c:pt>
              </c:numCache>
            </c:numRef>
          </c:yVal>
          <c:smooth val="0"/>
          <c:extLst>
            <c:ext xmlns:c16="http://schemas.microsoft.com/office/drawing/2014/chart" uri="{C3380CC4-5D6E-409C-BE32-E72D297353CC}">
              <c16:uniqueId val="{00000001-F931-4B43-96E7-69FB7B8BA689}"/>
            </c:ext>
          </c:extLst>
        </c:ser>
        <c:ser>
          <c:idx val="12"/>
          <c:order val="2"/>
          <c:tx>
            <c:v>Shear rate 1.6 mm</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rates'!$CM$271:$IP$271</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rates'!$G$154:$FJ$154</c:f>
              <c:numCache>
                <c:formatCode>General</c:formatCode>
                <c:ptCount val="160"/>
                <c:pt idx="0">
                  <c:v>3.2534535040431257E-3</c:v>
                </c:pt>
                <c:pt idx="1">
                  <c:v>2.9712660709002546E-3</c:v>
                </c:pt>
                <c:pt idx="2">
                  <c:v>2.2098902147353115E-3</c:v>
                </c:pt>
                <c:pt idx="3">
                  <c:v>1.0107779372293625E-3</c:v>
                </c:pt>
                <c:pt idx="4">
                  <c:v>6.0576987334793448E-4</c:v>
                </c:pt>
                <c:pt idx="5">
                  <c:v>2.626162969433792E-3</c:v>
                </c:pt>
                <c:pt idx="6">
                  <c:v>5.0402322398202491E-3</c:v>
                </c:pt>
                <c:pt idx="7">
                  <c:v>7.8398851933950443E-3</c:v>
                </c:pt>
                <c:pt idx="8">
                  <c:v>1.1018421742239683E-2</c:v>
                </c:pt>
                <c:pt idx="9">
                  <c:v>1.4570138574335931E-2</c:v>
                </c:pt>
                <c:pt idx="10">
                  <c:v>1.8490079999886729E-2</c:v>
                </c:pt>
                <c:pt idx="11">
                  <c:v>2.2773871064197627E-2</c:v>
                </c:pt>
                <c:pt idx="12">
                  <c:v>2.7417600408444119E-2</c:v>
                </c:pt>
                <c:pt idx="13">
                  <c:v>3.2417734964674788E-2</c:v>
                </c:pt>
                <c:pt idx="14">
                  <c:v>3.7771055956103611E-2</c:v>
                </c:pt>
                <c:pt idx="15">
                  <c:v>4.347460968588001E-2</c:v>
                </c:pt>
                <c:pt idx="16">
                  <c:v>4.9525668906631508E-2</c:v>
                </c:pt>
                <c:pt idx="17">
                  <c:v>5.5921701956440195E-2</c:v>
                </c:pt>
                <c:pt idx="18">
                  <c:v>6.2660347721742754E-2</c:v>
                </c:pt>
                <c:pt idx="19">
                  <c:v>6.9739395055731457E-2</c:v>
                </c:pt>
                <c:pt idx="20">
                  <c:v>7.715676566063287E-2</c:v>
                </c:pt>
                <c:pt idx="21">
                  <c:v>8.491049970268251E-2</c:v>
                </c:pt>
                <c:pt idx="22">
                  <c:v>9.2998743611211312E-2</c:v>
                </c:pt>
                <c:pt idx="23">
                  <c:v>0.10141973964386572</c:v>
                </c:pt>
                <c:pt idx="24">
                  <c:v>0.11017181689503658</c:v>
                </c:pt>
                <c:pt idx="25">
                  <c:v>0.11925338349488947</c:v>
                </c:pt>
                <c:pt idx="26">
                  <c:v>0.12866291979911246</c:v>
                </c:pt>
                <c:pt idx="27">
                  <c:v>0.13839897240961499</c:v>
                </c:pt>
                <c:pt idx="28">
                  <c:v>0.14846014889721895</c:v>
                </c:pt>
                <c:pt idx="29">
                  <c:v>0.15884511312138413</c:v>
                </c:pt>
                <c:pt idx="30">
                  <c:v>0.16955258106082916</c:v>
                </c:pt>
                <c:pt idx="31">
                  <c:v>0.18058131708384029</c:v>
                </c:pt>
                <c:pt idx="32">
                  <c:v>0.1919301305989998</c:v>
                </c:pt>
                <c:pt idx="33">
                  <c:v>0.20359787303668139</c:v>
                </c:pt>
                <c:pt idx="34">
                  <c:v>0.21558343511947525</c:v>
                </c:pt>
                <c:pt idx="35">
                  <c:v>0.22788574438608081</c:v>
                </c:pt>
                <c:pt idx="36">
                  <c:v>0.24050376293846476</c:v>
                </c:pt>
                <c:pt idx="37">
                  <c:v>0.25343648538643482</c:v>
                </c:pt>
                <c:pt idx="38">
                  <c:v>0.26668293696739009</c:v>
                </c:pt>
                <c:pt idx="39">
                  <c:v>0.28024217182204703</c:v>
                </c:pt>
                <c:pt idx="40">
                  <c:v>0.29411327140948762</c:v>
                </c:pt>
                <c:pt idx="41">
                  <c:v>0.30829534304702766</c:v>
                </c:pt>
                <c:pt idx="42">
                  <c:v>0.32278751856224003</c:v>
                </c:pt>
                <c:pt idx="43">
                  <c:v>0.33758895304601844</c:v>
                </c:pt>
                <c:pt idx="44">
                  <c:v>0.35269882369691946</c:v>
                </c:pt>
                <c:pt idx="45">
                  <c:v>0.36811632874813871</c:v>
                </c:pt>
                <c:pt idx="46">
                  <c:v>0.38384068646950964</c:v>
                </c:pt>
                <c:pt idx="47">
                  <c:v>0.39987113423772852</c:v>
                </c:pt>
                <c:pt idx="48">
                  <c:v>0.41620692766879069</c:v>
                </c:pt>
                <c:pt idx="49">
                  <c:v>0.43284733980723522</c:v>
                </c:pt>
                <c:pt idx="50">
                  <c:v>0.4497916603674017</c:v>
                </c:pt>
                <c:pt idx="51">
                  <c:v>0.46703919502237179</c:v>
                </c:pt>
                <c:pt idx="52">
                  <c:v>0.4845892647367101</c:v>
                </c:pt>
                <c:pt idx="53">
                  <c:v>0.50244120513951795</c:v>
                </c:pt>
                <c:pt idx="54">
                  <c:v>0.52059436593462871</c:v>
                </c:pt>
                <c:pt idx="55">
                  <c:v>0.53904811034511324</c:v>
                </c:pt>
                <c:pt idx="56">
                  <c:v>0.55780181458948908</c:v>
                </c:pt>
                <c:pt idx="57">
                  <c:v>0.57685486738727831</c:v>
                </c:pt>
                <c:pt idx="58">
                  <c:v>0.59620666949182333</c:v>
                </c:pt>
                <c:pt idx="59">
                  <c:v>0.61585663324833273</c:v>
                </c:pt>
                <c:pt idx="60">
                  <c:v>0.63580418217548662</c:v>
                </c:pt>
                <c:pt idx="61">
                  <c:v>0.65604875056886502</c:v>
                </c:pt>
                <c:pt idx="62">
                  <c:v>0.67658978312481621</c:v>
                </c:pt>
                <c:pt idx="63">
                  <c:v>0.69742673458331417</c:v>
                </c:pt>
                <c:pt idx="64">
                  <c:v>0.71855906938861902</c:v>
                </c:pt>
                <c:pt idx="65">
                  <c:v>0.73998626136655832</c:v>
                </c:pt>
                <c:pt idx="66">
                  <c:v>0.76170779341736883</c:v>
                </c:pt>
                <c:pt idx="67">
                  <c:v>0.78372315722313912</c:v>
                </c:pt>
                <c:pt idx="68">
                  <c:v>0.80603185296892066</c:v>
                </c:pt>
                <c:pt idx="69">
                  <c:v>0.82863338907671724</c:v>
                </c:pt>
                <c:pt idx="70">
                  <c:v>0.85152728195154637</c:v>
                </c:pt>
                <c:pt idx="71">
                  <c:v>0.87471305573885427</c:v>
                </c:pt>
                <c:pt idx="72">
                  <c:v>0.89819024209267218</c:v>
                </c:pt>
                <c:pt idx="73">
                  <c:v>0.92195837995381946</c:v>
                </c:pt>
                <c:pt idx="74">
                  <c:v>0.94601701533765803</c:v>
                </c:pt>
                <c:pt idx="75">
                  <c:v>0.97036570113081533</c:v>
                </c:pt>
                <c:pt idx="76">
                  <c:v>0.99500399689639762</c:v>
                </c:pt>
                <c:pt idx="77">
                  <c:v>1.0199314686872465</c:v>
                </c:pt>
                <c:pt idx="78">
                  <c:v>1.0451476888667606</c:v>
                </c:pt>
                <c:pt idx="79">
                  <c:v>1.0706522359369386</c:v>
                </c:pt>
                <c:pt idx="80">
                  <c:v>1.0964446943732282</c:v>
                </c:pt>
                <c:pt idx="81">
                  <c:v>1.1225246544658343</c:v>
                </c:pt>
                <c:pt idx="82">
                  <c:v>1.1488917121671678</c:v>
                </c:pt>
                <c:pt idx="83">
                  <c:v>1.175545468945115</c:v>
                </c:pt>
                <c:pt idx="84">
                  <c:v>1.2024855316418415</c:v>
                </c:pt>
                <c:pt idx="85">
                  <c:v>1.2297115123378588</c:v>
                </c:pt>
                <c:pt idx="86">
                  <c:v>1.2572230282210963</c:v>
                </c:pt>
                <c:pt idx="87">
                  <c:v>1.2850197014607312</c:v>
                </c:pt>
                <c:pt idx="88">
                  <c:v>1.313101159085577</c:v>
                </c:pt>
                <c:pt idx="89">
                  <c:v>1.3414670328667659</c:v>
                </c:pt>
                <c:pt idx="90">
                  <c:v>1.3701169592045885</c:v>
                </c:pt>
                <c:pt idx="91">
                  <c:v>1.3990505790192336</c:v>
                </c:pt>
                <c:pt idx="92">
                  <c:v>1.4282675376453293</c:v>
                </c:pt>
                <c:pt idx="93">
                  <c:v>1.4577674847300195</c:v>
                </c:pt>
                <c:pt idx="94">
                  <c:v>1.4875500741345096</c:v>
                </c:pt>
                <c:pt idx="95">
                  <c:v>1.5176149638388661</c:v>
                </c:pt>
                <c:pt idx="96">
                  <c:v>1.5479618158499571</c:v>
                </c:pt>
                <c:pt idx="97">
                  <c:v>1.5785902961124008</c:v>
                </c:pt>
                <c:pt idx="98">
                  <c:v>1.6095000744223722</c:v>
                </c:pt>
                <c:pt idx="99">
                  <c:v>1.6406908243441665</c:v>
                </c:pt>
                <c:pt idx="100">
                  <c:v>1.6721622231294011</c:v>
                </c:pt>
                <c:pt idx="101">
                  <c:v>1.7039139516387374</c:v>
                </c:pt>
                <c:pt idx="102">
                  <c:v>1.7359456942660421</c:v>
                </c:pt>
                <c:pt idx="103">
                  <c:v>1.7682571388648407</c:v>
                </c:pt>
                <c:pt idx="104">
                  <c:v>1.8008479766770542</c:v>
                </c:pt>
                <c:pt idx="105">
                  <c:v>1.8337179022638161</c:v>
                </c:pt>
                <c:pt idx="106">
                  <c:v>1.8668666134384162</c:v>
                </c:pt>
                <c:pt idx="107">
                  <c:v>1.9002938112011611</c:v>
                </c:pt>
                <c:pt idx="108">
                  <c:v>1.9339991996761854</c:v>
                </c:pt>
                <c:pt idx="109">
                  <c:v>1.9679824860500685</c:v>
                </c:pt>
                <c:pt idx="110">
                  <c:v>2.0022433805122</c:v>
                </c:pt>
                <c:pt idx="111">
                  <c:v>2.0367815961968754</c:v>
                </c:pt>
                <c:pt idx="112">
                  <c:v>2.071596849127002</c:v>
                </c:pt>
                <c:pt idx="113">
                  <c:v>2.1066888581593561</c:v>
                </c:pt>
                <c:pt idx="114">
                  <c:v>2.1420573449314015</c:v>
                </c:pt>
                <c:pt idx="115">
                  <c:v>2.1777020338095268</c:v>
                </c:pt>
                <c:pt idx="116">
                  <c:v>2.2136226518386941</c:v>
                </c:pt>
                <c:pt idx="117">
                  <c:v>2.2498189286934704</c:v>
                </c:pt>
                <c:pt idx="118">
                  <c:v>2.2862905966303435</c:v>
                </c:pt>
                <c:pt idx="119">
                  <c:v>2.3230373904412982</c:v>
                </c:pt>
                <c:pt idx="120">
                  <c:v>2.3600590474086243</c:v>
                </c:pt>
                <c:pt idx="121">
                  <c:v>2.3973553072608973</c:v>
                </c:pt>
                <c:pt idx="122">
                  <c:v>2.4349259121301157</c:v>
                </c:pt>
                <c:pt idx="123">
                  <c:v>2.4727706065098727</c:v>
                </c:pt>
                <c:pt idx="124">
                  <c:v>2.5108891372146753</c:v>
                </c:pt>
                <c:pt idx="125">
                  <c:v>2.5492812533402307</c:v>
                </c:pt>
                <c:pt idx="126">
                  <c:v>2.5879467062247312</c:v>
                </c:pt>
                <c:pt idx="127">
                  <c:v>2.626885249411131</c:v>
                </c:pt>
                <c:pt idx="128">
                  <c:v>2.6660966386103144</c:v>
                </c:pt>
                <c:pt idx="129">
                  <c:v>2.7055806316651956</c:v>
                </c:pt>
                <c:pt idx="130">
                  <c:v>2.7453369885156449</c:v>
                </c:pt>
                <c:pt idx="131">
                  <c:v>2.785365471164309</c:v>
                </c:pt>
                <c:pt idx="132">
                  <c:v>2.8256658436432049</c:v>
                </c:pt>
                <c:pt idx="133">
                  <c:v>2.8662378719811179</c:v>
                </c:pt>
                <c:pt idx="134">
                  <c:v>2.9070813241717963</c:v>
                </c:pt>
                <c:pt idx="135">
                  <c:v>2.9481959701428182</c:v>
                </c:pt>
                <c:pt idx="136">
                  <c:v>2.9895815817252451</c:v>
                </c:pt>
                <c:pt idx="137">
                  <c:v>3.0312379326239607</c:v>
                </c:pt>
                <c:pt idx="138">
                  <c:v>3.0731647983886234</c:v>
                </c:pt>
                <c:pt idx="139">
                  <c:v>3.1153619563853825</c:v>
                </c:pt>
                <c:pt idx="140">
                  <c:v>3.1578291857691188</c:v>
                </c:pt>
                <c:pt idx="141">
                  <c:v>3.2005662674564181</c:v>
                </c:pt>
                <c:pt idx="142">
                  <c:v>3.2435729840990142</c:v>
                </c:pt>
                <c:pt idx="143">
                  <c:v>3.2868491200579433</c:v>
                </c:pt>
                <c:pt idx="144">
                  <c:v>3.3303944613781908</c:v>
                </c:pt>
                <c:pt idx="145">
                  <c:v>3.37420879576386</c:v>
                </c:pt>
                <c:pt idx="146">
                  <c:v>3.418291912553987</c:v>
                </c:pt>
                <c:pt idx="147">
                  <c:v>3.462643602698749</c:v>
                </c:pt>
                <c:pt idx="148">
                  <c:v>3.5072636587362647</c:v>
                </c:pt>
                <c:pt idx="149">
                  <c:v>3.5521518747698169</c:v>
                </c:pt>
                <c:pt idx="150">
                  <c:v>3.5973080464456313</c:v>
                </c:pt>
                <c:pt idx="151">
                  <c:v>3.6427319709310457</c:v>
                </c:pt>
                <c:pt idx="152">
                  <c:v>3.6884234468931623</c:v>
                </c:pt>
                <c:pt idx="153">
                  <c:v>3.7343822744779303</c:v>
                </c:pt>
                <c:pt idx="154">
                  <c:v>3.7806082552896916</c:v>
                </c:pt>
                <c:pt idx="155">
                  <c:v>3.8271011923710754</c:v>
                </c:pt>
                <c:pt idx="156">
                  <c:v>3.8738608901833254</c:v>
                </c:pt>
                <c:pt idx="157">
                  <c:v>3.920887154587076</c:v>
                </c:pt>
                <c:pt idx="158">
                  <c:v>3.968179792823427</c:v>
                </c:pt>
                <c:pt idx="159">
                  <c:v>4.0157386134954063</c:v>
                </c:pt>
              </c:numCache>
            </c:numRef>
          </c:yVal>
          <c:smooth val="0"/>
          <c:extLst>
            <c:ext xmlns:c16="http://schemas.microsoft.com/office/drawing/2014/chart" uri="{C3380CC4-5D6E-409C-BE32-E72D297353CC}">
              <c16:uniqueId val="{00000002-F931-4B43-96E7-69FB7B8BA689}"/>
            </c:ext>
          </c:extLst>
        </c:ser>
        <c:ser>
          <c:idx val="14"/>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rates'!$CN$287:$IQ$287</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rates'!$G$154:$FJ$154</c:f>
              <c:numCache>
                <c:formatCode>General</c:formatCode>
                <c:ptCount val="160"/>
                <c:pt idx="0">
                  <c:v>3.2534535040431257E-3</c:v>
                </c:pt>
                <c:pt idx="1">
                  <c:v>2.9712660709002546E-3</c:v>
                </c:pt>
                <c:pt idx="2">
                  <c:v>2.2098902147353115E-3</c:v>
                </c:pt>
                <c:pt idx="3">
                  <c:v>1.0107779372293625E-3</c:v>
                </c:pt>
                <c:pt idx="4">
                  <c:v>6.0576987334793448E-4</c:v>
                </c:pt>
                <c:pt idx="5">
                  <c:v>2.626162969433792E-3</c:v>
                </c:pt>
                <c:pt idx="6">
                  <c:v>5.0402322398202491E-3</c:v>
                </c:pt>
                <c:pt idx="7">
                  <c:v>7.8398851933950443E-3</c:v>
                </c:pt>
                <c:pt idx="8">
                  <c:v>1.1018421742239683E-2</c:v>
                </c:pt>
                <c:pt idx="9">
                  <c:v>1.4570138574335931E-2</c:v>
                </c:pt>
                <c:pt idx="10">
                  <c:v>1.8490079999886729E-2</c:v>
                </c:pt>
                <c:pt idx="11">
                  <c:v>2.2773871064197627E-2</c:v>
                </c:pt>
                <c:pt idx="12">
                  <c:v>2.7417600408444119E-2</c:v>
                </c:pt>
                <c:pt idx="13">
                  <c:v>3.2417734964674788E-2</c:v>
                </c:pt>
                <c:pt idx="14">
                  <c:v>3.7771055956103611E-2</c:v>
                </c:pt>
                <c:pt idx="15">
                  <c:v>4.347460968588001E-2</c:v>
                </c:pt>
                <c:pt idx="16">
                  <c:v>4.9525668906631508E-2</c:v>
                </c:pt>
                <c:pt idx="17">
                  <c:v>5.5921701956440195E-2</c:v>
                </c:pt>
                <c:pt idx="18">
                  <c:v>6.2660347721742754E-2</c:v>
                </c:pt>
                <c:pt idx="19">
                  <c:v>6.9739395055731457E-2</c:v>
                </c:pt>
                <c:pt idx="20">
                  <c:v>7.715676566063287E-2</c:v>
                </c:pt>
                <c:pt idx="21">
                  <c:v>8.491049970268251E-2</c:v>
                </c:pt>
                <c:pt idx="22">
                  <c:v>9.2998743611211312E-2</c:v>
                </c:pt>
                <c:pt idx="23">
                  <c:v>0.10141973964386572</c:v>
                </c:pt>
                <c:pt idx="24">
                  <c:v>0.11017181689503658</c:v>
                </c:pt>
                <c:pt idx="25">
                  <c:v>0.11925338349488947</c:v>
                </c:pt>
                <c:pt idx="26">
                  <c:v>0.12866291979911246</c:v>
                </c:pt>
                <c:pt idx="27">
                  <c:v>0.13839897240961499</c:v>
                </c:pt>
                <c:pt idx="28">
                  <c:v>0.14846014889721895</c:v>
                </c:pt>
                <c:pt idx="29">
                  <c:v>0.15884511312138413</c:v>
                </c:pt>
                <c:pt idx="30">
                  <c:v>0.16955258106082916</c:v>
                </c:pt>
                <c:pt idx="31">
                  <c:v>0.18058131708384029</c:v>
                </c:pt>
                <c:pt idx="32">
                  <c:v>0.1919301305989998</c:v>
                </c:pt>
                <c:pt idx="33">
                  <c:v>0.20359787303668139</c:v>
                </c:pt>
                <c:pt idx="34">
                  <c:v>0.21558343511947525</c:v>
                </c:pt>
                <c:pt idx="35">
                  <c:v>0.22788574438608081</c:v>
                </c:pt>
                <c:pt idx="36">
                  <c:v>0.24050376293846476</c:v>
                </c:pt>
                <c:pt idx="37">
                  <c:v>0.25343648538643482</c:v>
                </c:pt>
                <c:pt idx="38">
                  <c:v>0.26668293696739009</c:v>
                </c:pt>
                <c:pt idx="39">
                  <c:v>0.28024217182204703</c:v>
                </c:pt>
                <c:pt idx="40">
                  <c:v>0.29411327140948762</c:v>
                </c:pt>
                <c:pt idx="41">
                  <c:v>0.30829534304702766</c:v>
                </c:pt>
                <c:pt idx="42">
                  <c:v>0.32278751856224003</c:v>
                </c:pt>
                <c:pt idx="43">
                  <c:v>0.33758895304601844</c:v>
                </c:pt>
                <c:pt idx="44">
                  <c:v>0.35269882369691946</c:v>
                </c:pt>
                <c:pt idx="45">
                  <c:v>0.36811632874813871</c:v>
                </c:pt>
                <c:pt idx="46">
                  <c:v>0.38384068646950964</c:v>
                </c:pt>
                <c:pt idx="47">
                  <c:v>0.39987113423772852</c:v>
                </c:pt>
                <c:pt idx="48">
                  <c:v>0.41620692766879069</c:v>
                </c:pt>
                <c:pt idx="49">
                  <c:v>0.43284733980723522</c:v>
                </c:pt>
                <c:pt idx="50">
                  <c:v>0.4497916603674017</c:v>
                </c:pt>
                <c:pt idx="51">
                  <c:v>0.46703919502237179</c:v>
                </c:pt>
                <c:pt idx="52">
                  <c:v>0.4845892647367101</c:v>
                </c:pt>
                <c:pt idx="53">
                  <c:v>0.50244120513951795</c:v>
                </c:pt>
                <c:pt idx="54">
                  <c:v>0.52059436593462871</c:v>
                </c:pt>
                <c:pt idx="55">
                  <c:v>0.53904811034511324</c:v>
                </c:pt>
                <c:pt idx="56">
                  <c:v>0.55780181458948908</c:v>
                </c:pt>
                <c:pt idx="57">
                  <c:v>0.57685486738727831</c:v>
                </c:pt>
                <c:pt idx="58">
                  <c:v>0.59620666949182333</c:v>
                </c:pt>
                <c:pt idx="59">
                  <c:v>0.61585663324833273</c:v>
                </c:pt>
                <c:pt idx="60">
                  <c:v>0.63580418217548662</c:v>
                </c:pt>
                <c:pt idx="61">
                  <c:v>0.65604875056886502</c:v>
                </c:pt>
                <c:pt idx="62">
                  <c:v>0.67658978312481621</c:v>
                </c:pt>
                <c:pt idx="63">
                  <c:v>0.69742673458331417</c:v>
                </c:pt>
                <c:pt idx="64">
                  <c:v>0.71855906938861902</c:v>
                </c:pt>
                <c:pt idx="65">
                  <c:v>0.73998626136655832</c:v>
                </c:pt>
                <c:pt idx="66">
                  <c:v>0.76170779341736883</c:v>
                </c:pt>
                <c:pt idx="67">
                  <c:v>0.78372315722313912</c:v>
                </c:pt>
                <c:pt idx="68">
                  <c:v>0.80603185296892066</c:v>
                </c:pt>
                <c:pt idx="69">
                  <c:v>0.82863338907671724</c:v>
                </c:pt>
                <c:pt idx="70">
                  <c:v>0.85152728195154637</c:v>
                </c:pt>
                <c:pt idx="71">
                  <c:v>0.87471305573885427</c:v>
                </c:pt>
                <c:pt idx="72">
                  <c:v>0.89819024209267218</c:v>
                </c:pt>
                <c:pt idx="73">
                  <c:v>0.92195837995381946</c:v>
                </c:pt>
                <c:pt idx="74">
                  <c:v>0.94601701533765803</c:v>
                </c:pt>
                <c:pt idx="75">
                  <c:v>0.97036570113081533</c:v>
                </c:pt>
                <c:pt idx="76">
                  <c:v>0.99500399689639762</c:v>
                </c:pt>
                <c:pt idx="77">
                  <c:v>1.0199314686872465</c:v>
                </c:pt>
                <c:pt idx="78">
                  <c:v>1.0451476888667606</c:v>
                </c:pt>
                <c:pt idx="79">
                  <c:v>1.0706522359369386</c:v>
                </c:pt>
                <c:pt idx="80">
                  <c:v>1.0964446943732282</c:v>
                </c:pt>
                <c:pt idx="81">
                  <c:v>1.1225246544658343</c:v>
                </c:pt>
                <c:pt idx="82">
                  <c:v>1.1488917121671678</c:v>
                </c:pt>
                <c:pt idx="83">
                  <c:v>1.175545468945115</c:v>
                </c:pt>
                <c:pt idx="84">
                  <c:v>1.2024855316418415</c:v>
                </c:pt>
                <c:pt idx="85">
                  <c:v>1.2297115123378588</c:v>
                </c:pt>
                <c:pt idx="86">
                  <c:v>1.2572230282210963</c:v>
                </c:pt>
                <c:pt idx="87">
                  <c:v>1.2850197014607312</c:v>
                </c:pt>
                <c:pt idx="88">
                  <c:v>1.313101159085577</c:v>
                </c:pt>
                <c:pt idx="89">
                  <c:v>1.3414670328667659</c:v>
                </c:pt>
                <c:pt idx="90">
                  <c:v>1.3701169592045885</c:v>
                </c:pt>
                <c:pt idx="91">
                  <c:v>1.3990505790192336</c:v>
                </c:pt>
                <c:pt idx="92">
                  <c:v>1.4282675376453293</c:v>
                </c:pt>
                <c:pt idx="93">
                  <c:v>1.4577674847300195</c:v>
                </c:pt>
                <c:pt idx="94">
                  <c:v>1.4875500741345096</c:v>
                </c:pt>
                <c:pt idx="95">
                  <c:v>1.5176149638388661</c:v>
                </c:pt>
                <c:pt idx="96">
                  <c:v>1.5479618158499571</c:v>
                </c:pt>
                <c:pt idx="97">
                  <c:v>1.5785902961124008</c:v>
                </c:pt>
                <c:pt idx="98">
                  <c:v>1.6095000744223722</c:v>
                </c:pt>
                <c:pt idx="99">
                  <c:v>1.6406908243441665</c:v>
                </c:pt>
                <c:pt idx="100">
                  <c:v>1.6721622231294011</c:v>
                </c:pt>
                <c:pt idx="101">
                  <c:v>1.7039139516387374</c:v>
                </c:pt>
                <c:pt idx="102">
                  <c:v>1.7359456942660421</c:v>
                </c:pt>
                <c:pt idx="103">
                  <c:v>1.7682571388648407</c:v>
                </c:pt>
                <c:pt idx="104">
                  <c:v>1.8008479766770542</c:v>
                </c:pt>
                <c:pt idx="105">
                  <c:v>1.8337179022638161</c:v>
                </c:pt>
                <c:pt idx="106">
                  <c:v>1.8668666134384162</c:v>
                </c:pt>
                <c:pt idx="107">
                  <c:v>1.9002938112011611</c:v>
                </c:pt>
                <c:pt idx="108">
                  <c:v>1.9339991996761854</c:v>
                </c:pt>
                <c:pt idx="109">
                  <c:v>1.9679824860500685</c:v>
                </c:pt>
                <c:pt idx="110">
                  <c:v>2.0022433805122</c:v>
                </c:pt>
                <c:pt idx="111">
                  <c:v>2.0367815961968754</c:v>
                </c:pt>
                <c:pt idx="112">
                  <c:v>2.071596849127002</c:v>
                </c:pt>
                <c:pt idx="113">
                  <c:v>2.1066888581593561</c:v>
                </c:pt>
                <c:pt idx="114">
                  <c:v>2.1420573449314015</c:v>
                </c:pt>
                <c:pt idx="115">
                  <c:v>2.1777020338095268</c:v>
                </c:pt>
                <c:pt idx="116">
                  <c:v>2.2136226518386941</c:v>
                </c:pt>
                <c:pt idx="117">
                  <c:v>2.2498189286934704</c:v>
                </c:pt>
                <c:pt idx="118">
                  <c:v>2.2862905966303435</c:v>
                </c:pt>
                <c:pt idx="119">
                  <c:v>2.3230373904412982</c:v>
                </c:pt>
                <c:pt idx="120">
                  <c:v>2.3600590474086243</c:v>
                </c:pt>
                <c:pt idx="121">
                  <c:v>2.3973553072608973</c:v>
                </c:pt>
                <c:pt idx="122">
                  <c:v>2.4349259121301157</c:v>
                </c:pt>
                <c:pt idx="123">
                  <c:v>2.4727706065098727</c:v>
                </c:pt>
                <c:pt idx="124">
                  <c:v>2.5108891372146753</c:v>
                </c:pt>
                <c:pt idx="125">
                  <c:v>2.5492812533402307</c:v>
                </c:pt>
                <c:pt idx="126">
                  <c:v>2.5879467062247312</c:v>
                </c:pt>
                <c:pt idx="127">
                  <c:v>2.626885249411131</c:v>
                </c:pt>
                <c:pt idx="128">
                  <c:v>2.6660966386103144</c:v>
                </c:pt>
                <c:pt idx="129">
                  <c:v>2.7055806316651956</c:v>
                </c:pt>
                <c:pt idx="130">
                  <c:v>2.7453369885156449</c:v>
                </c:pt>
                <c:pt idx="131">
                  <c:v>2.785365471164309</c:v>
                </c:pt>
                <c:pt idx="132">
                  <c:v>2.8256658436432049</c:v>
                </c:pt>
                <c:pt idx="133">
                  <c:v>2.8662378719811179</c:v>
                </c:pt>
                <c:pt idx="134">
                  <c:v>2.9070813241717963</c:v>
                </c:pt>
                <c:pt idx="135">
                  <c:v>2.9481959701428182</c:v>
                </c:pt>
                <c:pt idx="136">
                  <c:v>2.9895815817252451</c:v>
                </c:pt>
                <c:pt idx="137">
                  <c:v>3.0312379326239607</c:v>
                </c:pt>
                <c:pt idx="138">
                  <c:v>3.0731647983886234</c:v>
                </c:pt>
                <c:pt idx="139">
                  <c:v>3.1153619563853825</c:v>
                </c:pt>
                <c:pt idx="140">
                  <c:v>3.1578291857691188</c:v>
                </c:pt>
                <c:pt idx="141">
                  <c:v>3.2005662674564181</c:v>
                </c:pt>
                <c:pt idx="142">
                  <c:v>3.2435729840990142</c:v>
                </c:pt>
                <c:pt idx="143">
                  <c:v>3.2868491200579433</c:v>
                </c:pt>
                <c:pt idx="144">
                  <c:v>3.3303944613781908</c:v>
                </c:pt>
                <c:pt idx="145">
                  <c:v>3.37420879576386</c:v>
                </c:pt>
                <c:pt idx="146">
                  <c:v>3.418291912553987</c:v>
                </c:pt>
                <c:pt idx="147">
                  <c:v>3.462643602698749</c:v>
                </c:pt>
                <c:pt idx="148">
                  <c:v>3.5072636587362647</c:v>
                </c:pt>
                <c:pt idx="149">
                  <c:v>3.5521518747698169</c:v>
                </c:pt>
                <c:pt idx="150">
                  <c:v>3.5973080464456313</c:v>
                </c:pt>
                <c:pt idx="151">
                  <c:v>3.6427319709310457</c:v>
                </c:pt>
                <c:pt idx="152">
                  <c:v>3.6884234468931623</c:v>
                </c:pt>
                <c:pt idx="153">
                  <c:v>3.7343822744779303</c:v>
                </c:pt>
                <c:pt idx="154">
                  <c:v>3.7806082552896916</c:v>
                </c:pt>
                <c:pt idx="155">
                  <c:v>3.8271011923710754</c:v>
                </c:pt>
                <c:pt idx="156">
                  <c:v>3.8738608901833254</c:v>
                </c:pt>
                <c:pt idx="157">
                  <c:v>3.920887154587076</c:v>
                </c:pt>
                <c:pt idx="158">
                  <c:v>3.968179792823427</c:v>
                </c:pt>
                <c:pt idx="159">
                  <c:v>4.0157386134954063</c:v>
                </c:pt>
              </c:numCache>
            </c:numRef>
          </c:yVal>
          <c:smooth val="0"/>
          <c:extLst>
            <c:ext xmlns:c16="http://schemas.microsoft.com/office/drawing/2014/chart" uri="{C3380CC4-5D6E-409C-BE32-E72D297353CC}">
              <c16:uniqueId val="{00000003-F931-4B43-96E7-69FB7B8BA689}"/>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max val="120"/>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Extension rate s</a:t>
                </a:r>
                <a:r>
                  <a:rPr lang="en-GB" sz="1600" baseline="30000">
                    <a:solidFill>
                      <a:schemeClr val="tx1"/>
                    </a:solidFill>
                  </a:rPr>
                  <a:t>-1</a:t>
                </a:r>
              </a:p>
            </c:rich>
          </c:tx>
          <c:layout>
            <c:manualLayout>
              <c:xMode val="edge"/>
              <c:yMode val="edge"/>
              <c:x val="3.7980225454255008E-2"/>
              <c:y val="0.4547697690945286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1"/>
        <c:delete val="1"/>
      </c:legendEntry>
      <c:legendEntry>
        <c:idx val="3"/>
        <c:delete val="1"/>
      </c:legendEntry>
      <c:layout>
        <c:manualLayout>
          <c:xMode val="edge"/>
          <c:yMode val="edge"/>
          <c:x val="8.2955507410337484E-2"/>
          <c:y val="1.233984943061933E-2"/>
          <c:w val="0.18270042227066846"/>
          <c:h val="0.2820930694543973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Power</a:t>
            </a:r>
            <a:r>
              <a:rPr lang="en-GB" baseline="0"/>
              <a:t> law shear/stretch ratio 12 mm</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shear/stretch 0.3 mm power law</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rates'!$AM$109:$BQ$109</c:f>
              <c:numCache>
                <c:formatCode>General</c:formatCode>
                <c:ptCount val="31"/>
                <c:pt idx="0">
                  <c:v>2.449524623129247E-2</c:v>
                </c:pt>
                <c:pt idx="1">
                  <c:v>0.24218496098791528</c:v>
                </c:pt>
                <c:pt idx="2">
                  <c:v>0.96205901342789246</c:v>
                </c:pt>
                <c:pt idx="3">
                  <c:v>2.0975545761019481</c:v>
                </c:pt>
                <c:pt idx="4">
                  <c:v>3.6332882932481732</c:v>
                </c:pt>
                <c:pt idx="5">
                  <c:v>5.5632881373202094</c:v>
                </c:pt>
                <c:pt idx="6">
                  <c:v>7.888757756755747</c:v>
                </c:pt>
                <c:pt idx="7">
                  <c:v>10.617748172303065</c:v>
                </c:pt>
                <c:pt idx="8">
                  <c:v>13.765591479679811</c:v>
                </c:pt>
                <c:pt idx="9">
                  <c:v>17.355828385006891</c:v>
                </c:pt>
                <c:pt idx="10">
                  <c:v>21.421602799508783</c:v>
                </c:pt>
                <c:pt idx="11">
                  <c:v>26.007608369237978</c:v>
                </c:pt>
                <c:pt idx="12">
                  <c:v>31.172760276233326</c:v>
                </c:pt>
                <c:pt idx="13">
                  <c:v>36.993870184092913</c:v>
                </c:pt>
                <c:pt idx="14">
                  <c:v>43.570752056509704</c:v>
                </c:pt>
                <c:pt idx="15">
                  <c:v>51.033419969344621</c:v>
                </c:pt>
                <c:pt idx="16">
                  <c:v>59.552419319183386</c:v>
                </c:pt>
                <c:pt idx="17">
                  <c:v>69.353974814353492</c:v>
                </c:pt>
                <c:pt idx="18">
                  <c:v>80.742761339414216</c:v>
                </c:pt>
                <c:pt idx="19">
                  <c:v>94.137144724705976</c:v>
                </c:pt>
                <c:pt idx="20">
                  <c:v>110.12561712250806</c:v>
                </c:pt>
                <c:pt idx="21">
                  <c:v>129.56090703005725</c:v>
                </c:pt>
                <c:pt idx="22">
                  <c:v>153.7247241490935</c:v>
                </c:pt>
                <c:pt idx="23">
                  <c:v>184.63376826163508</c:v>
                </c:pt>
                <c:pt idx="24">
                  <c:v>225.65180385724526</c:v>
                </c:pt>
                <c:pt idx="25">
                  <c:v>282.83628547597738</c:v>
                </c:pt>
                <c:pt idx="26">
                  <c:v>368.30498928461247</c:v>
                </c:pt>
                <c:pt idx="27">
                  <c:v>510.33598865813428</c:v>
                </c:pt>
                <c:pt idx="28">
                  <c:v>793.76766394903393</c:v>
                </c:pt>
                <c:pt idx="29">
                  <c:v>1642.7989606838626</c:v>
                </c:pt>
                <c:pt idx="30">
                  <c:v>1.2255581586925283E+17</c:v>
                </c:pt>
              </c:numCache>
            </c:numRef>
          </c:yVal>
          <c:smooth val="0"/>
          <c:extLst>
            <c:ext xmlns:c16="http://schemas.microsoft.com/office/drawing/2014/chart" uri="{C3380CC4-5D6E-409C-BE32-E72D297353CC}">
              <c16:uniqueId val="{00000000-327B-4C23-ACE8-2C9134394CBA}"/>
            </c:ext>
          </c:extLst>
        </c:ser>
        <c:ser>
          <c:idx val="5"/>
          <c:order val="1"/>
          <c:tx>
            <c:v>shear/stretch 1.6 mm power law</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rates'!$CM$271:$IP$271</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rates'!$FL$147:$LO$147</c:f>
              <c:numCache>
                <c:formatCode>General</c:formatCode>
                <c:ptCount val="160"/>
                <c:pt idx="0">
                  <c:v>2.449524623129247E-2</c:v>
                </c:pt>
                <c:pt idx="1">
                  <c:v>2.2370667199806297E-2</c:v>
                </c:pt>
                <c:pt idx="2">
                  <c:v>1.663831326254505E-2</c:v>
                </c:pt>
                <c:pt idx="3">
                  <c:v>7.6102241620416011E-3</c:v>
                </c:pt>
                <c:pt idx="4">
                  <c:v>4.5609486114081867E-3</c:v>
                </c:pt>
                <c:pt idx="5">
                  <c:v>1.9773270151535911E-2</c:v>
                </c:pt>
                <c:pt idx="6">
                  <c:v>3.795080279611171E-2</c:v>
                </c:pt>
                <c:pt idx="7">
                  <c:v>5.9033528145053631E-2</c:v>
                </c:pt>
                <c:pt idx="8">
                  <c:v>8.2972238606899562E-2</c:v>
                </c:pt>
                <c:pt idx="9">
                  <c:v>0.10972560027492949</c:v>
                </c:pt>
                <c:pt idx="10">
                  <c:v>0.13925831743561906</c:v>
                </c:pt>
                <c:pt idx="11">
                  <c:v>0.17153991552110467</c:v>
                </c:pt>
                <c:pt idx="12">
                  <c:v>0.20654389785577895</c:v>
                </c:pt>
                <c:pt idx="13">
                  <c:v>0.24424714147936921</c:v>
                </c:pt>
                <c:pt idx="14">
                  <c:v>0.28462945290834324</c:v>
                </c:pt>
                <c:pt idx="15">
                  <c:v>0.32767323489088174</c:v>
                </c:pt>
                <c:pt idx="16">
                  <c:v>0.37336323258603626</c:v>
                </c:pt>
                <c:pt idx="17">
                  <c:v>0.4216863380813653</c:v>
                </c:pt>
                <c:pt idx="18">
                  <c:v>0.4726314387450663</c:v>
                </c:pt>
                <c:pt idx="19">
                  <c:v>0.52618929918249269</c:v>
                </c:pt>
                <c:pt idx="20">
                  <c:v>0.58235246942443164</c:v>
                </c:pt>
                <c:pt idx="21">
                  <c:v>0.64111521393434223</c:v>
                </c:pt>
                <c:pt idx="22">
                  <c:v>0.70247345739630818</c:v>
                </c:pt>
                <c:pt idx="23">
                  <c:v>0.76642474422923468</c:v>
                </c:pt>
                <c:pt idx="24">
                  <c:v>0.83296820948952111</c:v>
                </c:pt>
                <c:pt idx="25">
                  <c:v>0.90210455935542422</c:v>
                </c:pt>
                <c:pt idx="26">
                  <c:v>0.97383605978532828</c:v>
                </c:pt>
                <c:pt idx="27">
                  <c:v>1.0481665322466809</c:v>
                </c:pt>
                <c:pt idx="28">
                  <c:v>1.125101355647236</c:v>
                </c:pt>
                <c:pt idx="29">
                  <c:v>1.2046474737843125</c:v>
                </c:pt>
                <c:pt idx="30">
                  <c:v>1.286813407773238</c:v>
                </c:pt>
                <c:pt idx="31">
                  <c:v>1.3716092730328038</c:v>
                </c:pt>
                <c:pt idx="32">
                  <c:v>1.4590468005000905</c:v>
                </c:pt>
                <c:pt idx="33">
                  <c:v>1.5491393618245641</c:v>
                </c:pt>
                <c:pt idx="34">
                  <c:v>1.6419019983557872</c:v>
                </c:pt>
                <c:pt idx="35">
                  <c:v>1.7373514537932138</c:v>
                </c:pt>
                <c:pt idx="36">
                  <c:v>1.8355062104128037</c:v>
                </c:pt>
                <c:pt idx="37">
                  <c:v>1.9363865288252107</c:v>
                </c:pt>
                <c:pt idx="38">
                  <c:v>2.0400144912553451</c:v>
                </c:pt>
                <c:pt idx="39">
                  <c:v>2.146414048364516</c:v>
                </c:pt>
                <c:pt idx="40">
                  <c:v>2.255611069664778</c:v>
                </c:pt>
                <c:pt idx="41">
                  <c:v>2.3676333976013275</c:v>
                </c:pt>
                <c:pt idx="42">
                  <c:v>2.482510905403462</c:v>
                </c:pt>
                <c:pt idx="43">
                  <c:v>2.6002755588280357</c:v>
                </c:pt>
                <c:pt idx="44">
                  <c:v>2.7209614819422576</c:v>
                </c:pt>
                <c:pt idx="45">
                  <c:v>2.844605027114854</c:v>
                </c:pt>
                <c:pt idx="46">
                  <c:v>2.9712448494073307</c:v>
                </c:pt>
                <c:pt idx="47">
                  <c:v>3.1009219855793622</c:v>
                </c:pt>
                <c:pt idx="48">
                  <c:v>3.2336799379457517</c:v>
                </c:pt>
                <c:pt idx="49">
                  <c:v>3.3695647633460144</c:v>
                </c:pt>
                <c:pt idx="50">
                  <c:v>3.508625167512792</c:v>
                </c:pt>
                <c:pt idx="51">
                  <c:v>3.6509126051512206</c:v>
                </c:pt>
                <c:pt idx="52">
                  <c:v>3.7964813860689617</c:v>
                </c:pt>
                <c:pt idx="53">
                  <c:v>3.9453887877259657</c:v>
                </c:pt>
                <c:pt idx="54">
                  <c:v>4.0976951746040946</c:v>
                </c:pt>
                <c:pt idx="55">
                  <c:v>4.2534641248304057</c:v>
                </c:pt>
                <c:pt idx="56">
                  <c:v>4.4127625645235273</c:v>
                </c:pt>
                <c:pt idx="57">
                  <c:v>4.5756609103713304</c:v>
                </c:pt>
                <c:pt idx="58">
                  <c:v>4.7422332209903288</c:v>
                </c:pt>
                <c:pt idx="59">
                  <c:v>4.9125573576615018</c:v>
                </c:pt>
                <c:pt idx="60">
                  <c:v>5.0867151550878313</c:v>
                </c:pt>
                <c:pt idx="61">
                  <c:v>5.2647926028704495</c:v>
                </c:pt>
                <c:pt idx="62">
                  <c:v>5.4468800384601286</c:v>
                </c:pt>
                <c:pt idx="63">
                  <c:v>5.6330723524026194</c:v>
                </c:pt>
                <c:pt idx="64">
                  <c:v>5.8234692067666707</c:v>
                </c:pt>
                <c:pt idx="65">
                  <c:v>6.0181752677183642</c:v>
                </c:pt>
                <c:pt idx="66">
                  <c:v>6.2173004532882636</c:v>
                </c:pt>
                <c:pt idx="67">
                  <c:v>6.4209601974686334</c:v>
                </c:pt>
                <c:pt idx="68">
                  <c:v>6.6292757318769153</c:v>
                </c:pt>
                <c:pt idx="69">
                  <c:v>6.8423743863313939</c:v>
                </c:pt>
                <c:pt idx="70">
                  <c:v>7.060389909804238</c:v>
                </c:pt>
                <c:pt idx="71">
                  <c:v>7.2834628133494537</c:v>
                </c:pt>
                <c:pt idx="72">
                  <c:v>7.5117407367491591</c:v>
                </c:pt>
                <c:pt idx="73">
                  <c:v>7.7453788407810364</c:v>
                </c:pt>
                <c:pt idx="74">
                  <c:v>7.9845402271883614</c:v>
                </c:pt>
                <c:pt idx="75">
                  <c:v>8.2293963886289152</c:v>
                </c:pt>
                <c:pt idx="76">
                  <c:v>8.4801276910966301</c:v>
                </c:pt>
                <c:pt idx="77">
                  <c:v>8.736923891550223</c:v>
                </c:pt>
                <c:pt idx="78">
                  <c:v>8.9999846937494894</c:v>
                </c:pt>
                <c:pt idx="79">
                  <c:v>9.2695203455970514</c:v>
                </c:pt>
                <c:pt idx="80">
                  <c:v>9.5457522816126428</c:v>
                </c:pt>
                <c:pt idx="81">
                  <c:v>9.8289138145344452</c:v>
                </c:pt>
                <c:pt idx="82">
                  <c:v>10.11925088045199</c:v>
                </c:pt>
                <c:pt idx="83">
                  <c:v>10.417022842332427</c:v>
                </c:pt>
                <c:pt idx="84">
                  <c:v>10.722503357314002</c:v>
                </c:pt>
                <c:pt idx="85">
                  <c:v>11.035981313713677</c:v>
                </c:pt>
                <c:pt idx="86">
                  <c:v>11.35776184433878</c:v>
                </c:pt>
                <c:pt idx="87">
                  <c:v>11.688167423414715</c:v>
                </c:pt>
                <c:pt idx="88">
                  <c:v>12.027539055253506</c:v>
                </c:pt>
                <c:pt idx="89">
                  <c:v>12.37623756370265</c:v>
                </c:pt>
                <c:pt idx="90">
                  <c:v>12.734644992448075</c:v>
                </c:pt>
                <c:pt idx="91">
                  <c:v>13.103166127411484</c:v>
                </c:pt>
                <c:pt idx="92">
                  <c:v>13.482230153806409</c:v>
                </c:pt>
                <c:pt idx="93">
                  <c:v>13.872292461915682</c:v>
                </c:pt>
                <c:pt idx="94">
                  <c:v>14.27383661735947</c:v>
                </c:pt>
                <c:pt idx="95">
                  <c:v>14.687376513562302</c:v>
                </c:pt>
                <c:pt idx="96">
                  <c:v>15.113458726342122</c:v>
                </c:pt>
                <c:pt idx="97">
                  <c:v>15.552665093073793</c:v>
                </c:pt>
                <c:pt idx="98">
                  <c:v>16.005615541776631</c:v>
                </c:pt>
                <c:pt idx="99">
                  <c:v>16.47297119880038</c:v>
                </c:pt>
                <c:pt idx="100">
                  <c:v>16.955437807606966</c:v>
                </c:pt>
                <c:pt idx="101">
                  <c:v>17.453769495552027</c:v>
                </c:pt>
                <c:pt idx="102">
                  <c:v>17.968772930660609</c:v>
                </c:pt>
                <c:pt idx="103">
                  <c:v>18.5013119162845</c:v>
                </c:pt>
                <c:pt idx="104">
                  <c:v>19.052312478371636</c:v>
                </c:pt>
                <c:pt idx="105">
                  <c:v>19.622768508036216</c:v>
                </c:pt>
                <c:pt idx="106">
                  <c:v>20.213748031408414</c:v>
                </c:pt>
                <c:pt idx="107">
                  <c:v>20.826400189604282</c:v>
                </c:pt>
                <c:pt idx="108">
                  <c:v>21.461963024404096</c:v>
                </c:pt>
                <c:pt idx="109">
                  <c:v>22.121772180219338</c:v>
                </c:pt>
                <c:pt idx="110">
                  <c:v>22.807270650622652</c:v>
                </c:pt>
                <c:pt idx="111">
                  <c:v>23.520019718658109</c:v>
                </c:pt>
                <c:pt idx="112">
                  <c:v>24.26171126501761</c:v>
                </c:pt>
                <c:pt idx="113">
                  <c:v>25.034181647801727</c:v>
                </c:pt>
                <c:pt idx="114">
                  <c:v>25.839427393013164</c:v>
                </c:pt>
                <c:pt idx="115">
                  <c:v>26.679622977444748</c:v>
                </c:pt>
                <c:pt idx="116">
                  <c:v>27.557141036836633</c:v>
                </c:pt>
                <c:pt idx="117">
                  <c:v>28.474575394107401</c:v>
                </c:pt>
                <c:pt idx="118">
                  <c:v>29.434767377663846</c:v>
                </c:pt>
                <c:pt idx="119">
                  <c:v>30.440835991503526</c:v>
                </c:pt>
                <c:pt idx="120">
                  <c:v>31.496212611166882</c:v>
                </c:pt>
                <c:pt idx="121">
                  <c:v>32.604681017863548</c:v>
                </c:pt>
                <c:pt idx="122">
                  <c:v>33.770423754113864</c:v>
                </c:pt>
                <c:pt idx="123">
                  <c:v>34.998075996859384</c:v>
                </c:pt>
                <c:pt idx="124">
                  <c:v>36.292788409767255</c:v>
                </c:pt>
                <c:pt idx="125">
                  <c:v>37.660300770557448</c:v>
                </c:pt>
                <c:pt idx="126">
                  <c:v>39.107028591733624</c:v>
                </c:pt>
                <c:pt idx="127">
                  <c:v>40.640165490886261</c:v>
                </c:pt>
                <c:pt idx="128">
                  <c:v>42.267804755778833</c:v>
                </c:pt>
                <c:pt idx="129">
                  <c:v>43.99908443851519</c:v>
                </c:pt>
                <c:pt idx="130">
                  <c:v>45.844361468898462</c:v>
                </c:pt>
                <c:pt idx="131">
                  <c:v>47.815421791607065</c:v>
                </c:pt>
                <c:pt idx="132">
                  <c:v>49.925735533131714</c:v>
                </c:pt>
                <c:pt idx="133">
                  <c:v>52.190768872849226</c:v>
                </c:pt>
                <c:pt idx="134">
                  <c:v>54.628367884722337</c:v>
                </c:pt>
                <c:pt idx="135">
                  <c:v>57.259234501390132</c:v>
                </c:pt>
                <c:pt idx="136">
                  <c:v>60.10752146967392</c:v>
                </c:pt>
                <c:pt idx="137">
                  <c:v>63.201582512265325</c:v>
                </c:pt>
                <c:pt idx="138">
                  <c:v>66.574927079371875</c:v>
                </c:pt>
                <c:pt idx="139">
                  <c:v>70.267447886966423</c:v>
                </c:pt>
                <c:pt idx="140">
                  <c:v>74.327016716936143</c:v>
                </c:pt>
                <c:pt idx="141">
                  <c:v>78.811584154563477</c:v>
                </c:pt>
                <c:pt idx="142">
                  <c:v>83.791979238950645</c:v>
                </c:pt>
                <c:pt idx="143">
                  <c:v>89.355697225830895</c:v>
                </c:pt>
                <c:pt idx="144">
                  <c:v>95.612107761918111</c:v>
                </c:pt>
                <c:pt idx="145">
                  <c:v>102.69974632950282</c:v>
                </c:pt>
                <c:pt idx="146">
                  <c:v>110.79673059640766</c:v>
                </c:pt>
                <c:pt idx="147">
                  <c:v>120.13598431262938</c:v>
                </c:pt>
                <c:pt idx="148">
                  <c:v>131.02807315589521</c:v>
                </c:pt>
                <c:pt idx="149">
                  <c:v>143.89649649360118</c:v>
                </c:pt>
                <c:pt idx="150">
                  <c:v>159.33415420259004</c:v>
                </c:pt>
                <c:pt idx="151">
                  <c:v>178.19745803617775</c:v>
                </c:pt>
                <c:pt idx="152">
                  <c:v>201.77102651725085</c:v>
                </c:pt>
                <c:pt idx="153">
                  <c:v>232.0735468834844</c:v>
                </c:pt>
                <c:pt idx="154">
                  <c:v>272.46949897880398</c:v>
                </c:pt>
                <c:pt idx="155">
                  <c:v>329.01494781578219</c:v>
                </c:pt>
                <c:pt idx="156">
                  <c:v>413.82202498308823</c:v>
                </c:pt>
                <c:pt idx="157">
                  <c:v>555.15237286975014</c:v>
                </c:pt>
                <c:pt idx="158">
                  <c:v>837.79092156494266</c:v>
                </c:pt>
                <c:pt idx="159">
                  <c:v>1685.662327161964</c:v>
                </c:pt>
              </c:numCache>
            </c:numRef>
          </c:yVal>
          <c:smooth val="0"/>
          <c:extLst>
            <c:ext xmlns:c16="http://schemas.microsoft.com/office/drawing/2014/chart" uri="{C3380CC4-5D6E-409C-BE32-E72D297353CC}">
              <c16:uniqueId val="{00000002-327B-4C23-ACE8-2C9134394CBA}"/>
            </c:ext>
          </c:extLst>
        </c:ser>
        <c:ser>
          <c:idx val="0"/>
          <c:order val="2"/>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rates'!$CN$278:$DR$278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rates'!$AM$109:$BQ$109</c:f>
              <c:numCache>
                <c:formatCode>General</c:formatCode>
                <c:ptCount val="31"/>
                <c:pt idx="0">
                  <c:v>2.449524623129247E-2</c:v>
                </c:pt>
                <c:pt idx="1">
                  <c:v>0.24218496098791528</c:v>
                </c:pt>
                <c:pt idx="2">
                  <c:v>0.96205901342789246</c:v>
                </c:pt>
                <c:pt idx="3">
                  <c:v>2.0975545761019481</c:v>
                </c:pt>
                <c:pt idx="4">
                  <c:v>3.6332882932481732</c:v>
                </c:pt>
                <c:pt idx="5">
                  <c:v>5.5632881373202094</c:v>
                </c:pt>
                <c:pt idx="6">
                  <c:v>7.888757756755747</c:v>
                </c:pt>
                <c:pt idx="7">
                  <c:v>10.617748172303065</c:v>
                </c:pt>
                <c:pt idx="8">
                  <c:v>13.765591479679811</c:v>
                </c:pt>
                <c:pt idx="9">
                  <c:v>17.355828385006891</c:v>
                </c:pt>
                <c:pt idx="10">
                  <c:v>21.421602799508783</c:v>
                </c:pt>
                <c:pt idx="11">
                  <c:v>26.007608369237978</c:v>
                </c:pt>
                <c:pt idx="12">
                  <c:v>31.172760276233326</c:v>
                </c:pt>
                <c:pt idx="13">
                  <c:v>36.993870184092913</c:v>
                </c:pt>
                <c:pt idx="14">
                  <c:v>43.570752056509704</c:v>
                </c:pt>
                <c:pt idx="15">
                  <c:v>51.033419969344621</c:v>
                </c:pt>
                <c:pt idx="16">
                  <c:v>59.552419319183386</c:v>
                </c:pt>
                <c:pt idx="17">
                  <c:v>69.353974814353492</c:v>
                </c:pt>
                <c:pt idx="18">
                  <c:v>80.742761339414216</c:v>
                </c:pt>
                <c:pt idx="19">
                  <c:v>94.137144724705976</c:v>
                </c:pt>
                <c:pt idx="20">
                  <c:v>110.12561712250806</c:v>
                </c:pt>
                <c:pt idx="21">
                  <c:v>129.56090703005725</c:v>
                </c:pt>
                <c:pt idx="22">
                  <c:v>153.7247241490935</c:v>
                </c:pt>
                <c:pt idx="23">
                  <c:v>184.63376826163508</c:v>
                </c:pt>
                <c:pt idx="24">
                  <c:v>225.65180385724526</c:v>
                </c:pt>
                <c:pt idx="25">
                  <c:v>282.83628547597738</c:v>
                </c:pt>
                <c:pt idx="26">
                  <c:v>368.30498928461247</c:v>
                </c:pt>
                <c:pt idx="27">
                  <c:v>510.33598865813428</c:v>
                </c:pt>
                <c:pt idx="28">
                  <c:v>793.76766394903393</c:v>
                </c:pt>
                <c:pt idx="29">
                  <c:v>1642.7989606838626</c:v>
                </c:pt>
                <c:pt idx="30">
                  <c:v>1.2255581586925283E+17</c:v>
                </c:pt>
              </c:numCache>
            </c:numRef>
          </c:yVal>
          <c:smooth val="0"/>
          <c:extLst>
            <c:ext xmlns:c16="http://schemas.microsoft.com/office/drawing/2014/chart" uri="{C3380CC4-5D6E-409C-BE32-E72D297353CC}">
              <c16:uniqueId val="{00000004-327B-4C23-ACE8-2C9134394CBA}"/>
            </c:ext>
          </c:extLst>
        </c:ser>
        <c:ser>
          <c:idx val="1"/>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rates'!$CN$287:$IQ$287</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rates'!$FL$147:$LO$147</c:f>
              <c:numCache>
                <c:formatCode>General</c:formatCode>
                <c:ptCount val="160"/>
                <c:pt idx="0">
                  <c:v>2.449524623129247E-2</c:v>
                </c:pt>
                <c:pt idx="1">
                  <c:v>2.2370667199806297E-2</c:v>
                </c:pt>
                <c:pt idx="2">
                  <c:v>1.663831326254505E-2</c:v>
                </c:pt>
                <c:pt idx="3">
                  <c:v>7.6102241620416011E-3</c:v>
                </c:pt>
                <c:pt idx="4">
                  <c:v>4.5609486114081867E-3</c:v>
                </c:pt>
                <c:pt idx="5">
                  <c:v>1.9773270151535911E-2</c:v>
                </c:pt>
                <c:pt idx="6">
                  <c:v>3.795080279611171E-2</c:v>
                </c:pt>
                <c:pt idx="7">
                  <c:v>5.9033528145053631E-2</c:v>
                </c:pt>
                <c:pt idx="8">
                  <c:v>8.2972238606899562E-2</c:v>
                </c:pt>
                <c:pt idx="9">
                  <c:v>0.10972560027492949</c:v>
                </c:pt>
                <c:pt idx="10">
                  <c:v>0.13925831743561906</c:v>
                </c:pt>
                <c:pt idx="11">
                  <c:v>0.17153991552110467</c:v>
                </c:pt>
                <c:pt idx="12">
                  <c:v>0.20654389785577895</c:v>
                </c:pt>
                <c:pt idx="13">
                  <c:v>0.24424714147936921</c:v>
                </c:pt>
                <c:pt idx="14">
                  <c:v>0.28462945290834324</c:v>
                </c:pt>
                <c:pt idx="15">
                  <c:v>0.32767323489088174</c:v>
                </c:pt>
                <c:pt idx="16">
                  <c:v>0.37336323258603626</c:v>
                </c:pt>
                <c:pt idx="17">
                  <c:v>0.4216863380813653</c:v>
                </c:pt>
                <c:pt idx="18">
                  <c:v>0.4726314387450663</c:v>
                </c:pt>
                <c:pt idx="19">
                  <c:v>0.52618929918249269</c:v>
                </c:pt>
                <c:pt idx="20">
                  <c:v>0.58235246942443164</c:v>
                </c:pt>
                <c:pt idx="21">
                  <c:v>0.64111521393434223</c:v>
                </c:pt>
                <c:pt idx="22">
                  <c:v>0.70247345739630818</c:v>
                </c:pt>
                <c:pt idx="23">
                  <c:v>0.76642474422923468</c:v>
                </c:pt>
                <c:pt idx="24">
                  <c:v>0.83296820948952111</c:v>
                </c:pt>
                <c:pt idx="25">
                  <c:v>0.90210455935542422</c:v>
                </c:pt>
                <c:pt idx="26">
                  <c:v>0.97383605978532828</c:v>
                </c:pt>
                <c:pt idx="27">
                  <c:v>1.0481665322466809</c:v>
                </c:pt>
                <c:pt idx="28">
                  <c:v>1.125101355647236</c:v>
                </c:pt>
                <c:pt idx="29">
                  <c:v>1.2046474737843125</c:v>
                </c:pt>
                <c:pt idx="30">
                  <c:v>1.286813407773238</c:v>
                </c:pt>
                <c:pt idx="31">
                  <c:v>1.3716092730328038</c:v>
                </c:pt>
                <c:pt idx="32">
                  <c:v>1.4590468005000905</c:v>
                </c:pt>
                <c:pt idx="33">
                  <c:v>1.5491393618245641</c:v>
                </c:pt>
                <c:pt idx="34">
                  <c:v>1.6419019983557872</c:v>
                </c:pt>
                <c:pt idx="35">
                  <c:v>1.7373514537932138</c:v>
                </c:pt>
                <c:pt idx="36">
                  <c:v>1.8355062104128037</c:v>
                </c:pt>
                <c:pt idx="37">
                  <c:v>1.9363865288252107</c:v>
                </c:pt>
                <c:pt idx="38">
                  <c:v>2.0400144912553451</c:v>
                </c:pt>
                <c:pt idx="39">
                  <c:v>2.146414048364516</c:v>
                </c:pt>
                <c:pt idx="40">
                  <c:v>2.255611069664778</c:v>
                </c:pt>
                <c:pt idx="41">
                  <c:v>2.3676333976013275</c:v>
                </c:pt>
                <c:pt idx="42">
                  <c:v>2.482510905403462</c:v>
                </c:pt>
                <c:pt idx="43">
                  <c:v>2.6002755588280357</c:v>
                </c:pt>
                <c:pt idx="44">
                  <c:v>2.7209614819422576</c:v>
                </c:pt>
                <c:pt idx="45">
                  <c:v>2.844605027114854</c:v>
                </c:pt>
                <c:pt idx="46">
                  <c:v>2.9712448494073307</c:v>
                </c:pt>
                <c:pt idx="47">
                  <c:v>3.1009219855793622</c:v>
                </c:pt>
                <c:pt idx="48">
                  <c:v>3.2336799379457517</c:v>
                </c:pt>
                <c:pt idx="49">
                  <c:v>3.3695647633460144</c:v>
                </c:pt>
                <c:pt idx="50">
                  <c:v>3.508625167512792</c:v>
                </c:pt>
                <c:pt idx="51">
                  <c:v>3.6509126051512206</c:v>
                </c:pt>
                <c:pt idx="52">
                  <c:v>3.7964813860689617</c:v>
                </c:pt>
                <c:pt idx="53">
                  <c:v>3.9453887877259657</c:v>
                </c:pt>
                <c:pt idx="54">
                  <c:v>4.0976951746040946</c:v>
                </c:pt>
                <c:pt idx="55">
                  <c:v>4.2534641248304057</c:v>
                </c:pt>
                <c:pt idx="56">
                  <c:v>4.4127625645235273</c:v>
                </c:pt>
                <c:pt idx="57">
                  <c:v>4.5756609103713304</c:v>
                </c:pt>
                <c:pt idx="58">
                  <c:v>4.7422332209903288</c:v>
                </c:pt>
                <c:pt idx="59">
                  <c:v>4.9125573576615018</c:v>
                </c:pt>
                <c:pt idx="60">
                  <c:v>5.0867151550878313</c:v>
                </c:pt>
                <c:pt idx="61">
                  <c:v>5.2647926028704495</c:v>
                </c:pt>
                <c:pt idx="62">
                  <c:v>5.4468800384601286</c:v>
                </c:pt>
                <c:pt idx="63">
                  <c:v>5.6330723524026194</c:v>
                </c:pt>
                <c:pt idx="64">
                  <c:v>5.8234692067666707</c:v>
                </c:pt>
                <c:pt idx="65">
                  <c:v>6.0181752677183642</c:v>
                </c:pt>
                <c:pt idx="66">
                  <c:v>6.2173004532882636</c:v>
                </c:pt>
                <c:pt idx="67">
                  <c:v>6.4209601974686334</c:v>
                </c:pt>
                <c:pt idx="68">
                  <c:v>6.6292757318769153</c:v>
                </c:pt>
                <c:pt idx="69">
                  <c:v>6.8423743863313939</c:v>
                </c:pt>
                <c:pt idx="70">
                  <c:v>7.060389909804238</c:v>
                </c:pt>
                <c:pt idx="71">
                  <c:v>7.2834628133494537</c:v>
                </c:pt>
                <c:pt idx="72">
                  <c:v>7.5117407367491591</c:v>
                </c:pt>
                <c:pt idx="73">
                  <c:v>7.7453788407810364</c:v>
                </c:pt>
                <c:pt idx="74">
                  <c:v>7.9845402271883614</c:v>
                </c:pt>
                <c:pt idx="75">
                  <c:v>8.2293963886289152</c:v>
                </c:pt>
                <c:pt idx="76">
                  <c:v>8.4801276910966301</c:v>
                </c:pt>
                <c:pt idx="77">
                  <c:v>8.736923891550223</c:v>
                </c:pt>
                <c:pt idx="78">
                  <c:v>8.9999846937494894</c:v>
                </c:pt>
                <c:pt idx="79">
                  <c:v>9.2695203455970514</c:v>
                </c:pt>
                <c:pt idx="80">
                  <c:v>9.5457522816126428</c:v>
                </c:pt>
                <c:pt idx="81">
                  <c:v>9.8289138145344452</c:v>
                </c:pt>
                <c:pt idx="82">
                  <c:v>10.11925088045199</c:v>
                </c:pt>
                <c:pt idx="83">
                  <c:v>10.417022842332427</c:v>
                </c:pt>
                <c:pt idx="84">
                  <c:v>10.722503357314002</c:v>
                </c:pt>
                <c:pt idx="85">
                  <c:v>11.035981313713677</c:v>
                </c:pt>
                <c:pt idx="86">
                  <c:v>11.35776184433878</c:v>
                </c:pt>
                <c:pt idx="87">
                  <c:v>11.688167423414715</c:v>
                </c:pt>
                <c:pt idx="88">
                  <c:v>12.027539055253506</c:v>
                </c:pt>
                <c:pt idx="89">
                  <c:v>12.37623756370265</c:v>
                </c:pt>
                <c:pt idx="90">
                  <c:v>12.734644992448075</c:v>
                </c:pt>
                <c:pt idx="91">
                  <c:v>13.103166127411484</c:v>
                </c:pt>
                <c:pt idx="92">
                  <c:v>13.482230153806409</c:v>
                </c:pt>
                <c:pt idx="93">
                  <c:v>13.872292461915682</c:v>
                </c:pt>
                <c:pt idx="94">
                  <c:v>14.27383661735947</c:v>
                </c:pt>
                <c:pt idx="95">
                  <c:v>14.687376513562302</c:v>
                </c:pt>
                <c:pt idx="96">
                  <c:v>15.113458726342122</c:v>
                </c:pt>
                <c:pt idx="97">
                  <c:v>15.552665093073793</c:v>
                </c:pt>
                <c:pt idx="98">
                  <c:v>16.005615541776631</c:v>
                </c:pt>
                <c:pt idx="99">
                  <c:v>16.47297119880038</c:v>
                </c:pt>
                <c:pt idx="100">
                  <c:v>16.955437807606966</c:v>
                </c:pt>
                <c:pt idx="101">
                  <c:v>17.453769495552027</c:v>
                </c:pt>
                <c:pt idx="102">
                  <c:v>17.968772930660609</c:v>
                </c:pt>
                <c:pt idx="103">
                  <c:v>18.5013119162845</c:v>
                </c:pt>
                <c:pt idx="104">
                  <c:v>19.052312478371636</c:v>
                </c:pt>
                <c:pt idx="105">
                  <c:v>19.622768508036216</c:v>
                </c:pt>
                <c:pt idx="106">
                  <c:v>20.213748031408414</c:v>
                </c:pt>
                <c:pt idx="107">
                  <c:v>20.826400189604282</c:v>
                </c:pt>
                <c:pt idx="108">
                  <c:v>21.461963024404096</c:v>
                </c:pt>
                <c:pt idx="109">
                  <c:v>22.121772180219338</c:v>
                </c:pt>
                <c:pt idx="110">
                  <c:v>22.807270650622652</c:v>
                </c:pt>
                <c:pt idx="111">
                  <c:v>23.520019718658109</c:v>
                </c:pt>
                <c:pt idx="112">
                  <c:v>24.26171126501761</c:v>
                </c:pt>
                <c:pt idx="113">
                  <c:v>25.034181647801727</c:v>
                </c:pt>
                <c:pt idx="114">
                  <c:v>25.839427393013164</c:v>
                </c:pt>
                <c:pt idx="115">
                  <c:v>26.679622977444748</c:v>
                </c:pt>
                <c:pt idx="116">
                  <c:v>27.557141036836633</c:v>
                </c:pt>
                <c:pt idx="117">
                  <c:v>28.474575394107401</c:v>
                </c:pt>
                <c:pt idx="118">
                  <c:v>29.434767377663846</c:v>
                </c:pt>
                <c:pt idx="119">
                  <c:v>30.440835991503526</c:v>
                </c:pt>
                <c:pt idx="120">
                  <c:v>31.496212611166882</c:v>
                </c:pt>
                <c:pt idx="121">
                  <c:v>32.604681017863548</c:v>
                </c:pt>
                <c:pt idx="122">
                  <c:v>33.770423754113864</c:v>
                </c:pt>
                <c:pt idx="123">
                  <c:v>34.998075996859384</c:v>
                </c:pt>
                <c:pt idx="124">
                  <c:v>36.292788409767255</c:v>
                </c:pt>
                <c:pt idx="125">
                  <c:v>37.660300770557448</c:v>
                </c:pt>
                <c:pt idx="126">
                  <c:v>39.107028591733624</c:v>
                </c:pt>
                <c:pt idx="127">
                  <c:v>40.640165490886261</c:v>
                </c:pt>
                <c:pt idx="128">
                  <c:v>42.267804755778833</c:v>
                </c:pt>
                <c:pt idx="129">
                  <c:v>43.99908443851519</c:v>
                </c:pt>
                <c:pt idx="130">
                  <c:v>45.844361468898462</c:v>
                </c:pt>
                <c:pt idx="131">
                  <c:v>47.815421791607065</c:v>
                </c:pt>
                <c:pt idx="132">
                  <c:v>49.925735533131714</c:v>
                </c:pt>
                <c:pt idx="133">
                  <c:v>52.190768872849226</c:v>
                </c:pt>
                <c:pt idx="134">
                  <c:v>54.628367884722337</c:v>
                </c:pt>
                <c:pt idx="135">
                  <c:v>57.259234501390132</c:v>
                </c:pt>
                <c:pt idx="136">
                  <c:v>60.10752146967392</c:v>
                </c:pt>
                <c:pt idx="137">
                  <c:v>63.201582512265325</c:v>
                </c:pt>
                <c:pt idx="138">
                  <c:v>66.574927079371875</c:v>
                </c:pt>
                <c:pt idx="139">
                  <c:v>70.267447886966423</c:v>
                </c:pt>
                <c:pt idx="140">
                  <c:v>74.327016716936143</c:v>
                </c:pt>
                <c:pt idx="141">
                  <c:v>78.811584154563477</c:v>
                </c:pt>
                <c:pt idx="142">
                  <c:v>83.791979238950645</c:v>
                </c:pt>
                <c:pt idx="143">
                  <c:v>89.355697225830895</c:v>
                </c:pt>
                <c:pt idx="144">
                  <c:v>95.612107761918111</c:v>
                </c:pt>
                <c:pt idx="145">
                  <c:v>102.69974632950282</c:v>
                </c:pt>
                <c:pt idx="146">
                  <c:v>110.79673059640766</c:v>
                </c:pt>
                <c:pt idx="147">
                  <c:v>120.13598431262938</c:v>
                </c:pt>
                <c:pt idx="148">
                  <c:v>131.02807315589521</c:v>
                </c:pt>
                <c:pt idx="149">
                  <c:v>143.89649649360118</c:v>
                </c:pt>
                <c:pt idx="150">
                  <c:v>159.33415420259004</c:v>
                </c:pt>
                <c:pt idx="151">
                  <c:v>178.19745803617775</c:v>
                </c:pt>
                <c:pt idx="152">
                  <c:v>201.77102651725085</c:v>
                </c:pt>
                <c:pt idx="153">
                  <c:v>232.0735468834844</c:v>
                </c:pt>
                <c:pt idx="154">
                  <c:v>272.46949897880398</c:v>
                </c:pt>
                <c:pt idx="155">
                  <c:v>329.01494781578219</c:v>
                </c:pt>
                <c:pt idx="156">
                  <c:v>413.82202498308823</c:v>
                </c:pt>
                <c:pt idx="157">
                  <c:v>555.15237286975014</c:v>
                </c:pt>
                <c:pt idx="158">
                  <c:v>837.79092156494266</c:v>
                </c:pt>
                <c:pt idx="159">
                  <c:v>1685.662327161964</c:v>
                </c:pt>
              </c:numCache>
            </c:numRef>
          </c:yVal>
          <c:smooth val="0"/>
          <c:extLst>
            <c:ext xmlns:c16="http://schemas.microsoft.com/office/drawing/2014/chart" uri="{C3380CC4-5D6E-409C-BE32-E72D297353CC}">
              <c16:uniqueId val="{00000005-327B-4C23-ACE8-2C9134394CBA}"/>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max val="1600"/>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2"/>
        <c:delete val="1"/>
      </c:legendEntry>
      <c:legendEntry>
        <c:idx val="3"/>
        <c:delete val="1"/>
      </c:legendEntry>
      <c:layout>
        <c:manualLayout>
          <c:xMode val="edge"/>
          <c:yMode val="edge"/>
          <c:x val="0.63923114093730138"/>
          <c:y val="0.23606071960592573"/>
          <c:w val="0.16376696166940677"/>
          <c:h val="8.6150723248777497E-2"/>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Power</a:t>
            </a:r>
            <a:r>
              <a:rPr lang="en-GB" baseline="0"/>
              <a:t> law shear/stretch ratio 42 mm</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shear/stretch 0.3 mm power law</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rates'!$AM$111:$BQ$111</c:f>
              <c:numCache>
                <c:formatCode>General</c:formatCode>
                <c:ptCount val="31"/>
                <c:pt idx="0">
                  <c:v>8.573336180952365E-2</c:v>
                </c:pt>
                <c:pt idx="1">
                  <c:v>0.84764736345770342</c:v>
                </c:pt>
                <c:pt idx="2">
                  <c:v>3.367206546997624</c:v>
                </c:pt>
                <c:pt idx="3">
                  <c:v>7.3414410163568187</c:v>
                </c:pt>
                <c:pt idx="4">
                  <c:v>12.716509026368605</c:v>
                </c:pt>
                <c:pt idx="5">
                  <c:v>19.471508480620734</c:v>
                </c:pt>
                <c:pt idx="6">
                  <c:v>27.610652148645112</c:v>
                </c:pt>
                <c:pt idx="7">
                  <c:v>37.162118603060733</c:v>
                </c:pt>
                <c:pt idx="8">
                  <c:v>48.179570178879345</c:v>
                </c:pt>
                <c:pt idx="9">
                  <c:v>60.745399347524113</c:v>
                </c:pt>
                <c:pt idx="10">
                  <c:v>74.975609798280743</c:v>
                </c:pt>
                <c:pt idx="11">
                  <c:v>91.026629292332942</c:v>
                </c:pt>
                <c:pt idx="12">
                  <c:v>109.10466096681665</c:v>
                </c:pt>
                <c:pt idx="13">
                  <c:v>129.47854564432521</c:v>
                </c:pt>
                <c:pt idx="14">
                  <c:v>152.49763219778399</c:v>
                </c:pt>
                <c:pt idx="15">
                  <c:v>178.61696989270624</c:v>
                </c:pt>
                <c:pt idx="16">
                  <c:v>208.43346761714187</c:v>
                </c:pt>
                <c:pt idx="17">
                  <c:v>242.73891185023723</c:v>
                </c:pt>
                <c:pt idx="18">
                  <c:v>282.59966468794971</c:v>
                </c:pt>
                <c:pt idx="19">
                  <c:v>329.48000653647085</c:v>
                </c:pt>
                <c:pt idx="20">
                  <c:v>385.43965992877816</c:v>
                </c:pt>
                <c:pt idx="21">
                  <c:v>453.46317460520032</c:v>
                </c:pt>
                <c:pt idx="22">
                  <c:v>538.03653452182721</c:v>
                </c:pt>
                <c:pt idx="23">
                  <c:v>646.21818891572264</c:v>
                </c:pt>
                <c:pt idx="24">
                  <c:v>789.78131350035846</c:v>
                </c:pt>
                <c:pt idx="25">
                  <c:v>989.92699916592085</c:v>
                </c:pt>
                <c:pt idx="26">
                  <c:v>1289.0674624961441</c:v>
                </c:pt>
                <c:pt idx="27">
                  <c:v>1786.17596030347</c:v>
                </c:pt>
                <c:pt idx="28">
                  <c:v>2778.1868238216198</c:v>
                </c:pt>
                <c:pt idx="29">
                  <c:v>5749.7963623935193</c:v>
                </c:pt>
                <c:pt idx="30">
                  <c:v>4.2894535554238496E+17</c:v>
                </c:pt>
              </c:numCache>
            </c:numRef>
          </c:yVal>
          <c:smooth val="0"/>
          <c:extLst>
            <c:ext xmlns:c16="http://schemas.microsoft.com/office/drawing/2014/chart" uri="{C3380CC4-5D6E-409C-BE32-E72D297353CC}">
              <c16:uniqueId val="{00000000-74A6-4FD2-B86B-64B397923C64}"/>
            </c:ext>
          </c:extLst>
        </c:ser>
        <c:ser>
          <c:idx val="5"/>
          <c:order val="1"/>
          <c:tx>
            <c:v>shear/stretch 1.6 mm power law</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rates'!$CM$271:$IP$271</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rates'!$FL$149:$LO$149</c:f>
              <c:numCache>
                <c:formatCode>General</c:formatCode>
                <c:ptCount val="160"/>
                <c:pt idx="0">
                  <c:v>8.573336180952365E-2</c:v>
                </c:pt>
                <c:pt idx="1">
                  <c:v>7.8297335199322055E-2</c:v>
                </c:pt>
                <c:pt idx="2">
                  <c:v>5.8234096418907685E-2</c:v>
                </c:pt>
                <c:pt idx="3">
                  <c:v>2.6635784567145607E-2</c:v>
                </c:pt>
                <c:pt idx="4">
                  <c:v>1.5963320139928652E-2</c:v>
                </c:pt>
                <c:pt idx="5">
                  <c:v>6.9206445530375693E-2</c:v>
                </c:pt>
                <c:pt idx="6">
                  <c:v>0.132827809786391</c:v>
                </c:pt>
                <c:pt idx="7">
                  <c:v>0.20661734850768773</c:v>
                </c:pt>
                <c:pt idx="8">
                  <c:v>0.29040283512414844</c:v>
                </c:pt>
                <c:pt idx="9">
                  <c:v>0.38403960096225326</c:v>
                </c:pt>
                <c:pt idx="10">
                  <c:v>0.48740411102466669</c:v>
                </c:pt>
                <c:pt idx="11">
                  <c:v>0.60038970432386629</c:v>
                </c:pt>
                <c:pt idx="12">
                  <c:v>0.72290364249522632</c:v>
                </c:pt>
                <c:pt idx="13">
                  <c:v>0.85486499517779235</c:v>
                </c:pt>
                <c:pt idx="14">
                  <c:v>0.99620308517920153</c:v>
                </c:pt>
                <c:pt idx="15">
                  <c:v>1.1468563221180863</c:v>
                </c:pt>
                <c:pt idx="16">
                  <c:v>1.306771314051127</c:v>
                </c:pt>
                <c:pt idx="17">
                  <c:v>1.4759021832847787</c:v>
                </c:pt>
                <c:pt idx="18">
                  <c:v>1.6542100356077321</c:v>
                </c:pt>
                <c:pt idx="19">
                  <c:v>1.8416625471387249</c:v>
                </c:pt>
                <c:pt idx="20">
                  <c:v>2.038233642985511</c:v>
                </c:pt>
                <c:pt idx="21">
                  <c:v>2.2439032487701982</c:v>
                </c:pt>
                <c:pt idx="22">
                  <c:v>2.4586571008870792</c:v>
                </c:pt>
                <c:pt idx="23">
                  <c:v>2.6824866048023215</c:v>
                </c:pt>
                <c:pt idx="24">
                  <c:v>2.9153887332133239</c:v>
                </c:pt>
                <c:pt idx="25">
                  <c:v>3.1573659577439854</c:v>
                </c:pt>
                <c:pt idx="26">
                  <c:v>3.408426209248649</c:v>
                </c:pt>
                <c:pt idx="27">
                  <c:v>3.6685828628633832</c:v>
                </c:pt>
                <c:pt idx="28">
                  <c:v>3.9378547447653269</c:v>
                </c:pt>
                <c:pt idx="29">
                  <c:v>4.2162661582450935</c:v>
                </c:pt>
                <c:pt idx="30">
                  <c:v>4.5038469272063333</c:v>
                </c:pt>
                <c:pt idx="31">
                  <c:v>4.8006324556148137</c:v>
                </c:pt>
                <c:pt idx="32">
                  <c:v>5.106663801750317</c:v>
                </c:pt>
                <c:pt idx="33">
                  <c:v>5.4219877663859757</c:v>
                </c:pt>
                <c:pt idx="34">
                  <c:v>5.7466569942452557</c:v>
                </c:pt>
                <c:pt idx="35">
                  <c:v>6.0807300882762494</c:v>
                </c:pt>
                <c:pt idx="36">
                  <c:v>6.4242717364448136</c:v>
                </c:pt>
                <c:pt idx="37">
                  <c:v>6.7773528508882386</c:v>
                </c:pt>
                <c:pt idx="38">
                  <c:v>7.1400507193937086</c:v>
                </c:pt>
                <c:pt idx="39">
                  <c:v>7.5124491692758069</c:v>
                </c:pt>
                <c:pt idx="40">
                  <c:v>7.8946387438267234</c:v>
                </c:pt>
                <c:pt idx="41">
                  <c:v>8.2867168916046463</c:v>
                </c:pt>
                <c:pt idx="42">
                  <c:v>8.6887881689121169</c:v>
                </c:pt>
                <c:pt idx="43">
                  <c:v>9.100964455898124</c:v>
                </c:pt>
                <c:pt idx="44">
                  <c:v>9.5233651867978999</c:v>
                </c:pt>
                <c:pt idx="45">
                  <c:v>9.9561175949019898</c:v>
                </c:pt>
                <c:pt idx="46">
                  <c:v>10.399356972925659</c:v>
                </c:pt>
                <c:pt idx="47">
                  <c:v>10.85322694952777</c:v>
                </c:pt>
                <c:pt idx="48">
                  <c:v>11.317879782810133</c:v>
                </c:pt>
                <c:pt idx="49">
                  <c:v>11.793476671711051</c:v>
                </c:pt>
                <c:pt idx="50">
                  <c:v>12.280188086294771</c:v>
                </c:pt>
                <c:pt idx="51">
                  <c:v>12.778194118029274</c:v>
                </c:pt>
                <c:pt idx="52">
                  <c:v>13.287684851241368</c:v>
                </c:pt>
                <c:pt idx="53">
                  <c:v>13.808860757040884</c:v>
                </c:pt>
                <c:pt idx="54">
                  <c:v>14.341933111114335</c:v>
                </c:pt>
                <c:pt idx="55">
                  <c:v>14.887124436906422</c:v>
                </c:pt>
                <c:pt idx="56">
                  <c:v>15.444668975832348</c:v>
                </c:pt>
                <c:pt idx="57">
                  <c:v>16.014813186299659</c:v>
                </c:pt>
                <c:pt idx="58">
                  <c:v>16.597816273466151</c:v>
                </c:pt>
                <c:pt idx="59">
                  <c:v>17.193950751815258</c:v>
                </c:pt>
                <c:pt idx="60">
                  <c:v>17.80350304280741</c:v>
                </c:pt>
                <c:pt idx="61">
                  <c:v>18.426774110046576</c:v>
                </c:pt>
                <c:pt idx="62">
                  <c:v>19.064080134610453</c:v>
                </c:pt>
                <c:pt idx="63">
                  <c:v>19.715753233409171</c:v>
                </c:pt>
                <c:pt idx="64">
                  <c:v>20.382142223683349</c:v>
                </c:pt>
                <c:pt idx="65">
                  <c:v>21.063613437014279</c:v>
                </c:pt>
                <c:pt idx="66">
                  <c:v>21.760551586508925</c:v>
                </c:pt>
                <c:pt idx="67">
                  <c:v>22.473360691140218</c:v>
                </c:pt>
                <c:pt idx="68">
                  <c:v>23.202465061569207</c:v>
                </c:pt>
                <c:pt idx="69">
                  <c:v>23.948310352159883</c:v>
                </c:pt>
                <c:pt idx="70">
                  <c:v>24.711364684314837</c:v>
                </c:pt>
                <c:pt idx="71">
                  <c:v>25.492119846723092</c:v>
                </c:pt>
                <c:pt idx="72">
                  <c:v>26.29109257862206</c:v>
                </c:pt>
                <c:pt idx="73">
                  <c:v>27.108825942733631</c:v>
                </c:pt>
                <c:pt idx="74">
                  <c:v>27.945890795159272</c:v>
                </c:pt>
                <c:pt idx="75">
                  <c:v>28.802887360201211</c:v>
                </c:pt>
                <c:pt idx="76">
                  <c:v>29.680446918838204</c:v>
                </c:pt>
                <c:pt idx="77">
                  <c:v>30.579233620425789</c:v>
                </c:pt>
                <c:pt idx="78">
                  <c:v>31.499946428123209</c:v>
                </c:pt>
                <c:pt idx="79">
                  <c:v>32.443321209589691</c:v>
                </c:pt>
                <c:pt idx="80">
                  <c:v>33.410132985644253</c:v>
                </c:pt>
                <c:pt idx="81">
                  <c:v>34.401198350870558</c:v>
                </c:pt>
                <c:pt idx="82">
                  <c:v>35.417378081581965</c:v>
                </c:pt>
                <c:pt idx="83">
                  <c:v>36.459579948163501</c:v>
                </c:pt>
                <c:pt idx="84">
                  <c:v>37.52876175059901</c:v>
                </c:pt>
                <c:pt idx="85">
                  <c:v>38.625934597997876</c:v>
                </c:pt>
                <c:pt idx="86">
                  <c:v>39.752166455185737</c:v>
                </c:pt>
                <c:pt idx="87">
                  <c:v>40.908585981951504</c:v>
                </c:pt>
                <c:pt idx="88">
                  <c:v>42.096386693387267</c:v>
                </c:pt>
                <c:pt idx="89">
                  <c:v>43.316831472959279</c:v>
                </c:pt>
                <c:pt idx="90">
                  <c:v>44.571257473568267</c:v>
                </c:pt>
                <c:pt idx="91">
                  <c:v>45.861081445940201</c:v>
                </c:pt>
                <c:pt idx="92">
                  <c:v>47.187805538322436</c:v>
                </c:pt>
                <c:pt idx="93">
                  <c:v>48.553023616704898</c:v>
                </c:pt>
                <c:pt idx="94">
                  <c:v>49.958428160758139</c:v>
                </c:pt>
                <c:pt idx="95">
                  <c:v>51.40581779746806</c:v>
                </c:pt>
                <c:pt idx="96">
                  <c:v>52.89710554219743</c:v>
                </c:pt>
                <c:pt idx="97">
                  <c:v>54.434327825758274</c:v>
                </c:pt>
                <c:pt idx="98">
                  <c:v>56.019654396218222</c:v>
                </c:pt>
                <c:pt idx="99">
                  <c:v>57.65539919580133</c:v>
                </c:pt>
                <c:pt idx="100">
                  <c:v>59.344032326624387</c:v>
                </c:pt>
                <c:pt idx="101">
                  <c:v>61.088193234432104</c:v>
                </c:pt>
                <c:pt idx="102">
                  <c:v>62.890705257312142</c:v>
                </c:pt>
                <c:pt idx="103">
                  <c:v>64.754591706995754</c:v>
                </c:pt>
                <c:pt idx="104">
                  <c:v>66.683093674300721</c:v>
                </c:pt>
                <c:pt idx="105">
                  <c:v>68.679689778126772</c:v>
                </c:pt>
                <c:pt idx="106">
                  <c:v>70.74811810992945</c:v>
                </c:pt>
                <c:pt idx="107">
                  <c:v>72.892400663614978</c:v>
                </c:pt>
                <c:pt idx="108">
                  <c:v>75.116870585414347</c:v>
                </c:pt>
                <c:pt idx="109">
                  <c:v>77.42620263076769</c:v>
                </c:pt>
                <c:pt idx="110">
                  <c:v>79.825447277179293</c:v>
                </c:pt>
                <c:pt idx="111">
                  <c:v>82.320069015303375</c:v>
                </c:pt>
                <c:pt idx="112">
                  <c:v>84.915989427561641</c:v>
                </c:pt>
                <c:pt idx="113">
                  <c:v>87.619635767306036</c:v>
                </c:pt>
                <c:pt idx="114">
                  <c:v>90.437995875546093</c:v>
                </c:pt>
                <c:pt idx="115">
                  <c:v>93.378680421056615</c:v>
                </c:pt>
                <c:pt idx="116">
                  <c:v>96.449993628928226</c:v>
                </c:pt>
                <c:pt idx="117">
                  <c:v>99.661013879375915</c:v>
                </c:pt>
                <c:pt idx="118">
                  <c:v>103.02168582182347</c:v>
                </c:pt>
                <c:pt idx="119">
                  <c:v>106.54292597026237</c:v>
                </c:pt>
                <c:pt idx="120">
                  <c:v>110.23674413908411</c:v>
                </c:pt>
                <c:pt idx="121">
                  <c:v>114.11638356252244</c:v>
                </c:pt>
                <c:pt idx="122">
                  <c:v>118.19648313939852</c:v>
                </c:pt>
                <c:pt idx="123">
                  <c:v>122.49326598900788</c:v>
                </c:pt>
                <c:pt idx="124">
                  <c:v>127.0247594341854</c:v>
                </c:pt>
                <c:pt idx="125">
                  <c:v>131.81105269695109</c:v>
                </c:pt>
                <c:pt idx="126">
                  <c:v>136.87460007106768</c:v>
                </c:pt>
                <c:pt idx="127">
                  <c:v>142.24057921810191</c:v>
                </c:pt>
                <c:pt idx="128">
                  <c:v>147.93731664522593</c:v>
                </c:pt>
                <c:pt idx="129">
                  <c:v>153.99679553480317</c:v>
                </c:pt>
                <c:pt idx="130">
                  <c:v>160.45526514114465</c:v>
                </c:pt>
                <c:pt idx="131">
                  <c:v>167.35397627062474</c:v>
                </c:pt>
                <c:pt idx="132">
                  <c:v>174.74007436596099</c:v>
                </c:pt>
                <c:pt idx="133">
                  <c:v>182.66769105497235</c:v>
                </c:pt>
                <c:pt idx="134">
                  <c:v>191.19928759652822</c:v>
                </c:pt>
                <c:pt idx="135">
                  <c:v>200.40732075486548</c:v>
                </c:pt>
                <c:pt idx="136">
                  <c:v>210.37632514385868</c:v>
                </c:pt>
                <c:pt idx="137">
                  <c:v>221.20553879292865</c:v>
                </c:pt>
                <c:pt idx="138">
                  <c:v>233.01224477780156</c:v>
                </c:pt>
                <c:pt idx="139">
                  <c:v>245.93606760438246</c:v>
                </c:pt>
                <c:pt idx="140">
                  <c:v>260.14455850927652</c:v>
                </c:pt>
                <c:pt idx="141">
                  <c:v>275.84054454097219</c:v>
                </c:pt>
                <c:pt idx="142">
                  <c:v>293.27192733632734</c:v>
                </c:pt>
                <c:pt idx="143">
                  <c:v>312.74494029040812</c:v>
                </c:pt>
                <c:pt idx="144">
                  <c:v>334.6423771667134</c:v>
                </c:pt>
                <c:pt idx="145">
                  <c:v>359.44911215325988</c:v>
                </c:pt>
                <c:pt idx="146">
                  <c:v>387.7885570874268</c:v>
                </c:pt>
                <c:pt idx="147">
                  <c:v>420.47594509420287</c:v>
                </c:pt>
                <c:pt idx="148">
                  <c:v>458.59825604563332</c:v>
                </c:pt>
                <c:pt idx="149">
                  <c:v>503.63773772760413</c:v>
                </c:pt>
                <c:pt idx="150">
                  <c:v>557.66953970906536</c:v>
                </c:pt>
                <c:pt idx="151">
                  <c:v>623.69110312662224</c:v>
                </c:pt>
                <c:pt idx="152">
                  <c:v>706.19859281037805</c:v>
                </c:pt>
                <c:pt idx="153">
                  <c:v>812.25741409219552</c:v>
                </c:pt>
                <c:pt idx="154">
                  <c:v>953.64324642581391</c:v>
                </c:pt>
                <c:pt idx="155">
                  <c:v>1151.5523173552378</c:v>
                </c:pt>
                <c:pt idx="156">
                  <c:v>1448.377087440809</c:v>
                </c:pt>
                <c:pt idx="157">
                  <c:v>1943.0333050441254</c:v>
                </c:pt>
                <c:pt idx="158">
                  <c:v>2932.268225477299</c:v>
                </c:pt>
                <c:pt idx="159">
                  <c:v>5899.8181450668744</c:v>
                </c:pt>
              </c:numCache>
            </c:numRef>
          </c:yVal>
          <c:smooth val="0"/>
          <c:extLst>
            <c:ext xmlns:c16="http://schemas.microsoft.com/office/drawing/2014/chart" uri="{C3380CC4-5D6E-409C-BE32-E72D297353CC}">
              <c16:uniqueId val="{00000001-74A6-4FD2-B86B-64B397923C64}"/>
            </c:ext>
          </c:extLst>
        </c:ser>
        <c:ser>
          <c:idx val="0"/>
          <c:order val="2"/>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rates'!$CN$278:$DR$278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rates'!$AM$111:$BQ$111</c:f>
              <c:numCache>
                <c:formatCode>General</c:formatCode>
                <c:ptCount val="31"/>
                <c:pt idx="0">
                  <c:v>8.573336180952365E-2</c:v>
                </c:pt>
                <c:pt idx="1">
                  <c:v>0.84764736345770342</c:v>
                </c:pt>
                <c:pt idx="2">
                  <c:v>3.367206546997624</c:v>
                </c:pt>
                <c:pt idx="3">
                  <c:v>7.3414410163568187</c:v>
                </c:pt>
                <c:pt idx="4">
                  <c:v>12.716509026368605</c:v>
                </c:pt>
                <c:pt idx="5">
                  <c:v>19.471508480620734</c:v>
                </c:pt>
                <c:pt idx="6">
                  <c:v>27.610652148645112</c:v>
                </c:pt>
                <c:pt idx="7">
                  <c:v>37.162118603060733</c:v>
                </c:pt>
                <c:pt idx="8">
                  <c:v>48.179570178879345</c:v>
                </c:pt>
                <c:pt idx="9">
                  <c:v>60.745399347524113</c:v>
                </c:pt>
                <c:pt idx="10">
                  <c:v>74.975609798280743</c:v>
                </c:pt>
                <c:pt idx="11">
                  <c:v>91.026629292332942</c:v>
                </c:pt>
                <c:pt idx="12">
                  <c:v>109.10466096681665</c:v>
                </c:pt>
                <c:pt idx="13">
                  <c:v>129.47854564432521</c:v>
                </c:pt>
                <c:pt idx="14">
                  <c:v>152.49763219778399</c:v>
                </c:pt>
                <c:pt idx="15">
                  <c:v>178.61696989270624</c:v>
                </c:pt>
                <c:pt idx="16">
                  <c:v>208.43346761714187</c:v>
                </c:pt>
                <c:pt idx="17">
                  <c:v>242.73891185023723</c:v>
                </c:pt>
                <c:pt idx="18">
                  <c:v>282.59966468794971</c:v>
                </c:pt>
                <c:pt idx="19">
                  <c:v>329.48000653647085</c:v>
                </c:pt>
                <c:pt idx="20">
                  <c:v>385.43965992877816</c:v>
                </c:pt>
                <c:pt idx="21">
                  <c:v>453.46317460520032</c:v>
                </c:pt>
                <c:pt idx="22">
                  <c:v>538.03653452182721</c:v>
                </c:pt>
                <c:pt idx="23">
                  <c:v>646.21818891572264</c:v>
                </c:pt>
                <c:pt idx="24">
                  <c:v>789.78131350035846</c:v>
                </c:pt>
                <c:pt idx="25">
                  <c:v>989.92699916592085</c:v>
                </c:pt>
                <c:pt idx="26">
                  <c:v>1289.0674624961441</c:v>
                </c:pt>
                <c:pt idx="27">
                  <c:v>1786.17596030347</c:v>
                </c:pt>
                <c:pt idx="28">
                  <c:v>2778.1868238216198</c:v>
                </c:pt>
                <c:pt idx="29">
                  <c:v>5749.7963623935193</c:v>
                </c:pt>
                <c:pt idx="30">
                  <c:v>4.2894535554238496E+17</c:v>
                </c:pt>
              </c:numCache>
            </c:numRef>
          </c:yVal>
          <c:smooth val="0"/>
          <c:extLst>
            <c:ext xmlns:c16="http://schemas.microsoft.com/office/drawing/2014/chart" uri="{C3380CC4-5D6E-409C-BE32-E72D297353CC}">
              <c16:uniqueId val="{00000002-74A6-4FD2-B86B-64B397923C64}"/>
            </c:ext>
          </c:extLst>
        </c:ser>
        <c:ser>
          <c:idx val="1"/>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rates'!$CN$287:$IQ$287</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rates'!$FL$149:$LO$149</c:f>
              <c:numCache>
                <c:formatCode>General</c:formatCode>
                <c:ptCount val="160"/>
                <c:pt idx="0">
                  <c:v>8.573336180952365E-2</c:v>
                </c:pt>
                <c:pt idx="1">
                  <c:v>7.8297335199322055E-2</c:v>
                </c:pt>
                <c:pt idx="2">
                  <c:v>5.8234096418907685E-2</c:v>
                </c:pt>
                <c:pt idx="3">
                  <c:v>2.6635784567145607E-2</c:v>
                </c:pt>
                <c:pt idx="4">
                  <c:v>1.5963320139928652E-2</c:v>
                </c:pt>
                <c:pt idx="5">
                  <c:v>6.9206445530375693E-2</c:v>
                </c:pt>
                <c:pt idx="6">
                  <c:v>0.132827809786391</c:v>
                </c:pt>
                <c:pt idx="7">
                  <c:v>0.20661734850768773</c:v>
                </c:pt>
                <c:pt idx="8">
                  <c:v>0.29040283512414844</c:v>
                </c:pt>
                <c:pt idx="9">
                  <c:v>0.38403960096225326</c:v>
                </c:pt>
                <c:pt idx="10">
                  <c:v>0.48740411102466669</c:v>
                </c:pt>
                <c:pt idx="11">
                  <c:v>0.60038970432386629</c:v>
                </c:pt>
                <c:pt idx="12">
                  <c:v>0.72290364249522632</c:v>
                </c:pt>
                <c:pt idx="13">
                  <c:v>0.85486499517779235</c:v>
                </c:pt>
                <c:pt idx="14">
                  <c:v>0.99620308517920153</c:v>
                </c:pt>
                <c:pt idx="15">
                  <c:v>1.1468563221180863</c:v>
                </c:pt>
                <c:pt idx="16">
                  <c:v>1.306771314051127</c:v>
                </c:pt>
                <c:pt idx="17">
                  <c:v>1.4759021832847787</c:v>
                </c:pt>
                <c:pt idx="18">
                  <c:v>1.6542100356077321</c:v>
                </c:pt>
                <c:pt idx="19">
                  <c:v>1.8416625471387249</c:v>
                </c:pt>
                <c:pt idx="20">
                  <c:v>2.038233642985511</c:v>
                </c:pt>
                <c:pt idx="21">
                  <c:v>2.2439032487701982</c:v>
                </c:pt>
                <c:pt idx="22">
                  <c:v>2.4586571008870792</c:v>
                </c:pt>
                <c:pt idx="23">
                  <c:v>2.6824866048023215</c:v>
                </c:pt>
                <c:pt idx="24">
                  <c:v>2.9153887332133239</c:v>
                </c:pt>
                <c:pt idx="25">
                  <c:v>3.1573659577439854</c:v>
                </c:pt>
                <c:pt idx="26">
                  <c:v>3.408426209248649</c:v>
                </c:pt>
                <c:pt idx="27">
                  <c:v>3.6685828628633832</c:v>
                </c:pt>
                <c:pt idx="28">
                  <c:v>3.9378547447653269</c:v>
                </c:pt>
                <c:pt idx="29">
                  <c:v>4.2162661582450935</c:v>
                </c:pt>
                <c:pt idx="30">
                  <c:v>4.5038469272063333</c:v>
                </c:pt>
                <c:pt idx="31">
                  <c:v>4.8006324556148137</c:v>
                </c:pt>
                <c:pt idx="32">
                  <c:v>5.106663801750317</c:v>
                </c:pt>
                <c:pt idx="33">
                  <c:v>5.4219877663859757</c:v>
                </c:pt>
                <c:pt idx="34">
                  <c:v>5.7466569942452557</c:v>
                </c:pt>
                <c:pt idx="35">
                  <c:v>6.0807300882762494</c:v>
                </c:pt>
                <c:pt idx="36">
                  <c:v>6.4242717364448136</c:v>
                </c:pt>
                <c:pt idx="37">
                  <c:v>6.7773528508882386</c:v>
                </c:pt>
                <c:pt idx="38">
                  <c:v>7.1400507193937086</c:v>
                </c:pt>
                <c:pt idx="39">
                  <c:v>7.5124491692758069</c:v>
                </c:pt>
                <c:pt idx="40">
                  <c:v>7.8946387438267234</c:v>
                </c:pt>
                <c:pt idx="41">
                  <c:v>8.2867168916046463</c:v>
                </c:pt>
                <c:pt idx="42">
                  <c:v>8.6887881689121169</c:v>
                </c:pt>
                <c:pt idx="43">
                  <c:v>9.100964455898124</c:v>
                </c:pt>
                <c:pt idx="44">
                  <c:v>9.5233651867978999</c:v>
                </c:pt>
                <c:pt idx="45">
                  <c:v>9.9561175949019898</c:v>
                </c:pt>
                <c:pt idx="46">
                  <c:v>10.399356972925659</c:v>
                </c:pt>
                <c:pt idx="47">
                  <c:v>10.85322694952777</c:v>
                </c:pt>
                <c:pt idx="48">
                  <c:v>11.317879782810133</c:v>
                </c:pt>
                <c:pt idx="49">
                  <c:v>11.793476671711051</c:v>
                </c:pt>
                <c:pt idx="50">
                  <c:v>12.280188086294771</c:v>
                </c:pt>
                <c:pt idx="51">
                  <c:v>12.778194118029274</c:v>
                </c:pt>
                <c:pt idx="52">
                  <c:v>13.287684851241368</c:v>
                </c:pt>
                <c:pt idx="53">
                  <c:v>13.808860757040884</c:v>
                </c:pt>
                <c:pt idx="54">
                  <c:v>14.341933111114335</c:v>
                </c:pt>
                <c:pt idx="55">
                  <c:v>14.887124436906422</c:v>
                </c:pt>
                <c:pt idx="56">
                  <c:v>15.444668975832348</c:v>
                </c:pt>
                <c:pt idx="57">
                  <c:v>16.014813186299659</c:v>
                </c:pt>
                <c:pt idx="58">
                  <c:v>16.597816273466151</c:v>
                </c:pt>
                <c:pt idx="59">
                  <c:v>17.193950751815258</c:v>
                </c:pt>
                <c:pt idx="60">
                  <c:v>17.80350304280741</c:v>
                </c:pt>
                <c:pt idx="61">
                  <c:v>18.426774110046576</c:v>
                </c:pt>
                <c:pt idx="62">
                  <c:v>19.064080134610453</c:v>
                </c:pt>
                <c:pt idx="63">
                  <c:v>19.715753233409171</c:v>
                </c:pt>
                <c:pt idx="64">
                  <c:v>20.382142223683349</c:v>
                </c:pt>
                <c:pt idx="65">
                  <c:v>21.063613437014279</c:v>
                </c:pt>
                <c:pt idx="66">
                  <c:v>21.760551586508925</c:v>
                </c:pt>
                <c:pt idx="67">
                  <c:v>22.473360691140218</c:v>
                </c:pt>
                <c:pt idx="68">
                  <c:v>23.202465061569207</c:v>
                </c:pt>
                <c:pt idx="69">
                  <c:v>23.948310352159883</c:v>
                </c:pt>
                <c:pt idx="70">
                  <c:v>24.711364684314837</c:v>
                </c:pt>
                <c:pt idx="71">
                  <c:v>25.492119846723092</c:v>
                </c:pt>
                <c:pt idx="72">
                  <c:v>26.29109257862206</c:v>
                </c:pt>
                <c:pt idx="73">
                  <c:v>27.108825942733631</c:v>
                </c:pt>
                <c:pt idx="74">
                  <c:v>27.945890795159272</c:v>
                </c:pt>
                <c:pt idx="75">
                  <c:v>28.802887360201211</c:v>
                </c:pt>
                <c:pt idx="76">
                  <c:v>29.680446918838204</c:v>
                </c:pt>
                <c:pt idx="77">
                  <c:v>30.579233620425789</c:v>
                </c:pt>
                <c:pt idx="78">
                  <c:v>31.499946428123209</c:v>
                </c:pt>
                <c:pt idx="79">
                  <c:v>32.443321209589691</c:v>
                </c:pt>
                <c:pt idx="80">
                  <c:v>33.410132985644253</c:v>
                </c:pt>
                <c:pt idx="81">
                  <c:v>34.401198350870558</c:v>
                </c:pt>
                <c:pt idx="82">
                  <c:v>35.417378081581965</c:v>
                </c:pt>
                <c:pt idx="83">
                  <c:v>36.459579948163501</c:v>
                </c:pt>
                <c:pt idx="84">
                  <c:v>37.52876175059901</c:v>
                </c:pt>
                <c:pt idx="85">
                  <c:v>38.625934597997876</c:v>
                </c:pt>
                <c:pt idx="86">
                  <c:v>39.752166455185737</c:v>
                </c:pt>
                <c:pt idx="87">
                  <c:v>40.908585981951504</c:v>
                </c:pt>
                <c:pt idx="88">
                  <c:v>42.096386693387267</c:v>
                </c:pt>
                <c:pt idx="89">
                  <c:v>43.316831472959279</c:v>
                </c:pt>
                <c:pt idx="90">
                  <c:v>44.571257473568267</c:v>
                </c:pt>
                <c:pt idx="91">
                  <c:v>45.861081445940201</c:v>
                </c:pt>
                <c:pt idx="92">
                  <c:v>47.187805538322436</c:v>
                </c:pt>
                <c:pt idx="93">
                  <c:v>48.553023616704898</c:v>
                </c:pt>
                <c:pt idx="94">
                  <c:v>49.958428160758139</c:v>
                </c:pt>
                <c:pt idx="95">
                  <c:v>51.40581779746806</c:v>
                </c:pt>
                <c:pt idx="96">
                  <c:v>52.89710554219743</c:v>
                </c:pt>
                <c:pt idx="97">
                  <c:v>54.434327825758274</c:v>
                </c:pt>
                <c:pt idx="98">
                  <c:v>56.019654396218222</c:v>
                </c:pt>
                <c:pt idx="99">
                  <c:v>57.65539919580133</c:v>
                </c:pt>
                <c:pt idx="100">
                  <c:v>59.344032326624387</c:v>
                </c:pt>
                <c:pt idx="101">
                  <c:v>61.088193234432104</c:v>
                </c:pt>
                <c:pt idx="102">
                  <c:v>62.890705257312142</c:v>
                </c:pt>
                <c:pt idx="103">
                  <c:v>64.754591706995754</c:v>
                </c:pt>
                <c:pt idx="104">
                  <c:v>66.683093674300721</c:v>
                </c:pt>
                <c:pt idx="105">
                  <c:v>68.679689778126772</c:v>
                </c:pt>
                <c:pt idx="106">
                  <c:v>70.74811810992945</c:v>
                </c:pt>
                <c:pt idx="107">
                  <c:v>72.892400663614978</c:v>
                </c:pt>
                <c:pt idx="108">
                  <c:v>75.116870585414347</c:v>
                </c:pt>
                <c:pt idx="109">
                  <c:v>77.42620263076769</c:v>
                </c:pt>
                <c:pt idx="110">
                  <c:v>79.825447277179293</c:v>
                </c:pt>
                <c:pt idx="111">
                  <c:v>82.320069015303375</c:v>
                </c:pt>
                <c:pt idx="112">
                  <c:v>84.915989427561641</c:v>
                </c:pt>
                <c:pt idx="113">
                  <c:v>87.619635767306036</c:v>
                </c:pt>
                <c:pt idx="114">
                  <c:v>90.437995875546093</c:v>
                </c:pt>
                <c:pt idx="115">
                  <c:v>93.378680421056615</c:v>
                </c:pt>
                <c:pt idx="116">
                  <c:v>96.449993628928226</c:v>
                </c:pt>
                <c:pt idx="117">
                  <c:v>99.661013879375915</c:v>
                </c:pt>
                <c:pt idx="118">
                  <c:v>103.02168582182347</c:v>
                </c:pt>
                <c:pt idx="119">
                  <c:v>106.54292597026237</c:v>
                </c:pt>
                <c:pt idx="120">
                  <c:v>110.23674413908411</c:v>
                </c:pt>
                <c:pt idx="121">
                  <c:v>114.11638356252244</c:v>
                </c:pt>
                <c:pt idx="122">
                  <c:v>118.19648313939852</c:v>
                </c:pt>
                <c:pt idx="123">
                  <c:v>122.49326598900788</c:v>
                </c:pt>
                <c:pt idx="124">
                  <c:v>127.0247594341854</c:v>
                </c:pt>
                <c:pt idx="125">
                  <c:v>131.81105269695109</c:v>
                </c:pt>
                <c:pt idx="126">
                  <c:v>136.87460007106768</c:v>
                </c:pt>
                <c:pt idx="127">
                  <c:v>142.24057921810191</c:v>
                </c:pt>
                <c:pt idx="128">
                  <c:v>147.93731664522593</c:v>
                </c:pt>
                <c:pt idx="129">
                  <c:v>153.99679553480317</c:v>
                </c:pt>
                <c:pt idx="130">
                  <c:v>160.45526514114465</c:v>
                </c:pt>
                <c:pt idx="131">
                  <c:v>167.35397627062474</c:v>
                </c:pt>
                <c:pt idx="132">
                  <c:v>174.74007436596099</c:v>
                </c:pt>
                <c:pt idx="133">
                  <c:v>182.66769105497235</c:v>
                </c:pt>
                <c:pt idx="134">
                  <c:v>191.19928759652822</c:v>
                </c:pt>
                <c:pt idx="135">
                  <c:v>200.40732075486548</c:v>
                </c:pt>
                <c:pt idx="136">
                  <c:v>210.37632514385868</c:v>
                </c:pt>
                <c:pt idx="137">
                  <c:v>221.20553879292865</c:v>
                </c:pt>
                <c:pt idx="138">
                  <c:v>233.01224477780156</c:v>
                </c:pt>
                <c:pt idx="139">
                  <c:v>245.93606760438246</c:v>
                </c:pt>
                <c:pt idx="140">
                  <c:v>260.14455850927652</c:v>
                </c:pt>
                <c:pt idx="141">
                  <c:v>275.84054454097219</c:v>
                </c:pt>
                <c:pt idx="142">
                  <c:v>293.27192733632734</c:v>
                </c:pt>
                <c:pt idx="143">
                  <c:v>312.74494029040812</c:v>
                </c:pt>
                <c:pt idx="144">
                  <c:v>334.6423771667134</c:v>
                </c:pt>
                <c:pt idx="145">
                  <c:v>359.44911215325988</c:v>
                </c:pt>
                <c:pt idx="146">
                  <c:v>387.7885570874268</c:v>
                </c:pt>
                <c:pt idx="147">
                  <c:v>420.47594509420287</c:v>
                </c:pt>
                <c:pt idx="148">
                  <c:v>458.59825604563332</c:v>
                </c:pt>
                <c:pt idx="149">
                  <c:v>503.63773772760413</c:v>
                </c:pt>
                <c:pt idx="150">
                  <c:v>557.66953970906536</c:v>
                </c:pt>
                <c:pt idx="151">
                  <c:v>623.69110312662224</c:v>
                </c:pt>
                <c:pt idx="152">
                  <c:v>706.19859281037805</c:v>
                </c:pt>
                <c:pt idx="153">
                  <c:v>812.25741409219552</c:v>
                </c:pt>
                <c:pt idx="154">
                  <c:v>953.64324642581391</c:v>
                </c:pt>
                <c:pt idx="155">
                  <c:v>1151.5523173552378</c:v>
                </c:pt>
                <c:pt idx="156">
                  <c:v>1448.377087440809</c:v>
                </c:pt>
                <c:pt idx="157">
                  <c:v>1943.0333050441254</c:v>
                </c:pt>
                <c:pt idx="158">
                  <c:v>2932.268225477299</c:v>
                </c:pt>
                <c:pt idx="159">
                  <c:v>5899.8181450668744</c:v>
                </c:pt>
              </c:numCache>
            </c:numRef>
          </c:yVal>
          <c:smooth val="0"/>
          <c:extLst>
            <c:ext xmlns:c16="http://schemas.microsoft.com/office/drawing/2014/chart" uri="{C3380CC4-5D6E-409C-BE32-E72D297353CC}">
              <c16:uniqueId val="{00000003-74A6-4FD2-B86B-64B397923C64}"/>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max val="1600"/>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2"/>
        <c:delete val="1"/>
      </c:legendEntry>
      <c:legendEntry>
        <c:idx val="3"/>
        <c:delete val="1"/>
      </c:legendEntry>
      <c:layout>
        <c:manualLayout>
          <c:xMode val="edge"/>
          <c:yMode val="edge"/>
          <c:x val="0.63923114093730138"/>
          <c:y val="0.23606071960592573"/>
          <c:w val="0.1594598928651863"/>
          <c:h val="7.8581086378588919E-2"/>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20.xml"/><Relationship Id="rId13" Type="http://schemas.openxmlformats.org/officeDocument/2006/relationships/chart" Target="../charts/chart25.xml"/><Relationship Id="rId18" Type="http://schemas.openxmlformats.org/officeDocument/2006/relationships/chart" Target="../charts/chart30.xml"/><Relationship Id="rId3" Type="http://schemas.openxmlformats.org/officeDocument/2006/relationships/chart" Target="../charts/chart15.xml"/><Relationship Id="rId21" Type="http://schemas.openxmlformats.org/officeDocument/2006/relationships/chart" Target="../charts/chart33.xml"/><Relationship Id="rId7" Type="http://schemas.openxmlformats.org/officeDocument/2006/relationships/chart" Target="../charts/chart19.xml"/><Relationship Id="rId12" Type="http://schemas.openxmlformats.org/officeDocument/2006/relationships/chart" Target="../charts/chart24.xml"/><Relationship Id="rId17" Type="http://schemas.openxmlformats.org/officeDocument/2006/relationships/chart" Target="../charts/chart29.xml"/><Relationship Id="rId2" Type="http://schemas.openxmlformats.org/officeDocument/2006/relationships/chart" Target="../charts/chart14.xml"/><Relationship Id="rId16" Type="http://schemas.openxmlformats.org/officeDocument/2006/relationships/chart" Target="../charts/chart28.xml"/><Relationship Id="rId20" Type="http://schemas.openxmlformats.org/officeDocument/2006/relationships/chart" Target="../charts/chart32.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5" Type="http://schemas.openxmlformats.org/officeDocument/2006/relationships/chart" Target="../charts/chart17.xml"/><Relationship Id="rId15" Type="http://schemas.openxmlformats.org/officeDocument/2006/relationships/chart" Target="../charts/chart27.xml"/><Relationship Id="rId10" Type="http://schemas.openxmlformats.org/officeDocument/2006/relationships/chart" Target="../charts/chart22.xml"/><Relationship Id="rId19" Type="http://schemas.openxmlformats.org/officeDocument/2006/relationships/chart" Target="../charts/chart31.xml"/><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 Id="rId22" Type="http://schemas.openxmlformats.org/officeDocument/2006/relationships/chart" Target="../charts/chart3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7.xml"/><Relationship Id="rId18" Type="http://schemas.openxmlformats.org/officeDocument/2006/relationships/chart" Target="../charts/chart52.xml"/><Relationship Id="rId3" Type="http://schemas.openxmlformats.org/officeDocument/2006/relationships/chart" Target="../charts/chart37.xml"/><Relationship Id="rId7" Type="http://schemas.openxmlformats.org/officeDocument/2006/relationships/chart" Target="../charts/chart41.xml"/><Relationship Id="rId12" Type="http://schemas.openxmlformats.org/officeDocument/2006/relationships/chart" Target="../charts/chart46.xml"/><Relationship Id="rId17" Type="http://schemas.openxmlformats.org/officeDocument/2006/relationships/chart" Target="../charts/chart51.xml"/><Relationship Id="rId2" Type="http://schemas.openxmlformats.org/officeDocument/2006/relationships/chart" Target="../charts/chart36.xml"/><Relationship Id="rId16" Type="http://schemas.openxmlformats.org/officeDocument/2006/relationships/chart" Target="../charts/chart50.xml"/><Relationship Id="rId1" Type="http://schemas.openxmlformats.org/officeDocument/2006/relationships/chart" Target="../charts/chart35.xml"/><Relationship Id="rId6" Type="http://schemas.openxmlformats.org/officeDocument/2006/relationships/chart" Target="../charts/chart40.xml"/><Relationship Id="rId11" Type="http://schemas.openxmlformats.org/officeDocument/2006/relationships/chart" Target="../charts/chart45.xml"/><Relationship Id="rId5" Type="http://schemas.openxmlformats.org/officeDocument/2006/relationships/chart" Target="../charts/chart39.xml"/><Relationship Id="rId15" Type="http://schemas.openxmlformats.org/officeDocument/2006/relationships/chart" Target="../charts/chart49.xml"/><Relationship Id="rId10" Type="http://schemas.openxmlformats.org/officeDocument/2006/relationships/chart" Target="../charts/chart44.xml"/><Relationship Id="rId19" Type="http://schemas.openxmlformats.org/officeDocument/2006/relationships/chart" Target="../charts/chart53.xml"/><Relationship Id="rId4" Type="http://schemas.openxmlformats.org/officeDocument/2006/relationships/chart" Target="../charts/chart38.xml"/><Relationship Id="rId9" Type="http://schemas.openxmlformats.org/officeDocument/2006/relationships/chart" Target="../charts/chart43.xml"/><Relationship Id="rId14" Type="http://schemas.openxmlformats.org/officeDocument/2006/relationships/chart" Target="../charts/chart48.xml"/></Relationships>
</file>

<file path=xl/drawings/_rels/drawing4.xml.rels><?xml version="1.0" encoding="UTF-8" standalone="yes"?>
<Relationships xmlns="http://schemas.openxmlformats.org/package/2006/relationships"><Relationship Id="rId8" Type="http://schemas.openxmlformats.org/officeDocument/2006/relationships/chart" Target="../charts/chart60.xml"/><Relationship Id="rId13" Type="http://schemas.openxmlformats.org/officeDocument/2006/relationships/chart" Target="../charts/chart65.xml"/><Relationship Id="rId18" Type="http://schemas.openxmlformats.org/officeDocument/2006/relationships/chart" Target="../charts/chart70.xml"/><Relationship Id="rId26" Type="http://schemas.openxmlformats.org/officeDocument/2006/relationships/chart" Target="../charts/chart78.xml"/><Relationship Id="rId39" Type="http://schemas.openxmlformats.org/officeDocument/2006/relationships/chart" Target="../charts/chart91.xml"/><Relationship Id="rId3" Type="http://schemas.openxmlformats.org/officeDocument/2006/relationships/chart" Target="../charts/chart55.xml"/><Relationship Id="rId21" Type="http://schemas.openxmlformats.org/officeDocument/2006/relationships/chart" Target="../charts/chart73.xml"/><Relationship Id="rId34" Type="http://schemas.openxmlformats.org/officeDocument/2006/relationships/chart" Target="../charts/chart86.xml"/><Relationship Id="rId7" Type="http://schemas.openxmlformats.org/officeDocument/2006/relationships/chart" Target="../charts/chart59.xml"/><Relationship Id="rId12" Type="http://schemas.openxmlformats.org/officeDocument/2006/relationships/chart" Target="../charts/chart64.xml"/><Relationship Id="rId17" Type="http://schemas.openxmlformats.org/officeDocument/2006/relationships/chart" Target="../charts/chart69.xml"/><Relationship Id="rId25" Type="http://schemas.openxmlformats.org/officeDocument/2006/relationships/chart" Target="../charts/chart77.xml"/><Relationship Id="rId33" Type="http://schemas.openxmlformats.org/officeDocument/2006/relationships/chart" Target="../charts/chart85.xml"/><Relationship Id="rId38" Type="http://schemas.openxmlformats.org/officeDocument/2006/relationships/chart" Target="../charts/chart90.xml"/><Relationship Id="rId2" Type="http://schemas.openxmlformats.org/officeDocument/2006/relationships/chart" Target="../charts/chart54.xml"/><Relationship Id="rId16" Type="http://schemas.openxmlformats.org/officeDocument/2006/relationships/chart" Target="../charts/chart68.xml"/><Relationship Id="rId20" Type="http://schemas.openxmlformats.org/officeDocument/2006/relationships/chart" Target="../charts/chart72.xml"/><Relationship Id="rId29" Type="http://schemas.openxmlformats.org/officeDocument/2006/relationships/chart" Target="../charts/chart81.xml"/><Relationship Id="rId1" Type="http://schemas.openxmlformats.org/officeDocument/2006/relationships/image" Target="../media/image1.png"/><Relationship Id="rId6" Type="http://schemas.openxmlformats.org/officeDocument/2006/relationships/chart" Target="../charts/chart58.xml"/><Relationship Id="rId11" Type="http://schemas.openxmlformats.org/officeDocument/2006/relationships/chart" Target="../charts/chart63.xml"/><Relationship Id="rId24" Type="http://schemas.openxmlformats.org/officeDocument/2006/relationships/chart" Target="../charts/chart76.xml"/><Relationship Id="rId32" Type="http://schemas.openxmlformats.org/officeDocument/2006/relationships/chart" Target="../charts/chart84.xml"/><Relationship Id="rId37" Type="http://schemas.openxmlformats.org/officeDocument/2006/relationships/chart" Target="../charts/chart89.xml"/><Relationship Id="rId40" Type="http://schemas.openxmlformats.org/officeDocument/2006/relationships/chart" Target="../charts/chart92.xml"/><Relationship Id="rId5" Type="http://schemas.openxmlformats.org/officeDocument/2006/relationships/chart" Target="../charts/chart57.xml"/><Relationship Id="rId15" Type="http://schemas.openxmlformats.org/officeDocument/2006/relationships/chart" Target="../charts/chart67.xml"/><Relationship Id="rId23" Type="http://schemas.openxmlformats.org/officeDocument/2006/relationships/chart" Target="../charts/chart75.xml"/><Relationship Id="rId28" Type="http://schemas.openxmlformats.org/officeDocument/2006/relationships/chart" Target="../charts/chart80.xml"/><Relationship Id="rId36" Type="http://schemas.openxmlformats.org/officeDocument/2006/relationships/chart" Target="../charts/chart88.xml"/><Relationship Id="rId10" Type="http://schemas.openxmlformats.org/officeDocument/2006/relationships/chart" Target="../charts/chart62.xml"/><Relationship Id="rId19" Type="http://schemas.openxmlformats.org/officeDocument/2006/relationships/chart" Target="../charts/chart71.xml"/><Relationship Id="rId31" Type="http://schemas.openxmlformats.org/officeDocument/2006/relationships/chart" Target="../charts/chart83.xml"/><Relationship Id="rId4" Type="http://schemas.openxmlformats.org/officeDocument/2006/relationships/chart" Target="../charts/chart56.xml"/><Relationship Id="rId9" Type="http://schemas.openxmlformats.org/officeDocument/2006/relationships/chart" Target="../charts/chart61.xml"/><Relationship Id="rId14" Type="http://schemas.openxmlformats.org/officeDocument/2006/relationships/chart" Target="../charts/chart66.xml"/><Relationship Id="rId22" Type="http://schemas.openxmlformats.org/officeDocument/2006/relationships/chart" Target="../charts/chart74.xml"/><Relationship Id="rId27" Type="http://schemas.openxmlformats.org/officeDocument/2006/relationships/chart" Target="../charts/chart79.xml"/><Relationship Id="rId30" Type="http://schemas.openxmlformats.org/officeDocument/2006/relationships/chart" Target="../charts/chart82.xml"/><Relationship Id="rId35" Type="http://schemas.openxmlformats.org/officeDocument/2006/relationships/chart" Target="../charts/chart87.xml"/></Relationships>
</file>

<file path=xl/drawings/drawing1.xml><?xml version="1.0" encoding="utf-8"?>
<xdr:wsDr xmlns:xdr="http://schemas.openxmlformats.org/drawingml/2006/spreadsheetDrawing" xmlns:a="http://schemas.openxmlformats.org/drawingml/2006/main">
  <xdr:twoCellAnchor>
    <xdr:from>
      <xdr:col>95</xdr:col>
      <xdr:colOff>560376</xdr:colOff>
      <xdr:row>0</xdr:row>
      <xdr:rowOff>0</xdr:rowOff>
    </xdr:from>
    <xdr:to>
      <xdr:col>109</xdr:col>
      <xdr:colOff>406690</xdr:colOff>
      <xdr:row>27</xdr:row>
      <xdr:rowOff>86011</xdr:rowOff>
    </xdr:to>
    <xdr:graphicFrame macro="">
      <xdr:nvGraphicFramePr>
        <xdr:cNvPr id="9" name="Chart 8">
          <a:extLst>
            <a:ext uri="{FF2B5EF4-FFF2-40B4-BE49-F238E27FC236}">
              <a16:creationId xmlns:a16="http://schemas.microsoft.com/office/drawing/2014/main" id="{C036394E-F508-401E-9355-77EF6CC014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81</xdr:col>
      <xdr:colOff>423448</xdr:colOff>
      <xdr:row>0</xdr:row>
      <xdr:rowOff>0</xdr:rowOff>
    </xdr:from>
    <xdr:to>
      <xdr:col>95</xdr:col>
      <xdr:colOff>269762</xdr:colOff>
      <xdr:row>27</xdr:row>
      <xdr:rowOff>86364</xdr:rowOff>
    </xdr:to>
    <xdr:graphicFrame macro="">
      <xdr:nvGraphicFramePr>
        <xdr:cNvPr id="10" name="Chart 9">
          <a:extLst>
            <a:ext uri="{FF2B5EF4-FFF2-40B4-BE49-F238E27FC236}">
              <a16:creationId xmlns:a16="http://schemas.microsoft.com/office/drawing/2014/main" id="{9EA9D895-9997-4A6A-BD84-FB44CBFF29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68</xdr:col>
      <xdr:colOff>18959</xdr:colOff>
      <xdr:row>2</xdr:row>
      <xdr:rowOff>98961</xdr:rowOff>
    </xdr:from>
    <xdr:to>
      <xdr:col>81</xdr:col>
      <xdr:colOff>510832</xdr:colOff>
      <xdr:row>30</xdr:row>
      <xdr:rowOff>49253</xdr:rowOff>
    </xdr:to>
    <xdr:graphicFrame macro="">
      <xdr:nvGraphicFramePr>
        <xdr:cNvPr id="14" name="Chart 13">
          <a:extLst>
            <a:ext uri="{FF2B5EF4-FFF2-40B4-BE49-F238E27FC236}">
              <a16:creationId xmlns:a16="http://schemas.microsoft.com/office/drawing/2014/main" id="{F9203614-6FCE-45AB-8209-2EC834BFA5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61</xdr:col>
      <xdr:colOff>37562</xdr:colOff>
      <xdr:row>99</xdr:row>
      <xdr:rowOff>66310</xdr:rowOff>
    </xdr:from>
    <xdr:to>
      <xdr:col>77</xdr:col>
      <xdr:colOff>197948</xdr:colOff>
      <xdr:row>127</xdr:row>
      <xdr:rowOff>24888</xdr:rowOff>
    </xdr:to>
    <xdr:graphicFrame macro="">
      <xdr:nvGraphicFramePr>
        <xdr:cNvPr id="15" name="Chart 14">
          <a:extLst>
            <a:ext uri="{FF2B5EF4-FFF2-40B4-BE49-F238E27FC236}">
              <a16:creationId xmlns:a16="http://schemas.microsoft.com/office/drawing/2014/main" id="{9B00E2A9-C898-4664-949A-C9EC9D44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81</xdr:col>
      <xdr:colOff>311169</xdr:colOff>
      <xdr:row>69</xdr:row>
      <xdr:rowOff>88262</xdr:rowOff>
    </xdr:from>
    <xdr:to>
      <xdr:col>95</xdr:col>
      <xdr:colOff>112466</xdr:colOff>
      <xdr:row>97</xdr:row>
      <xdr:rowOff>102517</xdr:rowOff>
    </xdr:to>
    <xdr:graphicFrame macro="">
      <xdr:nvGraphicFramePr>
        <xdr:cNvPr id="7" name="Chart 6">
          <a:extLst>
            <a:ext uri="{FF2B5EF4-FFF2-40B4-BE49-F238E27FC236}">
              <a16:creationId xmlns:a16="http://schemas.microsoft.com/office/drawing/2014/main" id="{65A9A9F0-9ACC-4503-B0F0-494FA6EACF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95</xdr:col>
      <xdr:colOff>205415</xdr:colOff>
      <xdr:row>68</xdr:row>
      <xdr:rowOff>17051</xdr:rowOff>
    </xdr:from>
    <xdr:to>
      <xdr:col>108</xdr:col>
      <xdr:colOff>602928</xdr:colOff>
      <xdr:row>96</xdr:row>
      <xdr:rowOff>31306</xdr:rowOff>
    </xdr:to>
    <xdr:graphicFrame macro="">
      <xdr:nvGraphicFramePr>
        <xdr:cNvPr id="11" name="Chart 10">
          <a:extLst>
            <a:ext uri="{FF2B5EF4-FFF2-40B4-BE49-F238E27FC236}">
              <a16:creationId xmlns:a16="http://schemas.microsoft.com/office/drawing/2014/main" id="{8C4678F4-ADCA-439F-85AD-E7AB33BA80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82</xdr:col>
      <xdr:colOff>151644</xdr:colOff>
      <xdr:row>39</xdr:row>
      <xdr:rowOff>7604</xdr:rowOff>
    </xdr:from>
    <xdr:to>
      <xdr:col>95</xdr:col>
      <xdr:colOff>550007</xdr:colOff>
      <xdr:row>65</xdr:row>
      <xdr:rowOff>74350</xdr:rowOff>
    </xdr:to>
    <xdr:graphicFrame macro="">
      <xdr:nvGraphicFramePr>
        <xdr:cNvPr id="12" name="Chart 11">
          <a:extLst>
            <a:ext uri="{FF2B5EF4-FFF2-40B4-BE49-F238E27FC236}">
              <a16:creationId xmlns:a16="http://schemas.microsoft.com/office/drawing/2014/main" id="{965E0C48-93DF-47A2-9769-13C580180E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96</xdr:col>
      <xdr:colOff>266364</xdr:colOff>
      <xdr:row>38</xdr:row>
      <xdr:rowOff>37136</xdr:rowOff>
    </xdr:from>
    <xdr:to>
      <xdr:col>110</xdr:col>
      <xdr:colOff>65320</xdr:colOff>
      <xdr:row>64</xdr:row>
      <xdr:rowOff>110296</xdr:rowOff>
    </xdr:to>
    <xdr:graphicFrame macro="">
      <xdr:nvGraphicFramePr>
        <xdr:cNvPr id="17" name="Chart 16">
          <a:extLst>
            <a:ext uri="{FF2B5EF4-FFF2-40B4-BE49-F238E27FC236}">
              <a16:creationId xmlns:a16="http://schemas.microsoft.com/office/drawing/2014/main" id="{8ECEB598-2177-494E-BDCA-8156D2F404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1038708</xdr:colOff>
      <xdr:row>17</xdr:row>
      <xdr:rowOff>148041</xdr:rowOff>
    </xdr:from>
    <xdr:to>
      <xdr:col>35</xdr:col>
      <xdr:colOff>137838</xdr:colOff>
      <xdr:row>50</xdr:row>
      <xdr:rowOff>97635</xdr:rowOff>
    </xdr:to>
    <xdr:graphicFrame macro="">
      <xdr:nvGraphicFramePr>
        <xdr:cNvPr id="4" name="Chart 3">
          <a:extLst>
            <a:ext uri="{FF2B5EF4-FFF2-40B4-BE49-F238E27FC236}">
              <a16:creationId xmlns:a16="http://schemas.microsoft.com/office/drawing/2014/main" id="{C87907C8-898D-4829-9980-A09F994134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825099</xdr:colOff>
      <xdr:row>51</xdr:row>
      <xdr:rowOff>9700</xdr:rowOff>
    </xdr:from>
    <xdr:to>
      <xdr:col>34</xdr:col>
      <xdr:colOff>1189325</xdr:colOff>
      <xdr:row>83</xdr:row>
      <xdr:rowOff>31686</xdr:rowOff>
    </xdr:to>
    <xdr:graphicFrame macro="">
      <xdr:nvGraphicFramePr>
        <xdr:cNvPr id="13" name="Chart 12">
          <a:extLst>
            <a:ext uri="{FF2B5EF4-FFF2-40B4-BE49-F238E27FC236}">
              <a16:creationId xmlns:a16="http://schemas.microsoft.com/office/drawing/2014/main" id="{7A0A159A-DB8B-4A84-9A39-639C363180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63</xdr:col>
      <xdr:colOff>185815</xdr:colOff>
      <xdr:row>30</xdr:row>
      <xdr:rowOff>146453</xdr:rowOff>
    </xdr:from>
    <xdr:to>
      <xdr:col>79</xdr:col>
      <xdr:colOff>220690</xdr:colOff>
      <xdr:row>62</xdr:row>
      <xdr:rowOff>58975</xdr:rowOff>
    </xdr:to>
    <xdr:graphicFrame macro="">
      <xdr:nvGraphicFramePr>
        <xdr:cNvPr id="19" name="Chart 18">
          <a:extLst>
            <a:ext uri="{FF2B5EF4-FFF2-40B4-BE49-F238E27FC236}">
              <a16:creationId xmlns:a16="http://schemas.microsoft.com/office/drawing/2014/main" id="{C0F29CBF-2060-43D1-86FA-62E13D053E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50</xdr:col>
      <xdr:colOff>1689274</xdr:colOff>
      <xdr:row>30</xdr:row>
      <xdr:rowOff>133086</xdr:rowOff>
    </xdr:from>
    <xdr:to>
      <xdr:col>59</xdr:col>
      <xdr:colOff>14836</xdr:colOff>
      <xdr:row>61</xdr:row>
      <xdr:rowOff>169799</xdr:rowOff>
    </xdr:to>
    <xdr:graphicFrame macro="">
      <xdr:nvGraphicFramePr>
        <xdr:cNvPr id="20" name="Chart 19">
          <a:extLst>
            <a:ext uri="{FF2B5EF4-FFF2-40B4-BE49-F238E27FC236}">
              <a16:creationId xmlns:a16="http://schemas.microsoft.com/office/drawing/2014/main" id="{4D15D8F1-937C-4C48-8CD9-7E7156ECDC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571501</xdr:colOff>
      <xdr:row>210</xdr:row>
      <xdr:rowOff>129269</xdr:rowOff>
    </xdr:from>
    <xdr:to>
      <xdr:col>9</xdr:col>
      <xdr:colOff>1191032</xdr:colOff>
      <xdr:row>237</xdr:row>
      <xdr:rowOff>64445</xdr:rowOff>
    </xdr:to>
    <xdr:graphicFrame macro="">
      <xdr:nvGraphicFramePr>
        <xdr:cNvPr id="2" name="Chart 1">
          <a:extLst>
            <a:ext uri="{FF2B5EF4-FFF2-40B4-BE49-F238E27FC236}">
              <a16:creationId xmlns:a16="http://schemas.microsoft.com/office/drawing/2014/main" id="{11DFA8B0-1922-4836-95F4-A1E7FE8B32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692373</xdr:colOff>
      <xdr:row>209</xdr:row>
      <xdr:rowOff>148506</xdr:rowOff>
    </xdr:from>
    <xdr:to>
      <xdr:col>15</xdr:col>
      <xdr:colOff>577660</xdr:colOff>
      <xdr:row>236</xdr:row>
      <xdr:rowOff>81416</xdr:rowOff>
    </xdr:to>
    <xdr:graphicFrame macro="">
      <xdr:nvGraphicFramePr>
        <xdr:cNvPr id="3" name="Chart 2">
          <a:extLst>
            <a:ext uri="{FF2B5EF4-FFF2-40B4-BE49-F238E27FC236}">
              <a16:creationId xmlns:a16="http://schemas.microsoft.com/office/drawing/2014/main" id="{C35CE98B-6652-45F2-9869-061AA88F26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57803</xdr:colOff>
      <xdr:row>210</xdr:row>
      <xdr:rowOff>172302</xdr:rowOff>
    </xdr:from>
    <xdr:to>
      <xdr:col>35</xdr:col>
      <xdr:colOff>450227</xdr:colOff>
      <xdr:row>237</xdr:row>
      <xdr:rowOff>105212</xdr:rowOff>
    </xdr:to>
    <xdr:graphicFrame macro="">
      <xdr:nvGraphicFramePr>
        <xdr:cNvPr id="5" name="Chart 4">
          <a:extLst>
            <a:ext uri="{FF2B5EF4-FFF2-40B4-BE49-F238E27FC236}">
              <a16:creationId xmlns:a16="http://schemas.microsoft.com/office/drawing/2014/main" id="{F8609A9A-6005-47CD-97FB-C43A595E94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521315</xdr:colOff>
      <xdr:row>348</xdr:row>
      <xdr:rowOff>69645</xdr:rowOff>
    </xdr:from>
    <xdr:to>
      <xdr:col>10</xdr:col>
      <xdr:colOff>125504</xdr:colOff>
      <xdr:row>377</xdr:row>
      <xdr:rowOff>140472</xdr:rowOff>
    </xdr:to>
    <xdr:graphicFrame macro="">
      <xdr:nvGraphicFramePr>
        <xdr:cNvPr id="6" name="Chart 5">
          <a:extLst>
            <a:ext uri="{FF2B5EF4-FFF2-40B4-BE49-F238E27FC236}">
              <a16:creationId xmlns:a16="http://schemas.microsoft.com/office/drawing/2014/main" id="{61951ECF-8499-4968-AA7C-9F33C268EB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2922934</xdr:colOff>
      <xdr:row>355</xdr:row>
      <xdr:rowOff>119861</xdr:rowOff>
    </xdr:from>
    <xdr:to>
      <xdr:col>16</xdr:col>
      <xdr:colOff>512382</xdr:colOff>
      <xdr:row>384</xdr:row>
      <xdr:rowOff>186309</xdr:rowOff>
    </xdr:to>
    <xdr:graphicFrame macro="">
      <xdr:nvGraphicFramePr>
        <xdr:cNvPr id="7" name="Chart 6">
          <a:extLst>
            <a:ext uri="{FF2B5EF4-FFF2-40B4-BE49-F238E27FC236}">
              <a16:creationId xmlns:a16="http://schemas.microsoft.com/office/drawing/2014/main" id="{6D13B9A3-EAA4-47C8-A0FC-F846995FA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1581830</xdr:colOff>
      <xdr:row>415</xdr:row>
      <xdr:rowOff>34018</xdr:rowOff>
    </xdr:from>
    <xdr:to>
      <xdr:col>9</xdr:col>
      <xdr:colOff>859565</xdr:colOff>
      <xdr:row>444</xdr:row>
      <xdr:rowOff>100465</xdr:rowOff>
    </xdr:to>
    <xdr:graphicFrame macro="">
      <xdr:nvGraphicFramePr>
        <xdr:cNvPr id="8" name="Chart 7">
          <a:extLst>
            <a:ext uri="{FF2B5EF4-FFF2-40B4-BE49-F238E27FC236}">
              <a16:creationId xmlns:a16="http://schemas.microsoft.com/office/drawing/2014/main" id="{5B8801F0-2E77-446D-A9C0-DFC6B3A7D6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453668</xdr:colOff>
      <xdr:row>357</xdr:row>
      <xdr:rowOff>136072</xdr:rowOff>
    </xdr:from>
    <xdr:to>
      <xdr:col>35</xdr:col>
      <xdr:colOff>213108</xdr:colOff>
      <xdr:row>387</xdr:row>
      <xdr:rowOff>16967</xdr:rowOff>
    </xdr:to>
    <xdr:graphicFrame macro="">
      <xdr:nvGraphicFramePr>
        <xdr:cNvPr id="9" name="Chart 8">
          <a:extLst>
            <a:ext uri="{FF2B5EF4-FFF2-40B4-BE49-F238E27FC236}">
              <a16:creationId xmlns:a16="http://schemas.microsoft.com/office/drawing/2014/main" id="{2B142A84-F6B0-4964-A48C-DBD85CC690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254307</xdr:colOff>
      <xdr:row>386</xdr:row>
      <xdr:rowOff>160236</xdr:rowOff>
    </xdr:from>
    <xdr:to>
      <xdr:col>35</xdr:col>
      <xdr:colOff>13747</xdr:colOff>
      <xdr:row>416</xdr:row>
      <xdr:rowOff>38399</xdr:rowOff>
    </xdr:to>
    <xdr:graphicFrame macro="">
      <xdr:nvGraphicFramePr>
        <xdr:cNvPr id="10" name="Chart 9">
          <a:extLst>
            <a:ext uri="{FF2B5EF4-FFF2-40B4-BE49-F238E27FC236}">
              <a16:creationId xmlns:a16="http://schemas.microsoft.com/office/drawing/2014/main" id="{B6C29E4B-4D28-4263-88FF-0685900D4A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1682338</xdr:colOff>
      <xdr:row>416</xdr:row>
      <xdr:rowOff>173182</xdr:rowOff>
    </xdr:from>
    <xdr:to>
      <xdr:col>24</xdr:col>
      <xdr:colOff>223464</xdr:colOff>
      <xdr:row>446</xdr:row>
      <xdr:rowOff>54077</xdr:rowOff>
    </xdr:to>
    <xdr:graphicFrame macro="">
      <xdr:nvGraphicFramePr>
        <xdr:cNvPr id="11" name="Chart 10">
          <a:extLst>
            <a:ext uri="{FF2B5EF4-FFF2-40B4-BE49-F238E27FC236}">
              <a16:creationId xmlns:a16="http://schemas.microsoft.com/office/drawing/2014/main" id="{31E46690-52B0-4788-9182-6CF865F560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25</xdr:col>
      <xdr:colOff>549519</xdr:colOff>
      <xdr:row>356</xdr:row>
      <xdr:rowOff>195384</xdr:rowOff>
    </xdr:from>
    <xdr:to>
      <xdr:col>42</xdr:col>
      <xdr:colOff>299587</xdr:colOff>
      <xdr:row>386</xdr:row>
      <xdr:rowOff>76278</xdr:rowOff>
    </xdr:to>
    <xdr:graphicFrame macro="">
      <xdr:nvGraphicFramePr>
        <xdr:cNvPr id="12" name="Chart 11">
          <a:extLst>
            <a:ext uri="{FF2B5EF4-FFF2-40B4-BE49-F238E27FC236}">
              <a16:creationId xmlns:a16="http://schemas.microsoft.com/office/drawing/2014/main" id="{C428EA99-3BCD-45E4-BDAB-B8D1AD1C39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27</xdr:col>
      <xdr:colOff>0</xdr:colOff>
      <xdr:row>391</xdr:row>
      <xdr:rowOff>0</xdr:rowOff>
    </xdr:from>
    <xdr:to>
      <xdr:col>43</xdr:col>
      <xdr:colOff>360645</xdr:colOff>
      <xdr:row>420</xdr:row>
      <xdr:rowOff>85804</xdr:rowOff>
    </xdr:to>
    <xdr:graphicFrame macro="">
      <xdr:nvGraphicFramePr>
        <xdr:cNvPr id="13" name="Chart 12">
          <a:extLst>
            <a:ext uri="{FF2B5EF4-FFF2-40B4-BE49-F238E27FC236}">
              <a16:creationId xmlns:a16="http://schemas.microsoft.com/office/drawing/2014/main" id="{392692B2-10DC-4FB2-9195-9262AFBA4E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26</xdr:col>
      <xdr:colOff>537308</xdr:colOff>
      <xdr:row>421</xdr:row>
      <xdr:rowOff>134327</xdr:rowOff>
    </xdr:from>
    <xdr:to>
      <xdr:col>43</xdr:col>
      <xdr:colOff>287376</xdr:colOff>
      <xdr:row>451</xdr:row>
      <xdr:rowOff>15222</xdr:rowOff>
    </xdr:to>
    <xdr:graphicFrame macro="">
      <xdr:nvGraphicFramePr>
        <xdr:cNvPr id="14" name="Chart 13">
          <a:extLst>
            <a:ext uri="{FF2B5EF4-FFF2-40B4-BE49-F238E27FC236}">
              <a16:creationId xmlns:a16="http://schemas.microsoft.com/office/drawing/2014/main" id="{99B25396-8491-40E2-9664-10BEF208AB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67</xdr:col>
      <xdr:colOff>283029</xdr:colOff>
      <xdr:row>314</xdr:row>
      <xdr:rowOff>0</xdr:rowOff>
    </xdr:from>
    <xdr:to>
      <xdr:col>84</xdr:col>
      <xdr:colOff>62404</xdr:colOff>
      <xdr:row>343</xdr:row>
      <xdr:rowOff>71396</xdr:rowOff>
    </xdr:to>
    <xdr:graphicFrame macro="">
      <xdr:nvGraphicFramePr>
        <xdr:cNvPr id="15" name="Chart 14">
          <a:extLst>
            <a:ext uri="{FF2B5EF4-FFF2-40B4-BE49-F238E27FC236}">
              <a16:creationId xmlns:a16="http://schemas.microsoft.com/office/drawing/2014/main" id="{10EC8F60-18AE-4E98-8EA5-626A8E66BF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67</xdr:col>
      <xdr:colOff>276835</xdr:colOff>
      <xdr:row>345</xdr:row>
      <xdr:rowOff>98535</xdr:rowOff>
    </xdr:from>
    <xdr:to>
      <xdr:col>84</xdr:col>
      <xdr:colOff>56212</xdr:colOff>
      <xdr:row>374</xdr:row>
      <xdr:rowOff>169930</xdr:rowOff>
    </xdr:to>
    <xdr:graphicFrame macro="">
      <xdr:nvGraphicFramePr>
        <xdr:cNvPr id="16" name="Chart 15">
          <a:extLst>
            <a:ext uri="{FF2B5EF4-FFF2-40B4-BE49-F238E27FC236}">
              <a16:creationId xmlns:a16="http://schemas.microsoft.com/office/drawing/2014/main" id="{0576FCF0-6C07-438E-96E4-A3588A7AD9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68</xdr:col>
      <xdr:colOff>115739</xdr:colOff>
      <xdr:row>375</xdr:row>
      <xdr:rowOff>31281</xdr:rowOff>
    </xdr:from>
    <xdr:to>
      <xdr:col>84</xdr:col>
      <xdr:colOff>484758</xdr:colOff>
      <xdr:row>404</xdr:row>
      <xdr:rowOff>102677</xdr:rowOff>
    </xdr:to>
    <xdr:graphicFrame macro="">
      <xdr:nvGraphicFramePr>
        <xdr:cNvPr id="17" name="Chart 16">
          <a:extLst>
            <a:ext uri="{FF2B5EF4-FFF2-40B4-BE49-F238E27FC236}">
              <a16:creationId xmlns:a16="http://schemas.microsoft.com/office/drawing/2014/main" id="{8F2B2546-6D09-42B2-826B-404D5D31A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68</xdr:col>
      <xdr:colOff>167352</xdr:colOff>
      <xdr:row>405</xdr:row>
      <xdr:rowOff>18767</xdr:rowOff>
    </xdr:from>
    <xdr:to>
      <xdr:col>84</xdr:col>
      <xdr:colOff>536371</xdr:colOff>
      <xdr:row>434</xdr:row>
      <xdr:rowOff>90163</xdr:rowOff>
    </xdr:to>
    <xdr:graphicFrame macro="">
      <xdr:nvGraphicFramePr>
        <xdr:cNvPr id="18" name="Chart 17">
          <a:extLst>
            <a:ext uri="{FF2B5EF4-FFF2-40B4-BE49-F238E27FC236}">
              <a16:creationId xmlns:a16="http://schemas.microsoft.com/office/drawing/2014/main" id="{E2349F79-BFE4-44B6-8EA9-1EA16285C8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84</xdr:col>
      <xdr:colOff>586155</xdr:colOff>
      <xdr:row>314</xdr:row>
      <xdr:rowOff>170961</xdr:rowOff>
    </xdr:from>
    <xdr:to>
      <xdr:col>101</xdr:col>
      <xdr:colOff>368206</xdr:colOff>
      <xdr:row>344</xdr:row>
      <xdr:rowOff>46972</xdr:rowOff>
    </xdr:to>
    <xdr:graphicFrame macro="">
      <xdr:nvGraphicFramePr>
        <xdr:cNvPr id="19" name="Chart 18">
          <a:extLst>
            <a:ext uri="{FF2B5EF4-FFF2-40B4-BE49-F238E27FC236}">
              <a16:creationId xmlns:a16="http://schemas.microsoft.com/office/drawing/2014/main" id="{3A7599CA-236A-437D-8FBE-9095C02C0E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85</xdr:col>
      <xdr:colOff>45836</xdr:colOff>
      <xdr:row>345</xdr:row>
      <xdr:rowOff>153229</xdr:rowOff>
    </xdr:from>
    <xdr:to>
      <xdr:col>101</xdr:col>
      <xdr:colOff>438466</xdr:colOff>
      <xdr:row>375</xdr:row>
      <xdr:rowOff>29240</xdr:rowOff>
    </xdr:to>
    <xdr:graphicFrame macro="">
      <xdr:nvGraphicFramePr>
        <xdr:cNvPr id="20" name="Chart 19">
          <a:extLst>
            <a:ext uri="{FF2B5EF4-FFF2-40B4-BE49-F238E27FC236}">
              <a16:creationId xmlns:a16="http://schemas.microsoft.com/office/drawing/2014/main" id="{A126DE7B-8EC9-4D65-855B-06075F10C1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85</xdr:col>
      <xdr:colOff>174594</xdr:colOff>
      <xdr:row>377</xdr:row>
      <xdr:rowOff>34835</xdr:rowOff>
    </xdr:from>
    <xdr:to>
      <xdr:col>101</xdr:col>
      <xdr:colOff>549907</xdr:colOff>
      <xdr:row>406</xdr:row>
      <xdr:rowOff>106231</xdr:rowOff>
    </xdr:to>
    <xdr:graphicFrame macro="">
      <xdr:nvGraphicFramePr>
        <xdr:cNvPr id="21" name="Chart 20">
          <a:extLst>
            <a:ext uri="{FF2B5EF4-FFF2-40B4-BE49-F238E27FC236}">
              <a16:creationId xmlns:a16="http://schemas.microsoft.com/office/drawing/2014/main" id="{952CEDA5-1FF3-4A1B-AE3E-E727BD9DC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85</xdr:col>
      <xdr:colOff>325244</xdr:colOff>
      <xdr:row>407</xdr:row>
      <xdr:rowOff>69696</xdr:rowOff>
    </xdr:from>
    <xdr:to>
      <xdr:col>102</xdr:col>
      <xdr:colOff>90237</xdr:colOff>
      <xdr:row>436</xdr:row>
      <xdr:rowOff>141092</xdr:rowOff>
    </xdr:to>
    <xdr:graphicFrame macro="">
      <xdr:nvGraphicFramePr>
        <xdr:cNvPr id="22" name="Chart 21">
          <a:extLst>
            <a:ext uri="{FF2B5EF4-FFF2-40B4-BE49-F238E27FC236}">
              <a16:creationId xmlns:a16="http://schemas.microsoft.com/office/drawing/2014/main" id="{08ABEA36-9987-4623-9B0A-79B0102913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11</xdr:col>
      <xdr:colOff>35003</xdr:colOff>
      <xdr:row>470</xdr:row>
      <xdr:rowOff>140697</xdr:rowOff>
    </xdr:from>
    <xdr:to>
      <xdr:col>29</xdr:col>
      <xdr:colOff>422810</xdr:colOff>
      <xdr:row>506</xdr:row>
      <xdr:rowOff>92653</xdr:rowOff>
    </xdr:to>
    <xdr:graphicFrame macro="">
      <xdr:nvGraphicFramePr>
        <xdr:cNvPr id="4" name="Chart 3">
          <a:extLst>
            <a:ext uri="{FF2B5EF4-FFF2-40B4-BE49-F238E27FC236}">
              <a16:creationId xmlns:a16="http://schemas.microsoft.com/office/drawing/2014/main" id="{C8F4977D-A5AC-4482-9E64-64D02FE688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4</xdr:col>
      <xdr:colOff>348446</xdr:colOff>
      <xdr:row>484</xdr:row>
      <xdr:rowOff>71160</xdr:rowOff>
    </xdr:from>
    <xdr:to>
      <xdr:col>8</xdr:col>
      <xdr:colOff>538843</xdr:colOff>
      <xdr:row>511</xdr:row>
      <xdr:rowOff>54149</xdr:rowOff>
    </xdr:to>
    <xdr:graphicFrame macro="">
      <xdr:nvGraphicFramePr>
        <xdr:cNvPr id="23" name="Chart 22">
          <a:extLst>
            <a:ext uri="{FF2B5EF4-FFF2-40B4-BE49-F238E27FC236}">
              <a16:creationId xmlns:a16="http://schemas.microsoft.com/office/drawing/2014/main" id="{D03ABB7B-6D93-4145-B4DC-1CD8F715F7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267966</xdr:colOff>
      <xdr:row>146</xdr:row>
      <xdr:rowOff>32318</xdr:rowOff>
    </xdr:from>
    <xdr:to>
      <xdr:col>8</xdr:col>
      <xdr:colOff>233582</xdr:colOff>
      <xdr:row>173</xdr:row>
      <xdr:rowOff>107277</xdr:rowOff>
    </xdr:to>
    <xdr:graphicFrame macro="">
      <xdr:nvGraphicFramePr>
        <xdr:cNvPr id="2" name="Chart 1">
          <a:extLst>
            <a:ext uri="{FF2B5EF4-FFF2-40B4-BE49-F238E27FC236}">
              <a16:creationId xmlns:a16="http://schemas.microsoft.com/office/drawing/2014/main" id="{FD547819-C0D8-4C28-B561-6F6966FBC1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344914</xdr:colOff>
      <xdr:row>144</xdr:row>
      <xdr:rowOff>81066</xdr:rowOff>
    </xdr:from>
    <xdr:to>
      <xdr:col>21</xdr:col>
      <xdr:colOff>336154</xdr:colOff>
      <xdr:row>171</xdr:row>
      <xdr:rowOff>156025</xdr:rowOff>
    </xdr:to>
    <xdr:graphicFrame macro="">
      <xdr:nvGraphicFramePr>
        <xdr:cNvPr id="4" name="Chart 3">
          <a:extLst>
            <a:ext uri="{FF2B5EF4-FFF2-40B4-BE49-F238E27FC236}">
              <a16:creationId xmlns:a16="http://schemas.microsoft.com/office/drawing/2014/main" id="{81241D27-127F-4895-B065-169FD7133F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217056</xdr:colOff>
      <xdr:row>146</xdr:row>
      <xdr:rowOff>174629</xdr:rowOff>
    </xdr:from>
    <xdr:to>
      <xdr:col>35</xdr:col>
      <xdr:colOff>242502</xdr:colOff>
      <xdr:row>174</xdr:row>
      <xdr:rowOff>34952</xdr:rowOff>
    </xdr:to>
    <xdr:graphicFrame macro="">
      <xdr:nvGraphicFramePr>
        <xdr:cNvPr id="5" name="Chart 4">
          <a:extLst>
            <a:ext uri="{FF2B5EF4-FFF2-40B4-BE49-F238E27FC236}">
              <a16:creationId xmlns:a16="http://schemas.microsoft.com/office/drawing/2014/main" id="{1171B806-E7FC-4F84-AF6E-5BF8AD8EA9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1788622</xdr:colOff>
      <xdr:row>173</xdr:row>
      <xdr:rowOff>202271</xdr:rowOff>
    </xdr:from>
    <xdr:to>
      <xdr:col>7</xdr:col>
      <xdr:colOff>529574</xdr:colOff>
      <xdr:row>200</xdr:row>
      <xdr:rowOff>39481</xdr:rowOff>
    </xdr:to>
    <xdr:graphicFrame macro="">
      <xdr:nvGraphicFramePr>
        <xdr:cNvPr id="7" name="Chart 6">
          <a:extLst>
            <a:ext uri="{FF2B5EF4-FFF2-40B4-BE49-F238E27FC236}">
              <a16:creationId xmlns:a16="http://schemas.microsoft.com/office/drawing/2014/main" id="{6C541D9E-76BC-4A7B-9189-A6EE014C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380865</xdr:colOff>
      <xdr:row>174</xdr:row>
      <xdr:rowOff>106797</xdr:rowOff>
    </xdr:from>
    <xdr:to>
      <xdr:col>21</xdr:col>
      <xdr:colOff>398650</xdr:colOff>
      <xdr:row>200</xdr:row>
      <xdr:rowOff>148114</xdr:rowOff>
    </xdr:to>
    <xdr:graphicFrame macro="">
      <xdr:nvGraphicFramePr>
        <xdr:cNvPr id="8" name="Chart 7">
          <a:extLst>
            <a:ext uri="{FF2B5EF4-FFF2-40B4-BE49-F238E27FC236}">
              <a16:creationId xmlns:a16="http://schemas.microsoft.com/office/drawing/2014/main" id="{FA483593-36E1-4B77-B0A6-D657EFD0DA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127390</xdr:colOff>
      <xdr:row>173</xdr:row>
      <xdr:rowOff>181906</xdr:rowOff>
    </xdr:from>
    <xdr:to>
      <xdr:col>35</xdr:col>
      <xdr:colOff>203857</xdr:colOff>
      <xdr:row>199</xdr:row>
      <xdr:rowOff>197709</xdr:rowOff>
    </xdr:to>
    <xdr:graphicFrame macro="">
      <xdr:nvGraphicFramePr>
        <xdr:cNvPr id="9" name="Chart 8">
          <a:extLst>
            <a:ext uri="{FF2B5EF4-FFF2-40B4-BE49-F238E27FC236}">
              <a16:creationId xmlns:a16="http://schemas.microsoft.com/office/drawing/2014/main" id="{46C34E09-E262-466A-8A93-CC7DD55E3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46</xdr:col>
      <xdr:colOff>494550</xdr:colOff>
      <xdr:row>44</xdr:row>
      <xdr:rowOff>123501</xdr:rowOff>
    </xdr:from>
    <xdr:to>
      <xdr:col>60</xdr:col>
      <xdr:colOff>489929</xdr:colOff>
      <xdr:row>71</xdr:row>
      <xdr:rowOff>109560</xdr:rowOff>
    </xdr:to>
    <xdr:graphicFrame macro="">
      <xdr:nvGraphicFramePr>
        <xdr:cNvPr id="10" name="Chart 9">
          <a:extLst>
            <a:ext uri="{FF2B5EF4-FFF2-40B4-BE49-F238E27FC236}">
              <a16:creationId xmlns:a16="http://schemas.microsoft.com/office/drawing/2014/main" id="{201A357E-A15B-4E06-916C-A83BC25DE6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32</xdr:col>
      <xdr:colOff>334784</xdr:colOff>
      <xdr:row>44</xdr:row>
      <xdr:rowOff>153842</xdr:rowOff>
    </xdr:from>
    <xdr:to>
      <xdr:col>46</xdr:col>
      <xdr:colOff>276588</xdr:colOff>
      <xdr:row>71</xdr:row>
      <xdr:rowOff>127995</xdr:rowOff>
    </xdr:to>
    <xdr:graphicFrame macro="">
      <xdr:nvGraphicFramePr>
        <xdr:cNvPr id="11" name="Chart 10">
          <a:extLst>
            <a:ext uri="{FF2B5EF4-FFF2-40B4-BE49-F238E27FC236}">
              <a16:creationId xmlns:a16="http://schemas.microsoft.com/office/drawing/2014/main" id="{C073FA1F-AE73-4003-909C-D36A95B05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61</xdr:col>
      <xdr:colOff>135714</xdr:colOff>
      <xdr:row>44</xdr:row>
      <xdr:rowOff>67958</xdr:rowOff>
    </xdr:from>
    <xdr:to>
      <xdr:col>75</xdr:col>
      <xdr:colOff>53110</xdr:colOff>
      <xdr:row>71</xdr:row>
      <xdr:rowOff>54017</xdr:rowOff>
    </xdr:to>
    <xdr:graphicFrame macro="">
      <xdr:nvGraphicFramePr>
        <xdr:cNvPr id="12" name="Chart 11">
          <a:extLst>
            <a:ext uri="{FF2B5EF4-FFF2-40B4-BE49-F238E27FC236}">
              <a16:creationId xmlns:a16="http://schemas.microsoft.com/office/drawing/2014/main" id="{D9A5D51F-899D-4A3D-AB07-73DE6046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29</xdr:col>
      <xdr:colOff>284950</xdr:colOff>
      <xdr:row>1</xdr:row>
      <xdr:rowOff>122903</xdr:rowOff>
    </xdr:from>
    <xdr:to>
      <xdr:col>43</xdr:col>
      <xdr:colOff>99540</xdr:colOff>
      <xdr:row>27</xdr:row>
      <xdr:rowOff>88322</xdr:rowOff>
    </xdr:to>
    <xdr:graphicFrame macro="">
      <xdr:nvGraphicFramePr>
        <xdr:cNvPr id="13" name="Chart 12">
          <a:extLst>
            <a:ext uri="{FF2B5EF4-FFF2-40B4-BE49-F238E27FC236}">
              <a16:creationId xmlns:a16="http://schemas.microsoft.com/office/drawing/2014/main" id="{BEFB7480-AF6D-4487-BD7F-523CF4725D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50</xdr:col>
      <xdr:colOff>190606</xdr:colOff>
      <xdr:row>5</xdr:row>
      <xdr:rowOff>156985</xdr:rowOff>
    </xdr:from>
    <xdr:to>
      <xdr:col>64</xdr:col>
      <xdr:colOff>102992</xdr:colOff>
      <xdr:row>30</xdr:row>
      <xdr:rowOff>146535</xdr:rowOff>
    </xdr:to>
    <xdr:graphicFrame macro="">
      <xdr:nvGraphicFramePr>
        <xdr:cNvPr id="14" name="Chart 13">
          <a:extLst>
            <a:ext uri="{FF2B5EF4-FFF2-40B4-BE49-F238E27FC236}">
              <a16:creationId xmlns:a16="http://schemas.microsoft.com/office/drawing/2014/main" id="{751A37D2-7F63-4F3D-B1D5-2A47308C77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64</xdr:col>
      <xdr:colOff>87123</xdr:colOff>
      <xdr:row>5</xdr:row>
      <xdr:rowOff>162670</xdr:rowOff>
    </xdr:from>
    <xdr:to>
      <xdr:col>77</xdr:col>
      <xdr:colOff>494479</xdr:colOff>
      <xdr:row>30</xdr:row>
      <xdr:rowOff>189944</xdr:rowOff>
    </xdr:to>
    <xdr:graphicFrame macro="">
      <xdr:nvGraphicFramePr>
        <xdr:cNvPr id="15" name="Chart 14">
          <a:extLst>
            <a:ext uri="{FF2B5EF4-FFF2-40B4-BE49-F238E27FC236}">
              <a16:creationId xmlns:a16="http://schemas.microsoft.com/office/drawing/2014/main" id="{7AD76108-D8BD-4C16-BDA5-EDDCBF67FF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32</xdr:col>
      <xdr:colOff>128586</xdr:colOff>
      <xdr:row>78</xdr:row>
      <xdr:rowOff>174409</xdr:rowOff>
    </xdr:from>
    <xdr:to>
      <xdr:col>46</xdr:col>
      <xdr:colOff>193114</xdr:colOff>
      <xdr:row>106</xdr:row>
      <xdr:rowOff>43985</xdr:rowOff>
    </xdr:to>
    <xdr:graphicFrame macro="">
      <xdr:nvGraphicFramePr>
        <xdr:cNvPr id="17" name="Chart 16">
          <a:extLst>
            <a:ext uri="{FF2B5EF4-FFF2-40B4-BE49-F238E27FC236}">
              <a16:creationId xmlns:a16="http://schemas.microsoft.com/office/drawing/2014/main" id="{64237DF0-BB71-4BB6-9852-B64E131574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46</xdr:col>
      <xdr:colOff>244147</xdr:colOff>
      <xdr:row>79</xdr:row>
      <xdr:rowOff>64355</xdr:rowOff>
    </xdr:from>
    <xdr:to>
      <xdr:col>60</xdr:col>
      <xdr:colOff>315172</xdr:colOff>
      <xdr:row>106</xdr:row>
      <xdr:rowOff>119505</xdr:rowOff>
    </xdr:to>
    <xdr:graphicFrame macro="">
      <xdr:nvGraphicFramePr>
        <xdr:cNvPr id="18" name="Chart 17">
          <a:extLst>
            <a:ext uri="{FF2B5EF4-FFF2-40B4-BE49-F238E27FC236}">
              <a16:creationId xmlns:a16="http://schemas.microsoft.com/office/drawing/2014/main" id="{69DDBD23-2C8A-4CCF-B960-E1AF69DFB0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60</xdr:col>
      <xdr:colOff>590072</xdr:colOff>
      <xdr:row>80</xdr:row>
      <xdr:rowOff>32909</xdr:rowOff>
    </xdr:from>
    <xdr:to>
      <xdr:col>75</xdr:col>
      <xdr:colOff>5261</xdr:colOff>
      <xdr:row>107</xdr:row>
      <xdr:rowOff>95961</xdr:rowOff>
    </xdr:to>
    <xdr:graphicFrame macro="">
      <xdr:nvGraphicFramePr>
        <xdr:cNvPr id="19" name="Chart 18">
          <a:extLst>
            <a:ext uri="{FF2B5EF4-FFF2-40B4-BE49-F238E27FC236}">
              <a16:creationId xmlns:a16="http://schemas.microsoft.com/office/drawing/2014/main" id="{595C7709-1BA0-46E4-B59C-FA2D66AF19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621788</xdr:colOff>
      <xdr:row>4</xdr:row>
      <xdr:rowOff>114102</xdr:rowOff>
    </xdr:from>
    <xdr:to>
      <xdr:col>8</xdr:col>
      <xdr:colOff>412526</xdr:colOff>
      <xdr:row>35</xdr:row>
      <xdr:rowOff>89659</xdr:rowOff>
    </xdr:to>
    <xdr:graphicFrame macro="">
      <xdr:nvGraphicFramePr>
        <xdr:cNvPr id="20" name="Chart 19">
          <a:extLst>
            <a:ext uri="{FF2B5EF4-FFF2-40B4-BE49-F238E27FC236}">
              <a16:creationId xmlns:a16="http://schemas.microsoft.com/office/drawing/2014/main" id="{D5D131E3-2244-4953-BDC3-AB82CD98CC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924430</xdr:colOff>
      <xdr:row>70</xdr:row>
      <xdr:rowOff>108025</xdr:rowOff>
    </xdr:from>
    <xdr:to>
      <xdr:col>22</xdr:col>
      <xdr:colOff>507647</xdr:colOff>
      <xdr:row>103</xdr:row>
      <xdr:rowOff>14567</xdr:rowOff>
    </xdr:to>
    <xdr:graphicFrame macro="">
      <xdr:nvGraphicFramePr>
        <xdr:cNvPr id="21" name="Chart 20">
          <a:extLst>
            <a:ext uri="{FF2B5EF4-FFF2-40B4-BE49-F238E27FC236}">
              <a16:creationId xmlns:a16="http://schemas.microsoft.com/office/drawing/2014/main" id="{4D2E8320-8978-4532-9E53-B4E9CBDB35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194251</xdr:colOff>
      <xdr:row>71</xdr:row>
      <xdr:rowOff>83552</xdr:rowOff>
    </xdr:from>
    <xdr:to>
      <xdr:col>10</xdr:col>
      <xdr:colOff>735263</xdr:colOff>
      <xdr:row>103</xdr:row>
      <xdr:rowOff>153588</xdr:rowOff>
    </xdr:to>
    <xdr:graphicFrame macro="">
      <xdr:nvGraphicFramePr>
        <xdr:cNvPr id="22" name="Chart 21">
          <a:extLst>
            <a:ext uri="{FF2B5EF4-FFF2-40B4-BE49-F238E27FC236}">
              <a16:creationId xmlns:a16="http://schemas.microsoft.com/office/drawing/2014/main" id="{1EC70CC3-07BA-4672-B874-8A727CB933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76</xdr:col>
      <xdr:colOff>581666</xdr:colOff>
      <xdr:row>42</xdr:row>
      <xdr:rowOff>94927</xdr:rowOff>
    </xdr:from>
    <xdr:to>
      <xdr:col>94</xdr:col>
      <xdr:colOff>305968</xdr:colOff>
      <xdr:row>71</xdr:row>
      <xdr:rowOff>148287</xdr:rowOff>
    </xdr:to>
    <xdr:graphicFrame macro="">
      <xdr:nvGraphicFramePr>
        <xdr:cNvPr id="23" name="Chart 22">
          <a:extLst>
            <a:ext uri="{FF2B5EF4-FFF2-40B4-BE49-F238E27FC236}">
              <a16:creationId xmlns:a16="http://schemas.microsoft.com/office/drawing/2014/main" id="{5AC21B60-817B-4E08-9BCE-FE11E2A1CC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325390</xdr:colOff>
      <xdr:row>66</xdr:row>
      <xdr:rowOff>59381</xdr:rowOff>
    </xdr:from>
    <xdr:to>
      <xdr:col>18</xdr:col>
      <xdr:colOff>1168</xdr:colOff>
      <xdr:row>98</xdr:row>
      <xdr:rowOff>95714</xdr:rowOff>
    </xdr:to>
    <xdr:pic>
      <xdr:nvPicPr>
        <xdr:cNvPr id="2" name="Picture 1">
          <a:extLst>
            <a:ext uri="{FF2B5EF4-FFF2-40B4-BE49-F238E27FC236}">
              <a16:creationId xmlns:a16="http://schemas.microsoft.com/office/drawing/2014/main" id="{909677BE-4916-48DA-9DA5-6F37115060A9}"/>
            </a:ext>
          </a:extLst>
        </xdr:cNvPr>
        <xdr:cNvPicPr>
          <a:picLocks noChangeAspect="1"/>
        </xdr:cNvPicPr>
      </xdr:nvPicPr>
      <xdr:blipFill>
        <a:blip xmlns:r="http://schemas.openxmlformats.org/officeDocument/2006/relationships" r:embed="rId1"/>
        <a:stretch>
          <a:fillRect/>
        </a:stretch>
      </xdr:blipFill>
      <xdr:spPr>
        <a:xfrm>
          <a:off x="8361026" y="12632381"/>
          <a:ext cx="8871733" cy="6132333"/>
        </a:xfrm>
        <a:prstGeom prst="rect">
          <a:avLst/>
        </a:prstGeom>
      </xdr:spPr>
    </xdr:pic>
    <xdr:clientData/>
  </xdr:twoCellAnchor>
  <xdr:twoCellAnchor>
    <xdr:from>
      <xdr:col>64</xdr:col>
      <xdr:colOff>466730</xdr:colOff>
      <xdr:row>259</xdr:row>
      <xdr:rowOff>42782</xdr:rowOff>
    </xdr:from>
    <xdr:to>
      <xdr:col>83</xdr:col>
      <xdr:colOff>210842</xdr:colOff>
      <xdr:row>285</xdr:row>
      <xdr:rowOff>152087</xdr:rowOff>
    </xdr:to>
    <xdr:graphicFrame macro="">
      <xdr:nvGraphicFramePr>
        <xdr:cNvPr id="4" name="Chart 3">
          <a:extLst>
            <a:ext uri="{FF2B5EF4-FFF2-40B4-BE49-F238E27FC236}">
              <a16:creationId xmlns:a16="http://schemas.microsoft.com/office/drawing/2014/main" id="{AF65C675-9157-4D2B-BB88-FF98A8CD10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94</xdr:col>
      <xdr:colOff>792078</xdr:colOff>
      <xdr:row>9</xdr:row>
      <xdr:rowOff>180474</xdr:rowOff>
    </xdr:from>
    <xdr:to>
      <xdr:col>111</xdr:col>
      <xdr:colOff>180472</xdr:colOff>
      <xdr:row>36</xdr:row>
      <xdr:rowOff>89726</xdr:rowOff>
    </xdr:to>
    <xdr:graphicFrame macro="">
      <xdr:nvGraphicFramePr>
        <xdr:cNvPr id="5" name="Chart 4">
          <a:extLst>
            <a:ext uri="{FF2B5EF4-FFF2-40B4-BE49-F238E27FC236}">
              <a16:creationId xmlns:a16="http://schemas.microsoft.com/office/drawing/2014/main" id="{E2549C8C-560B-45EA-A1E3-36EBF0B14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61</xdr:col>
      <xdr:colOff>461665</xdr:colOff>
      <xdr:row>297</xdr:row>
      <xdr:rowOff>56529</xdr:rowOff>
    </xdr:from>
    <xdr:to>
      <xdr:col>80</xdr:col>
      <xdr:colOff>453324</xdr:colOff>
      <xdr:row>323</xdr:row>
      <xdr:rowOff>157091</xdr:rowOff>
    </xdr:to>
    <xdr:graphicFrame macro="">
      <xdr:nvGraphicFramePr>
        <xdr:cNvPr id="11" name="Chart 10">
          <a:extLst>
            <a:ext uri="{FF2B5EF4-FFF2-40B4-BE49-F238E27FC236}">
              <a16:creationId xmlns:a16="http://schemas.microsoft.com/office/drawing/2014/main" id="{E0BC1084-F23A-487A-A9B1-302A521EC2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165</xdr:col>
      <xdr:colOff>269058</xdr:colOff>
      <xdr:row>186</xdr:row>
      <xdr:rowOff>92199</xdr:rowOff>
    </xdr:from>
    <xdr:to>
      <xdr:col>181</xdr:col>
      <xdr:colOff>483480</xdr:colOff>
      <xdr:row>212</xdr:row>
      <xdr:rowOff>145854</xdr:rowOff>
    </xdr:to>
    <xdr:graphicFrame macro="">
      <xdr:nvGraphicFramePr>
        <xdr:cNvPr id="12" name="Chart 11">
          <a:extLst>
            <a:ext uri="{FF2B5EF4-FFF2-40B4-BE49-F238E27FC236}">
              <a16:creationId xmlns:a16="http://schemas.microsoft.com/office/drawing/2014/main" id="{D36333FB-BC44-47B8-8FEF-5EA919E03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182</xdr:col>
      <xdr:colOff>195924</xdr:colOff>
      <xdr:row>184</xdr:row>
      <xdr:rowOff>117930</xdr:rowOff>
    </xdr:from>
    <xdr:to>
      <xdr:col>205</xdr:col>
      <xdr:colOff>438086</xdr:colOff>
      <xdr:row>216</xdr:row>
      <xdr:rowOff>146402</xdr:rowOff>
    </xdr:to>
    <xdr:graphicFrame macro="">
      <xdr:nvGraphicFramePr>
        <xdr:cNvPr id="13" name="Chart 12">
          <a:extLst>
            <a:ext uri="{FF2B5EF4-FFF2-40B4-BE49-F238E27FC236}">
              <a16:creationId xmlns:a16="http://schemas.microsoft.com/office/drawing/2014/main" id="{349CC14B-8ABD-4F89-9600-CA474C7699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183</xdr:col>
      <xdr:colOff>217714</xdr:colOff>
      <xdr:row>154</xdr:row>
      <xdr:rowOff>47626</xdr:rowOff>
    </xdr:from>
    <xdr:to>
      <xdr:col>200</xdr:col>
      <xdr:colOff>27417</xdr:colOff>
      <xdr:row>180</xdr:row>
      <xdr:rowOff>147377</xdr:rowOff>
    </xdr:to>
    <xdr:graphicFrame macro="">
      <xdr:nvGraphicFramePr>
        <xdr:cNvPr id="14" name="Chart 13">
          <a:extLst>
            <a:ext uri="{FF2B5EF4-FFF2-40B4-BE49-F238E27FC236}">
              <a16:creationId xmlns:a16="http://schemas.microsoft.com/office/drawing/2014/main" id="{AA710BE1-0516-4DDF-A7EB-E6962135EB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166</xdr:col>
      <xdr:colOff>137783</xdr:colOff>
      <xdr:row>155</xdr:row>
      <xdr:rowOff>114120</xdr:rowOff>
    </xdr:from>
    <xdr:to>
      <xdr:col>183</xdr:col>
      <xdr:colOff>42117</xdr:colOff>
      <xdr:row>182</xdr:row>
      <xdr:rowOff>16185</xdr:rowOff>
    </xdr:to>
    <xdr:graphicFrame macro="">
      <xdr:nvGraphicFramePr>
        <xdr:cNvPr id="15" name="Chart 14">
          <a:extLst>
            <a:ext uri="{FF2B5EF4-FFF2-40B4-BE49-F238E27FC236}">
              <a16:creationId xmlns:a16="http://schemas.microsoft.com/office/drawing/2014/main" id="{5EC960BF-CF1E-4196-B525-082638D17A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40</xdr:col>
      <xdr:colOff>3309810</xdr:colOff>
      <xdr:row>261</xdr:row>
      <xdr:rowOff>15152</xdr:rowOff>
    </xdr:from>
    <xdr:to>
      <xdr:col>61</xdr:col>
      <xdr:colOff>414154</xdr:colOff>
      <xdr:row>292</xdr:row>
      <xdr:rowOff>158460</xdr:rowOff>
    </xdr:to>
    <xdr:graphicFrame macro="">
      <xdr:nvGraphicFramePr>
        <xdr:cNvPr id="16" name="Chart 15">
          <a:extLst>
            <a:ext uri="{FF2B5EF4-FFF2-40B4-BE49-F238E27FC236}">
              <a16:creationId xmlns:a16="http://schemas.microsoft.com/office/drawing/2014/main" id="{CF794F54-4F6C-4392-AF29-94B6BA8DF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3458415</xdr:colOff>
      <xdr:row>231</xdr:row>
      <xdr:rowOff>61569</xdr:rowOff>
    </xdr:from>
    <xdr:to>
      <xdr:col>60</xdr:col>
      <xdr:colOff>148925</xdr:colOff>
      <xdr:row>260</xdr:row>
      <xdr:rowOff>19328</xdr:rowOff>
    </xdr:to>
    <xdr:graphicFrame macro="">
      <xdr:nvGraphicFramePr>
        <xdr:cNvPr id="17" name="Chart 16">
          <a:extLst>
            <a:ext uri="{FF2B5EF4-FFF2-40B4-BE49-F238E27FC236}">
              <a16:creationId xmlns:a16="http://schemas.microsoft.com/office/drawing/2014/main" id="{AE8B3AD1-F0C7-428B-BCF1-9A85E0A4E5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40</xdr:col>
      <xdr:colOff>2815363</xdr:colOff>
      <xdr:row>294</xdr:row>
      <xdr:rowOff>23402</xdr:rowOff>
    </xdr:from>
    <xdr:to>
      <xdr:col>61</xdr:col>
      <xdr:colOff>12911</xdr:colOff>
      <xdr:row>325</xdr:row>
      <xdr:rowOff>187885</xdr:rowOff>
    </xdr:to>
    <xdr:graphicFrame macro="">
      <xdr:nvGraphicFramePr>
        <xdr:cNvPr id="18" name="Chart 17">
          <a:extLst>
            <a:ext uri="{FF2B5EF4-FFF2-40B4-BE49-F238E27FC236}">
              <a16:creationId xmlns:a16="http://schemas.microsoft.com/office/drawing/2014/main" id="{FDFBD8F7-D706-4992-8285-D23680AB11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61</xdr:col>
      <xdr:colOff>394433</xdr:colOff>
      <xdr:row>229</xdr:row>
      <xdr:rowOff>26865</xdr:rowOff>
    </xdr:from>
    <xdr:to>
      <xdr:col>82</xdr:col>
      <xdr:colOff>135080</xdr:colOff>
      <xdr:row>257</xdr:row>
      <xdr:rowOff>178178</xdr:rowOff>
    </xdr:to>
    <xdr:graphicFrame macro="">
      <xdr:nvGraphicFramePr>
        <xdr:cNvPr id="20" name="Chart 19">
          <a:extLst>
            <a:ext uri="{FF2B5EF4-FFF2-40B4-BE49-F238E27FC236}">
              <a16:creationId xmlns:a16="http://schemas.microsoft.com/office/drawing/2014/main" id="{111877AD-BD11-417E-AC17-059138DE98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637584</xdr:colOff>
      <xdr:row>348</xdr:row>
      <xdr:rowOff>58074</xdr:rowOff>
    </xdr:from>
    <xdr:to>
      <xdr:col>11</xdr:col>
      <xdr:colOff>274486</xdr:colOff>
      <xdr:row>375</xdr:row>
      <xdr:rowOff>26763</xdr:rowOff>
    </xdr:to>
    <xdr:graphicFrame macro="">
      <xdr:nvGraphicFramePr>
        <xdr:cNvPr id="19" name="Chart 18">
          <a:extLst>
            <a:ext uri="{FF2B5EF4-FFF2-40B4-BE49-F238E27FC236}">
              <a16:creationId xmlns:a16="http://schemas.microsoft.com/office/drawing/2014/main" id="{C4B21536-9681-49C2-92E8-B9F4D6B3E9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853094</xdr:colOff>
      <xdr:row>378</xdr:row>
      <xdr:rowOff>128513</xdr:rowOff>
    </xdr:from>
    <xdr:to>
      <xdr:col>11</xdr:col>
      <xdr:colOff>129335</xdr:colOff>
      <xdr:row>405</xdr:row>
      <xdr:rowOff>45515</xdr:rowOff>
    </xdr:to>
    <xdr:graphicFrame macro="">
      <xdr:nvGraphicFramePr>
        <xdr:cNvPr id="21" name="Chart 20">
          <a:extLst>
            <a:ext uri="{FF2B5EF4-FFF2-40B4-BE49-F238E27FC236}">
              <a16:creationId xmlns:a16="http://schemas.microsoft.com/office/drawing/2014/main" id="{5E1C1375-D068-46AF-A1BB-7E2272E2F2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853736</xdr:colOff>
      <xdr:row>413</xdr:row>
      <xdr:rowOff>188665</xdr:rowOff>
    </xdr:from>
    <xdr:to>
      <xdr:col>11</xdr:col>
      <xdr:colOff>551309</xdr:colOff>
      <xdr:row>440</xdr:row>
      <xdr:rowOff>110125</xdr:rowOff>
    </xdr:to>
    <xdr:graphicFrame macro="">
      <xdr:nvGraphicFramePr>
        <xdr:cNvPr id="22" name="Chart 21">
          <a:extLst>
            <a:ext uri="{FF2B5EF4-FFF2-40B4-BE49-F238E27FC236}">
              <a16:creationId xmlns:a16="http://schemas.microsoft.com/office/drawing/2014/main" id="{27F91FD5-FE6C-40AE-9EA9-6E3445CA06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140505</xdr:colOff>
      <xdr:row>447</xdr:row>
      <xdr:rowOff>165138</xdr:rowOff>
    </xdr:from>
    <xdr:to>
      <xdr:col>12</xdr:col>
      <xdr:colOff>497080</xdr:colOff>
      <xdr:row>474</xdr:row>
      <xdr:rowOff>145112</xdr:rowOff>
    </xdr:to>
    <xdr:graphicFrame macro="">
      <xdr:nvGraphicFramePr>
        <xdr:cNvPr id="23" name="Chart 22">
          <a:extLst>
            <a:ext uri="{FF2B5EF4-FFF2-40B4-BE49-F238E27FC236}">
              <a16:creationId xmlns:a16="http://schemas.microsoft.com/office/drawing/2014/main" id="{597B2052-9682-4519-80E6-88874618A0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204979</xdr:colOff>
      <xdr:row>271</xdr:row>
      <xdr:rowOff>136075</xdr:rowOff>
    </xdr:from>
    <xdr:to>
      <xdr:col>11</xdr:col>
      <xdr:colOff>68077</xdr:colOff>
      <xdr:row>298</xdr:row>
      <xdr:rowOff>93369</xdr:rowOff>
    </xdr:to>
    <xdr:graphicFrame macro="">
      <xdr:nvGraphicFramePr>
        <xdr:cNvPr id="24" name="Chart 23">
          <a:extLst>
            <a:ext uri="{FF2B5EF4-FFF2-40B4-BE49-F238E27FC236}">
              <a16:creationId xmlns:a16="http://schemas.microsoft.com/office/drawing/2014/main" id="{8DB04831-ADD8-43A7-8414-7CE9E4AEAD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169217</xdr:colOff>
      <xdr:row>273</xdr:row>
      <xdr:rowOff>96820</xdr:rowOff>
    </xdr:from>
    <xdr:to>
      <xdr:col>25</xdr:col>
      <xdr:colOff>72438</xdr:colOff>
      <xdr:row>300</xdr:row>
      <xdr:rowOff>54114</xdr:rowOff>
    </xdr:to>
    <xdr:graphicFrame macro="">
      <xdr:nvGraphicFramePr>
        <xdr:cNvPr id="25" name="Chart 24">
          <a:extLst>
            <a:ext uri="{FF2B5EF4-FFF2-40B4-BE49-F238E27FC236}">
              <a16:creationId xmlns:a16="http://schemas.microsoft.com/office/drawing/2014/main" id="{842AAD16-7136-46FB-A684-F6F26940A0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260803</xdr:colOff>
      <xdr:row>301</xdr:row>
      <xdr:rowOff>90714</xdr:rowOff>
    </xdr:from>
    <xdr:to>
      <xdr:col>11</xdr:col>
      <xdr:colOff>123901</xdr:colOff>
      <xdr:row>328</xdr:row>
      <xdr:rowOff>48009</xdr:rowOff>
    </xdr:to>
    <xdr:graphicFrame macro="">
      <xdr:nvGraphicFramePr>
        <xdr:cNvPr id="26" name="Chart 25">
          <a:extLst>
            <a:ext uri="{FF2B5EF4-FFF2-40B4-BE49-F238E27FC236}">
              <a16:creationId xmlns:a16="http://schemas.microsoft.com/office/drawing/2014/main" id="{9A074179-0B5A-4FD3-9E49-AE910A3721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571500</xdr:colOff>
      <xdr:row>302</xdr:row>
      <xdr:rowOff>47625</xdr:rowOff>
    </xdr:from>
    <xdr:to>
      <xdr:col>25</xdr:col>
      <xdr:colOff>476989</xdr:colOff>
      <xdr:row>329</xdr:row>
      <xdr:rowOff>7187</xdr:rowOff>
    </xdr:to>
    <xdr:graphicFrame macro="">
      <xdr:nvGraphicFramePr>
        <xdr:cNvPr id="27" name="Chart 26">
          <a:extLst>
            <a:ext uri="{FF2B5EF4-FFF2-40B4-BE49-F238E27FC236}">
              <a16:creationId xmlns:a16="http://schemas.microsoft.com/office/drawing/2014/main" id="{985FC8C1-92DF-43ED-B6EB-5B8A946CE4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649968</xdr:colOff>
      <xdr:row>445</xdr:row>
      <xdr:rowOff>119063</xdr:rowOff>
    </xdr:from>
    <xdr:to>
      <xdr:col>25</xdr:col>
      <xdr:colOff>309858</xdr:colOff>
      <xdr:row>472</xdr:row>
      <xdr:rowOff>73862</xdr:rowOff>
    </xdr:to>
    <xdr:graphicFrame macro="">
      <xdr:nvGraphicFramePr>
        <xdr:cNvPr id="28" name="Chart 27">
          <a:extLst>
            <a:ext uri="{FF2B5EF4-FFF2-40B4-BE49-F238E27FC236}">
              <a16:creationId xmlns:a16="http://schemas.microsoft.com/office/drawing/2014/main" id="{72D5249E-EBDC-4A7A-AFD9-3896AB1ADA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24</xdr:col>
      <xdr:colOff>559203</xdr:colOff>
      <xdr:row>415</xdr:row>
      <xdr:rowOff>980</xdr:rowOff>
    </xdr:from>
    <xdr:to>
      <xdr:col>40</xdr:col>
      <xdr:colOff>635905</xdr:colOff>
      <xdr:row>441</xdr:row>
      <xdr:rowOff>135786</xdr:rowOff>
    </xdr:to>
    <xdr:graphicFrame macro="">
      <xdr:nvGraphicFramePr>
        <xdr:cNvPr id="29" name="Chart 28">
          <a:extLst>
            <a:ext uri="{FF2B5EF4-FFF2-40B4-BE49-F238E27FC236}">
              <a16:creationId xmlns:a16="http://schemas.microsoft.com/office/drawing/2014/main" id="{5DBB598B-18C9-4189-89EB-89A0981E48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11</xdr:col>
      <xdr:colOff>244930</xdr:colOff>
      <xdr:row>379</xdr:row>
      <xdr:rowOff>-1</xdr:rowOff>
    </xdr:from>
    <xdr:to>
      <xdr:col>22</xdr:col>
      <xdr:colOff>222720</xdr:colOff>
      <xdr:row>405</xdr:row>
      <xdr:rowOff>129047</xdr:rowOff>
    </xdr:to>
    <xdr:graphicFrame macro="">
      <xdr:nvGraphicFramePr>
        <xdr:cNvPr id="30" name="Chart 29">
          <a:extLst>
            <a:ext uri="{FF2B5EF4-FFF2-40B4-BE49-F238E27FC236}">
              <a16:creationId xmlns:a16="http://schemas.microsoft.com/office/drawing/2014/main" id="{45037DEC-AC76-46C5-ABE4-1A60C88BC6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23</xdr:col>
      <xdr:colOff>424130</xdr:colOff>
      <xdr:row>348</xdr:row>
      <xdr:rowOff>29751</xdr:rowOff>
    </xdr:from>
    <xdr:to>
      <xdr:col>39</xdr:col>
      <xdr:colOff>338585</xdr:colOff>
      <xdr:row>374</xdr:row>
      <xdr:rowOff>158552</xdr:rowOff>
    </xdr:to>
    <xdr:graphicFrame macro="">
      <xdr:nvGraphicFramePr>
        <xdr:cNvPr id="31" name="Chart 30">
          <a:extLst>
            <a:ext uri="{FF2B5EF4-FFF2-40B4-BE49-F238E27FC236}">
              <a16:creationId xmlns:a16="http://schemas.microsoft.com/office/drawing/2014/main" id="{CCBA316E-E75F-4767-9379-3513212B4E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11</xdr:col>
      <xdr:colOff>535213</xdr:colOff>
      <xdr:row>349</xdr:row>
      <xdr:rowOff>95249</xdr:rowOff>
    </xdr:from>
    <xdr:to>
      <xdr:col>23</xdr:col>
      <xdr:colOff>1634</xdr:colOff>
      <xdr:row>376</xdr:row>
      <xdr:rowOff>65712</xdr:rowOff>
    </xdr:to>
    <xdr:graphicFrame macro="">
      <xdr:nvGraphicFramePr>
        <xdr:cNvPr id="32" name="Chart 31">
          <a:extLst>
            <a:ext uri="{FF2B5EF4-FFF2-40B4-BE49-F238E27FC236}">
              <a16:creationId xmlns:a16="http://schemas.microsoft.com/office/drawing/2014/main" id="{B5F813D4-C519-461C-96A9-EE3D0C86F9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22</xdr:col>
      <xdr:colOff>726313</xdr:colOff>
      <xdr:row>378</xdr:row>
      <xdr:rowOff>80609</xdr:rowOff>
    </xdr:from>
    <xdr:to>
      <xdr:col>38</xdr:col>
      <xdr:colOff>12089</xdr:colOff>
      <xdr:row>405</xdr:row>
      <xdr:rowOff>6648</xdr:rowOff>
    </xdr:to>
    <xdr:graphicFrame macro="">
      <xdr:nvGraphicFramePr>
        <xdr:cNvPr id="33" name="Chart 32">
          <a:extLst>
            <a:ext uri="{FF2B5EF4-FFF2-40B4-BE49-F238E27FC236}">
              <a16:creationId xmlns:a16="http://schemas.microsoft.com/office/drawing/2014/main" id="{CB3F7CCE-79BA-4BE8-B870-6DF7EB5D92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12</xdr:col>
      <xdr:colOff>390917</xdr:colOff>
      <xdr:row>414</xdr:row>
      <xdr:rowOff>60469</xdr:rowOff>
    </xdr:from>
    <xdr:to>
      <xdr:col>24</xdr:col>
      <xdr:colOff>22932</xdr:colOff>
      <xdr:row>440</xdr:row>
      <xdr:rowOff>170532</xdr:rowOff>
    </xdr:to>
    <xdr:graphicFrame macro="">
      <xdr:nvGraphicFramePr>
        <xdr:cNvPr id="34" name="Chart 33">
          <a:extLst>
            <a:ext uri="{FF2B5EF4-FFF2-40B4-BE49-F238E27FC236}">
              <a16:creationId xmlns:a16="http://schemas.microsoft.com/office/drawing/2014/main" id="{DEFA894E-B91C-403C-9117-6BED3C1E77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xdr:col>
      <xdr:colOff>71327</xdr:colOff>
      <xdr:row>444</xdr:row>
      <xdr:rowOff>162510</xdr:rowOff>
    </xdr:from>
    <xdr:to>
      <xdr:col>40</xdr:col>
      <xdr:colOff>1525759</xdr:colOff>
      <xdr:row>471</xdr:row>
      <xdr:rowOff>129389</xdr:rowOff>
    </xdr:to>
    <xdr:graphicFrame macro="">
      <xdr:nvGraphicFramePr>
        <xdr:cNvPr id="35" name="Chart 34">
          <a:extLst>
            <a:ext uri="{FF2B5EF4-FFF2-40B4-BE49-F238E27FC236}">
              <a16:creationId xmlns:a16="http://schemas.microsoft.com/office/drawing/2014/main" id="{5CBDFE60-C1AF-4299-BFC8-D0F9022F51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40</xdr:col>
      <xdr:colOff>3819958</xdr:colOff>
      <xdr:row>358</xdr:row>
      <xdr:rowOff>143373</xdr:rowOff>
    </xdr:from>
    <xdr:to>
      <xdr:col>58</xdr:col>
      <xdr:colOff>497750</xdr:colOff>
      <xdr:row>386</xdr:row>
      <xdr:rowOff>28724</xdr:rowOff>
    </xdr:to>
    <xdr:graphicFrame macro="">
      <xdr:nvGraphicFramePr>
        <xdr:cNvPr id="36" name="Chart 35">
          <a:extLst>
            <a:ext uri="{FF2B5EF4-FFF2-40B4-BE49-F238E27FC236}">
              <a16:creationId xmlns:a16="http://schemas.microsoft.com/office/drawing/2014/main" id="{10F3E31B-A2C8-49D0-ACBE-DF5882C8D8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59</xdr:col>
      <xdr:colOff>91267</xdr:colOff>
      <xdr:row>357</xdr:row>
      <xdr:rowOff>135407</xdr:rowOff>
    </xdr:from>
    <xdr:to>
      <xdr:col>77</xdr:col>
      <xdr:colOff>439669</xdr:colOff>
      <xdr:row>385</xdr:row>
      <xdr:rowOff>20758</xdr:rowOff>
    </xdr:to>
    <xdr:graphicFrame macro="">
      <xdr:nvGraphicFramePr>
        <xdr:cNvPr id="37" name="Chart 36">
          <a:extLst>
            <a:ext uri="{FF2B5EF4-FFF2-40B4-BE49-F238E27FC236}">
              <a16:creationId xmlns:a16="http://schemas.microsoft.com/office/drawing/2014/main" id="{3BE9C6BB-FF67-468E-B25B-D0E19CE429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40</xdr:col>
      <xdr:colOff>4118633</xdr:colOff>
      <xdr:row>390</xdr:row>
      <xdr:rowOff>102990</xdr:rowOff>
    </xdr:from>
    <xdr:to>
      <xdr:col>59</xdr:col>
      <xdr:colOff>467466</xdr:colOff>
      <xdr:row>417</xdr:row>
      <xdr:rowOff>19737</xdr:rowOff>
    </xdr:to>
    <xdr:graphicFrame macro="">
      <xdr:nvGraphicFramePr>
        <xdr:cNvPr id="38" name="Chart 37">
          <a:extLst>
            <a:ext uri="{FF2B5EF4-FFF2-40B4-BE49-F238E27FC236}">
              <a16:creationId xmlns:a16="http://schemas.microsoft.com/office/drawing/2014/main" id="{3A7A541E-2F87-4E2D-ACF7-8A1C9C17B9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60</xdr:col>
      <xdr:colOff>39687</xdr:colOff>
      <xdr:row>390</xdr:row>
      <xdr:rowOff>59531</xdr:rowOff>
    </xdr:from>
    <xdr:to>
      <xdr:col>79</xdr:col>
      <xdr:colOff>40984</xdr:colOff>
      <xdr:row>416</xdr:row>
      <xdr:rowOff>174714</xdr:rowOff>
    </xdr:to>
    <xdr:graphicFrame macro="">
      <xdr:nvGraphicFramePr>
        <xdr:cNvPr id="39" name="Chart 38">
          <a:extLst>
            <a:ext uri="{FF2B5EF4-FFF2-40B4-BE49-F238E27FC236}">
              <a16:creationId xmlns:a16="http://schemas.microsoft.com/office/drawing/2014/main" id="{8A6E7608-7106-434D-9AFB-33FB5B5E4F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40</xdr:col>
      <xdr:colOff>3020277</xdr:colOff>
      <xdr:row>418</xdr:row>
      <xdr:rowOff>153175</xdr:rowOff>
    </xdr:from>
    <xdr:to>
      <xdr:col>61</xdr:col>
      <xdr:colOff>136237</xdr:colOff>
      <xdr:row>451</xdr:row>
      <xdr:rowOff>75782</xdr:rowOff>
    </xdr:to>
    <xdr:graphicFrame macro="">
      <xdr:nvGraphicFramePr>
        <xdr:cNvPr id="41" name="Chart 40">
          <a:extLst>
            <a:ext uri="{FF2B5EF4-FFF2-40B4-BE49-F238E27FC236}">
              <a16:creationId xmlns:a16="http://schemas.microsoft.com/office/drawing/2014/main" id="{BAAAC32C-2051-4CAD-8B99-FC1361307D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63</xdr:col>
      <xdr:colOff>165100</xdr:colOff>
      <xdr:row>416</xdr:row>
      <xdr:rowOff>63500</xdr:rowOff>
    </xdr:from>
    <xdr:to>
      <xdr:col>85</xdr:col>
      <xdr:colOff>329060</xdr:colOff>
      <xdr:row>448</xdr:row>
      <xdr:rowOff>176607</xdr:rowOff>
    </xdr:to>
    <xdr:graphicFrame macro="">
      <xdr:nvGraphicFramePr>
        <xdr:cNvPr id="42" name="Chart 41">
          <a:extLst>
            <a:ext uri="{FF2B5EF4-FFF2-40B4-BE49-F238E27FC236}">
              <a16:creationId xmlns:a16="http://schemas.microsoft.com/office/drawing/2014/main" id="{672DA89C-4219-40C8-A4B6-460B63D852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46</xdr:col>
      <xdr:colOff>0</xdr:colOff>
      <xdr:row>470</xdr:row>
      <xdr:rowOff>0</xdr:rowOff>
    </xdr:from>
    <xdr:to>
      <xdr:col>64</xdr:col>
      <xdr:colOff>430065</xdr:colOff>
      <xdr:row>497</xdr:row>
      <xdr:rowOff>87395</xdr:rowOff>
    </xdr:to>
    <xdr:graphicFrame macro="">
      <xdr:nvGraphicFramePr>
        <xdr:cNvPr id="43" name="Chart 42">
          <a:extLst>
            <a:ext uri="{FF2B5EF4-FFF2-40B4-BE49-F238E27FC236}">
              <a16:creationId xmlns:a16="http://schemas.microsoft.com/office/drawing/2014/main" id="{99242A9D-3904-4109-B4B8-AA7F6C1AD9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68</xdr:col>
      <xdr:colOff>0</xdr:colOff>
      <xdr:row>472</xdr:row>
      <xdr:rowOff>0</xdr:rowOff>
    </xdr:from>
    <xdr:to>
      <xdr:col>86</xdr:col>
      <xdr:colOff>336683</xdr:colOff>
      <xdr:row>499</xdr:row>
      <xdr:rowOff>87395</xdr:rowOff>
    </xdr:to>
    <xdr:graphicFrame macro="">
      <xdr:nvGraphicFramePr>
        <xdr:cNvPr id="44" name="Chart 43">
          <a:extLst>
            <a:ext uri="{FF2B5EF4-FFF2-40B4-BE49-F238E27FC236}">
              <a16:creationId xmlns:a16="http://schemas.microsoft.com/office/drawing/2014/main" id="{0D706E15-F3D2-41AE-904A-6F097F1120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46</xdr:col>
      <xdr:colOff>62801</xdr:colOff>
      <xdr:row>498</xdr:row>
      <xdr:rowOff>125604</xdr:rowOff>
    </xdr:from>
    <xdr:to>
      <xdr:col>64</xdr:col>
      <xdr:colOff>492866</xdr:colOff>
      <xdr:row>526</xdr:row>
      <xdr:rowOff>24592</xdr:rowOff>
    </xdr:to>
    <xdr:graphicFrame macro="">
      <xdr:nvGraphicFramePr>
        <xdr:cNvPr id="45" name="Chart 44">
          <a:extLst>
            <a:ext uri="{FF2B5EF4-FFF2-40B4-BE49-F238E27FC236}">
              <a16:creationId xmlns:a16="http://schemas.microsoft.com/office/drawing/2014/main" id="{27E68FDB-8764-4900-9024-AA70C2C9D4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65</xdr:col>
      <xdr:colOff>240741</xdr:colOff>
      <xdr:row>500</xdr:row>
      <xdr:rowOff>104670</xdr:rowOff>
    </xdr:from>
    <xdr:to>
      <xdr:col>83</xdr:col>
      <xdr:colOff>566136</xdr:colOff>
      <xdr:row>528</xdr:row>
      <xdr:rowOff>3658</xdr:rowOff>
    </xdr:to>
    <xdr:graphicFrame macro="">
      <xdr:nvGraphicFramePr>
        <xdr:cNvPr id="46" name="Chart 45">
          <a:extLst>
            <a:ext uri="{FF2B5EF4-FFF2-40B4-BE49-F238E27FC236}">
              <a16:creationId xmlns:a16="http://schemas.microsoft.com/office/drawing/2014/main" id="{A9BA7F98-0E14-4AB4-B875-6690DBE385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45</xdr:col>
      <xdr:colOff>190500</xdr:colOff>
      <xdr:row>528</xdr:row>
      <xdr:rowOff>142875</xdr:rowOff>
    </xdr:from>
    <xdr:to>
      <xdr:col>67</xdr:col>
      <xdr:colOff>547173</xdr:colOff>
      <xdr:row>560</xdr:row>
      <xdr:rowOff>116858</xdr:rowOff>
    </xdr:to>
    <xdr:graphicFrame macro="">
      <xdr:nvGraphicFramePr>
        <xdr:cNvPr id="47" name="Chart 46">
          <a:extLst>
            <a:ext uri="{FF2B5EF4-FFF2-40B4-BE49-F238E27FC236}">
              <a16:creationId xmlns:a16="http://schemas.microsoft.com/office/drawing/2014/main" id="{859A817B-FF19-43F9-9C49-A038234968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71</xdr:col>
      <xdr:colOff>0</xdr:colOff>
      <xdr:row>536</xdr:row>
      <xdr:rowOff>0</xdr:rowOff>
    </xdr:from>
    <xdr:to>
      <xdr:col>92</xdr:col>
      <xdr:colOff>343625</xdr:colOff>
      <xdr:row>567</xdr:row>
      <xdr:rowOff>169703</xdr:rowOff>
    </xdr:to>
    <xdr:graphicFrame macro="">
      <xdr:nvGraphicFramePr>
        <xdr:cNvPr id="48" name="Chart 47">
          <a:extLst>
            <a:ext uri="{FF2B5EF4-FFF2-40B4-BE49-F238E27FC236}">
              <a16:creationId xmlns:a16="http://schemas.microsoft.com/office/drawing/2014/main" id="{5A3831E5-0BB9-483C-898E-872612F09E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C9A6F-5B83-446D-A3E5-B31FB47D68C1}">
  <sheetPr codeName="Sheet1"/>
  <dimension ref="A1:DI231"/>
  <sheetViews>
    <sheetView topLeftCell="F1" zoomScale="89" zoomScaleNormal="89" workbookViewId="0">
      <selection activeCell="Q42" sqref="Q42"/>
    </sheetView>
  </sheetViews>
  <sheetFormatPr defaultRowHeight="15" x14ac:dyDescent="0.25"/>
  <cols>
    <col min="1" max="1" width="48.28515625" bestFit="1" customWidth="1"/>
    <col min="2" max="2" width="22.85546875" bestFit="1" customWidth="1"/>
    <col min="3" max="3" width="23.140625" bestFit="1" customWidth="1"/>
    <col min="4" max="4" width="22.7109375" bestFit="1" customWidth="1"/>
    <col min="5" max="5" width="40.7109375" bestFit="1" customWidth="1"/>
    <col min="6" max="6" width="20.42578125" bestFit="1" customWidth="1"/>
    <col min="7" max="7" width="21.28515625" bestFit="1" customWidth="1"/>
    <col min="8" max="8" width="22.5703125" bestFit="1" customWidth="1"/>
    <col min="9" max="9" width="15.5703125" bestFit="1" customWidth="1"/>
    <col min="10" max="10" width="23.5703125" bestFit="1" customWidth="1"/>
    <col min="11" max="12" width="18.85546875" bestFit="1" customWidth="1"/>
    <col min="13" max="13" width="19.85546875" bestFit="1" customWidth="1"/>
    <col min="14" max="15" width="19.28515625" bestFit="1" customWidth="1"/>
    <col min="17" max="17" width="12.140625" bestFit="1" customWidth="1"/>
    <col min="18" max="18" width="12.5703125" bestFit="1" customWidth="1"/>
    <col min="22" max="22" width="53.7109375" bestFit="1" customWidth="1"/>
    <col min="23" max="23" width="16.42578125" bestFit="1" customWidth="1"/>
    <col min="24" max="24" width="18" bestFit="1" customWidth="1"/>
    <col min="25" max="25" width="22.7109375" bestFit="1" customWidth="1"/>
    <col min="26" max="26" width="14.85546875" bestFit="1" customWidth="1"/>
    <col min="27" max="27" width="20.42578125" bestFit="1" customWidth="1"/>
    <col min="28" max="28" width="21.28515625" bestFit="1" customWidth="1"/>
    <col min="29" max="29" width="14.85546875" bestFit="1" customWidth="1"/>
    <col min="30" max="30" width="15.5703125" bestFit="1" customWidth="1"/>
    <col min="31" max="31" width="13.85546875" bestFit="1" customWidth="1"/>
    <col min="32" max="33" width="18.85546875" bestFit="1" customWidth="1"/>
    <col min="34" max="34" width="19.85546875" bestFit="1" customWidth="1"/>
    <col min="35" max="35" width="19.28515625" bestFit="1" customWidth="1"/>
    <col min="36" max="36" width="21.7109375" bestFit="1" customWidth="1"/>
    <col min="38" max="38" width="12.140625" bestFit="1" customWidth="1"/>
    <col min="39" max="39" width="12.5703125" bestFit="1" customWidth="1"/>
    <col min="44" max="44" width="48.28515625" bestFit="1" customWidth="1"/>
    <col min="45" max="45" width="27.28515625" bestFit="1" customWidth="1"/>
    <col min="46" max="46" width="17.5703125" bestFit="1" customWidth="1"/>
    <col min="47" max="47" width="13.85546875" bestFit="1" customWidth="1"/>
    <col min="48" max="48" width="40.7109375" bestFit="1" customWidth="1"/>
    <col min="49" max="49" width="17.5703125" bestFit="1" customWidth="1"/>
    <col min="51" max="51" width="26.42578125" bestFit="1" customWidth="1"/>
    <col min="53" max="53" width="13.5703125" bestFit="1" customWidth="1"/>
    <col min="54" max="54" width="66.42578125" bestFit="1" customWidth="1"/>
    <col min="57" max="57" width="12.5703125" bestFit="1" customWidth="1"/>
    <col min="58" max="58" width="14.7109375" bestFit="1" customWidth="1"/>
    <col min="59" max="59" width="12.7109375" bestFit="1" customWidth="1"/>
    <col min="61" max="61" width="13.5703125" bestFit="1" customWidth="1"/>
    <col min="62" max="62" width="14.7109375" bestFit="1" customWidth="1"/>
    <col min="63" max="63" width="12.7109375" bestFit="1" customWidth="1"/>
  </cols>
  <sheetData>
    <row r="1" spans="1:113" ht="18.75" x14ac:dyDescent="0.3">
      <c r="A1" s="2" t="s">
        <v>50</v>
      </c>
      <c r="B1" s="2" t="s">
        <v>1</v>
      </c>
      <c r="C1" s="2" t="s">
        <v>52</v>
      </c>
      <c r="D1" s="2" t="s">
        <v>3</v>
      </c>
      <c r="E1" s="2" t="s">
        <v>4</v>
      </c>
      <c r="F1" s="2" t="s">
        <v>5</v>
      </c>
      <c r="G1" s="2" t="s">
        <v>6</v>
      </c>
      <c r="H1" s="2" t="s">
        <v>7</v>
      </c>
      <c r="I1" s="2" t="s">
        <v>8</v>
      </c>
      <c r="J1" s="2" t="s">
        <v>9</v>
      </c>
      <c r="K1" s="2" t="s">
        <v>10</v>
      </c>
      <c r="L1" s="2" t="s">
        <v>11</v>
      </c>
      <c r="M1" s="2" t="s">
        <v>12</v>
      </c>
      <c r="N1" s="2" t="s">
        <v>13</v>
      </c>
      <c r="O1" s="2" t="s">
        <v>67</v>
      </c>
      <c r="Q1" s="2" t="s">
        <v>53</v>
      </c>
      <c r="R1" s="2" t="s">
        <v>54</v>
      </c>
      <c r="V1" s="2" t="s">
        <v>51</v>
      </c>
      <c r="W1" s="2" t="s">
        <v>1</v>
      </c>
      <c r="X1" s="2" t="s">
        <v>2</v>
      </c>
      <c r="Y1" s="2" t="s">
        <v>3</v>
      </c>
      <c r="Z1" s="2" t="s">
        <v>4</v>
      </c>
      <c r="AA1" s="2" t="s">
        <v>5</v>
      </c>
      <c r="AB1" s="2" t="s">
        <v>6</v>
      </c>
      <c r="AC1" s="2" t="s">
        <v>7</v>
      </c>
      <c r="AD1" s="2" t="s">
        <v>8</v>
      </c>
      <c r="AE1" s="2" t="s">
        <v>9</v>
      </c>
      <c r="AF1" s="2" t="s">
        <v>10</v>
      </c>
      <c r="AG1" s="2" t="s">
        <v>11</v>
      </c>
      <c r="AH1" s="2" t="s">
        <v>12</v>
      </c>
      <c r="AI1" s="2" t="s">
        <v>13</v>
      </c>
      <c r="AJ1" s="2" t="s">
        <v>68</v>
      </c>
      <c r="AL1" s="2" t="s">
        <v>53</v>
      </c>
      <c r="AM1" s="2" t="s">
        <v>54</v>
      </c>
      <c r="AR1" s="2" t="s">
        <v>87</v>
      </c>
      <c r="AS1" t="s">
        <v>153</v>
      </c>
      <c r="BB1" t="s">
        <v>125</v>
      </c>
    </row>
    <row r="2" spans="1:113" x14ac:dyDescent="0.25">
      <c r="A2" s="23" t="s">
        <v>14</v>
      </c>
      <c r="B2" s="23">
        <v>121</v>
      </c>
      <c r="C2" s="23">
        <v>20</v>
      </c>
      <c r="D2" s="23">
        <v>17</v>
      </c>
      <c r="E2" s="23">
        <f t="shared" ref="E2:E33" si="0">B2-SUM(C2:D2)</f>
        <v>84</v>
      </c>
      <c r="F2" s="23">
        <f>0</f>
        <v>0</v>
      </c>
      <c r="G2" s="23">
        <f>47-C2</f>
        <v>27</v>
      </c>
      <c r="H2" s="23"/>
      <c r="I2" s="23">
        <f>80-C2</f>
        <v>60</v>
      </c>
      <c r="J2" s="23">
        <f>E2</f>
        <v>84</v>
      </c>
      <c r="K2" s="23">
        <f>(G2-F2)/E2</f>
        <v>0.32142857142857145</v>
      </c>
      <c r="L2" s="23">
        <f>(J2-I2)/E2</f>
        <v>0.2857142857142857</v>
      </c>
      <c r="M2" s="23">
        <f>(I2-G2)/E2</f>
        <v>0.39285714285714285</v>
      </c>
      <c r="N2" s="23"/>
      <c r="O2" s="23"/>
      <c r="P2" s="23">
        <f>SUM($K2:$N2)</f>
        <v>1</v>
      </c>
      <c r="Q2" s="23">
        <f>SUM($K2:$L2)</f>
        <v>0.60714285714285721</v>
      </c>
      <c r="R2" s="23">
        <f>SUM($M2:$N2)</f>
        <v>0.39285714285714285</v>
      </c>
      <c r="V2" t="s">
        <v>14</v>
      </c>
      <c r="W2">
        <v>121</v>
      </c>
      <c r="X2">
        <v>18</v>
      </c>
      <c r="Y2">
        <v>12</v>
      </c>
      <c r="Z2">
        <f t="shared" ref="Z2:Z37" si="1">W2-SUM(X2:Y2)</f>
        <v>91</v>
      </c>
      <c r="AA2">
        <v>0</v>
      </c>
      <c r="AB2">
        <f>47-X2</f>
        <v>29</v>
      </c>
      <c r="AD2">
        <f>80-X2</f>
        <v>62</v>
      </c>
      <c r="AE2">
        <f t="shared" ref="AE2:AE37" si="2">Z2</f>
        <v>91</v>
      </c>
      <c r="AF2">
        <f>(AB2-AA2)/AE2</f>
        <v>0.31868131868131866</v>
      </c>
      <c r="AG2">
        <f>(AE2-AD2)/AE2</f>
        <v>0.31868131868131866</v>
      </c>
      <c r="AH2">
        <f>(AD2-AB2)/AE2</f>
        <v>0.36263736263736263</v>
      </c>
      <c r="AK2">
        <f>SUM($AF2:$AJ2)</f>
        <v>1</v>
      </c>
      <c r="AL2">
        <f>SUM($AF2:$AG2)</f>
        <v>0.63736263736263732</v>
      </c>
      <c r="AM2">
        <f>SUM($AH2:$AJ2)</f>
        <v>0.36263736263736263</v>
      </c>
      <c r="AQ2" s="10" t="s">
        <v>116</v>
      </c>
      <c r="AR2" s="10" t="s">
        <v>154</v>
      </c>
      <c r="AS2" s="10" t="s">
        <v>155</v>
      </c>
      <c r="AT2" s="10" t="s">
        <v>98</v>
      </c>
      <c r="AV2" s="10" t="s">
        <v>90</v>
      </c>
      <c r="AW2" s="10" t="s">
        <v>91</v>
      </c>
    </row>
    <row r="3" spans="1:113" x14ac:dyDescent="0.25">
      <c r="A3" s="23" t="s">
        <v>15</v>
      </c>
      <c r="B3" s="23">
        <v>111</v>
      </c>
      <c r="C3" s="23">
        <v>11</v>
      </c>
      <c r="D3" s="23">
        <v>19</v>
      </c>
      <c r="E3" s="23">
        <f t="shared" si="0"/>
        <v>81</v>
      </c>
      <c r="F3" s="23">
        <f>0</f>
        <v>0</v>
      </c>
      <c r="G3" s="23">
        <f>34-C3</f>
        <v>23</v>
      </c>
      <c r="H3" s="23"/>
      <c r="I3" s="23">
        <f>67-C3</f>
        <v>56</v>
      </c>
      <c r="J3" s="23">
        <f>E3</f>
        <v>81</v>
      </c>
      <c r="K3" s="23">
        <f>(G3-F3)/E3</f>
        <v>0.2839506172839506</v>
      </c>
      <c r="L3" s="23">
        <f>(J3-I3)/E3</f>
        <v>0.30864197530864196</v>
      </c>
      <c r="M3" s="23">
        <f>(I3-G3)/E3</f>
        <v>0.40740740740740738</v>
      </c>
      <c r="N3" s="23"/>
      <c r="O3" s="23"/>
      <c r="P3" s="23">
        <f t="shared" ref="P3:P48" si="3">SUM($K3:$N3)</f>
        <v>1</v>
      </c>
      <c r="Q3" s="23">
        <f t="shared" ref="Q3:Q48" si="4">SUM($K3:$L3)</f>
        <v>0.59259259259259256</v>
      </c>
      <c r="R3" s="23">
        <f t="shared" ref="R3:R48" si="5">SUM($M3:$N3)</f>
        <v>0.40740740740740738</v>
      </c>
      <c r="V3" t="s">
        <v>15</v>
      </c>
      <c r="W3">
        <v>111</v>
      </c>
      <c r="X3">
        <v>6</v>
      </c>
      <c r="Y3">
        <v>15</v>
      </c>
      <c r="Z3">
        <f t="shared" si="1"/>
        <v>90</v>
      </c>
      <c r="AA3">
        <v>0</v>
      </c>
      <c r="AB3">
        <f>33-X3</f>
        <v>27</v>
      </c>
      <c r="AD3">
        <f>68-X3</f>
        <v>62</v>
      </c>
      <c r="AE3">
        <f t="shared" si="2"/>
        <v>90</v>
      </c>
      <c r="AF3">
        <f>(AB3-AA3)/AE3</f>
        <v>0.3</v>
      </c>
      <c r="AG3">
        <f>(AE3-AD3)/AE3</f>
        <v>0.31111111111111112</v>
      </c>
      <c r="AH3">
        <f t="shared" ref="AH3:AH4" si="6">(AD3-AB3)/AE3</f>
        <v>0.3888888888888889</v>
      </c>
      <c r="AK3">
        <f t="shared" ref="AK3:AK49" si="7">SUM($AF3:$AJ3)</f>
        <v>1</v>
      </c>
      <c r="AL3">
        <f t="shared" ref="AL3:AL49" si="8">SUM($AF3:$AG3)</f>
        <v>0.61111111111111116</v>
      </c>
      <c r="AM3">
        <f t="shared" ref="AM3:AM48" si="9">SUM($AH3:$AJ3)</f>
        <v>0.3888888888888889</v>
      </c>
      <c r="AQ3">
        <f>2</f>
        <v>2</v>
      </c>
      <c r="AR3">
        <f>F59</f>
        <v>0.58536585365853666</v>
      </c>
      <c r="AS3">
        <f>L59</f>
        <v>0.41463414634146339</v>
      </c>
      <c r="AT3">
        <v>0.82</v>
      </c>
      <c r="AV3" s="20" t="s">
        <v>82</v>
      </c>
      <c r="AW3" s="1">
        <f>(G5-F5)*10*10^-3</f>
        <v>0.27</v>
      </c>
      <c r="AX3">
        <f>H5*10*10^-3</f>
        <v>0.34</v>
      </c>
      <c r="AY3" s="1">
        <f>(J5-I5)*10^-2</f>
        <v>0.21</v>
      </c>
      <c r="AZ3">
        <f>SUM(AW3:AY3)-AT3</f>
        <v>0</v>
      </c>
      <c r="BB3" t="s">
        <v>126</v>
      </c>
      <c r="BE3" s="8"/>
      <c r="BF3" s="8" t="s">
        <v>126</v>
      </c>
      <c r="BG3" s="8"/>
      <c r="BI3" s="8"/>
      <c r="BJ3" s="8" t="s">
        <v>126</v>
      </c>
      <c r="BK3" s="8"/>
      <c r="DI3" t="s">
        <v>279</v>
      </c>
    </row>
    <row r="4" spans="1:113" x14ac:dyDescent="0.25">
      <c r="A4" s="23" t="s">
        <v>16</v>
      </c>
      <c r="B4" s="23">
        <v>121</v>
      </c>
      <c r="C4" s="23">
        <v>22</v>
      </c>
      <c r="D4" s="23">
        <v>19</v>
      </c>
      <c r="E4" s="23">
        <f t="shared" si="0"/>
        <v>80</v>
      </c>
      <c r="F4" s="23">
        <f>0</f>
        <v>0</v>
      </c>
      <c r="G4" s="23">
        <f>50-C4</f>
        <v>28</v>
      </c>
      <c r="H4" s="23"/>
      <c r="I4" s="23">
        <f>83-C4</f>
        <v>61</v>
      </c>
      <c r="J4" s="23">
        <f t="shared" ref="J4:J33" si="10">E4</f>
        <v>80</v>
      </c>
      <c r="K4" s="23">
        <f>(G4-F4)/E4</f>
        <v>0.35</v>
      </c>
      <c r="L4" s="23">
        <f>(J4-I4)/E4</f>
        <v>0.23749999999999999</v>
      </c>
      <c r="M4" s="23">
        <f>(I4-G4)/E4</f>
        <v>0.41249999999999998</v>
      </c>
      <c r="N4" s="23"/>
      <c r="O4" s="23"/>
      <c r="P4" s="23">
        <f>SUM($K4:$N4)</f>
        <v>0.99999999999999989</v>
      </c>
      <c r="Q4" s="23">
        <f t="shared" si="4"/>
        <v>0.58749999999999991</v>
      </c>
      <c r="R4" s="23">
        <f t="shared" si="5"/>
        <v>0.41249999999999998</v>
      </c>
      <c r="V4" t="s">
        <v>16</v>
      </c>
      <c r="W4">
        <v>121</v>
      </c>
      <c r="X4">
        <v>19</v>
      </c>
      <c r="Y4">
        <v>14</v>
      </c>
      <c r="Z4">
        <f t="shared" si="1"/>
        <v>88</v>
      </c>
      <c r="AA4">
        <v>0</v>
      </c>
      <c r="AB4">
        <f>51-X4</f>
        <v>32</v>
      </c>
      <c r="AD4">
        <f>84-X4</f>
        <v>65</v>
      </c>
      <c r="AE4">
        <f t="shared" si="2"/>
        <v>88</v>
      </c>
      <c r="AF4">
        <f>(AB4-AA4)/AE4</f>
        <v>0.36363636363636365</v>
      </c>
      <c r="AG4">
        <f>(AE4-AD4)/AE4</f>
        <v>0.26136363636363635</v>
      </c>
      <c r="AH4">
        <f t="shared" si="6"/>
        <v>0.375</v>
      </c>
      <c r="AK4">
        <f t="shared" si="7"/>
        <v>1</v>
      </c>
      <c r="AL4">
        <f t="shared" si="8"/>
        <v>0.625</v>
      </c>
      <c r="AM4">
        <f t="shared" si="9"/>
        <v>0.375</v>
      </c>
      <c r="AQ4">
        <f>AQ3+1</f>
        <v>3</v>
      </c>
      <c r="AR4">
        <f>F63</f>
        <v>0.65384615384615385</v>
      </c>
      <c r="AS4">
        <f>L63</f>
        <v>0.34615384615384615</v>
      </c>
      <c r="AT4">
        <v>0.78</v>
      </c>
      <c r="AV4" s="20" t="s">
        <v>113</v>
      </c>
      <c r="AW4" s="1">
        <f>(G9-F9)*10^-2</f>
        <v>0.26</v>
      </c>
      <c r="AX4" s="8">
        <f>H9*10^-2</f>
        <v>0.27</v>
      </c>
      <c r="AY4" s="1">
        <f>(J9-I9)*10^-2</f>
        <v>0.25</v>
      </c>
      <c r="AZ4" s="8">
        <f t="shared" ref="AZ4:AZ13" si="11">SUM(AW4:AY4)-AT4</f>
        <v>0</v>
      </c>
      <c r="BA4" t="s">
        <v>119</v>
      </c>
      <c r="BB4" t="s">
        <v>107</v>
      </c>
      <c r="BC4" t="s">
        <v>98</v>
      </c>
      <c r="BE4" s="8" t="s">
        <v>123</v>
      </c>
      <c r="BF4" s="8" t="s">
        <v>107</v>
      </c>
      <c r="BG4" s="8" t="s">
        <v>98</v>
      </c>
      <c r="BI4" s="8" t="s">
        <v>124</v>
      </c>
      <c r="BJ4" s="8" t="s">
        <v>107</v>
      </c>
      <c r="BK4" s="8" t="s">
        <v>98</v>
      </c>
    </row>
    <row r="5" spans="1:113" x14ac:dyDescent="0.25">
      <c r="A5" s="23" t="s">
        <v>17</v>
      </c>
      <c r="B5" s="23">
        <v>121</v>
      </c>
      <c r="C5" s="23">
        <v>19</v>
      </c>
      <c r="D5" s="23">
        <v>20</v>
      </c>
      <c r="E5" s="23">
        <f t="shared" si="0"/>
        <v>82</v>
      </c>
      <c r="F5" s="23">
        <f>0</f>
        <v>0</v>
      </c>
      <c r="G5" s="23">
        <f>46-C5</f>
        <v>27</v>
      </c>
      <c r="H5" s="23">
        <f>I5-G5</f>
        <v>34</v>
      </c>
      <c r="I5" s="23">
        <f>80-C5</f>
        <v>61</v>
      </c>
      <c r="J5" s="23">
        <f t="shared" si="10"/>
        <v>82</v>
      </c>
      <c r="K5" s="23">
        <f xml:space="preserve"> H5/E5</f>
        <v>0.41463414634146339</v>
      </c>
      <c r="L5" s="23"/>
      <c r="M5" s="23">
        <f xml:space="preserve"> (G5-F5)/E5</f>
        <v>0.32926829268292684</v>
      </c>
      <c r="N5" s="23">
        <f>(J5-I5)/E5</f>
        <v>0.25609756097560976</v>
      </c>
      <c r="O5" s="23"/>
      <c r="P5" s="23">
        <f t="shared" si="3"/>
        <v>1</v>
      </c>
      <c r="Q5" s="23">
        <f t="shared" si="4"/>
        <v>0.41463414634146339</v>
      </c>
      <c r="R5" s="23">
        <f t="shared" si="5"/>
        <v>0.58536585365853666</v>
      </c>
      <c r="V5" s="1" t="s">
        <v>17</v>
      </c>
      <c r="W5">
        <v>121</v>
      </c>
      <c r="X5">
        <v>16</v>
      </c>
      <c r="Y5">
        <v>18</v>
      </c>
      <c r="Z5">
        <f t="shared" si="1"/>
        <v>87</v>
      </c>
      <c r="AA5">
        <v>0</v>
      </c>
      <c r="AB5">
        <f>47-X5</f>
        <v>31</v>
      </c>
      <c r="AC5">
        <f>AD5-AB5</f>
        <v>33</v>
      </c>
      <c r="AD5">
        <f>80-X5</f>
        <v>64</v>
      </c>
      <c r="AE5">
        <f t="shared" si="2"/>
        <v>87</v>
      </c>
      <c r="AF5">
        <f>AC5/AE5</f>
        <v>0.37931034482758619</v>
      </c>
      <c r="AH5">
        <f>(AB5-AA5)/AE5</f>
        <v>0.35632183908045978</v>
      </c>
      <c r="AI5">
        <f>(AE5-AD5)/AE5</f>
        <v>0.26436781609195403</v>
      </c>
      <c r="AK5">
        <f t="shared" si="7"/>
        <v>1</v>
      </c>
      <c r="AL5">
        <f t="shared" si="8"/>
        <v>0.37931034482758619</v>
      </c>
      <c r="AM5">
        <f t="shared" si="9"/>
        <v>0.62068965517241381</v>
      </c>
      <c r="AQ5">
        <f t="shared" ref="AQ5:AQ13" si="12">AQ4+1</f>
        <v>4</v>
      </c>
      <c r="AR5">
        <f>F67</f>
        <v>0.7407407407407407</v>
      </c>
      <c r="AS5">
        <f>L67</f>
        <v>0.25925925925925924</v>
      </c>
      <c r="AT5">
        <v>0.81</v>
      </c>
      <c r="AV5" s="20" t="s">
        <v>114</v>
      </c>
      <c r="AW5" s="1">
        <f>(G13-F13)*10^-2</f>
        <v>0.31</v>
      </c>
      <c r="AX5" s="8">
        <f>H13*10^-2</f>
        <v>0.21</v>
      </c>
      <c r="AY5" s="1">
        <f>(J13-I13)*10^-2</f>
        <v>0.28999999999999998</v>
      </c>
      <c r="AZ5" s="8">
        <f t="shared" si="11"/>
        <v>0</v>
      </c>
      <c r="BB5">
        <f>1-AS6</f>
        <v>0.51162790697674421</v>
      </c>
      <c r="BC5" s="8">
        <f>AT6</f>
        <v>0.43</v>
      </c>
      <c r="BE5" s="8"/>
      <c r="BF5" s="8">
        <f>1-AS8</f>
        <v>0.72727272727272729</v>
      </c>
      <c r="BG5" s="8">
        <f>AT8</f>
        <v>0.55000000000000004</v>
      </c>
      <c r="BI5" s="8"/>
      <c r="BJ5" s="8">
        <f>BL6</f>
        <v>0.8</v>
      </c>
      <c r="BK5" s="8">
        <f>BM6</f>
        <v>0.55000000000000004</v>
      </c>
      <c r="BL5">
        <f>1-AS7</f>
        <v>0.64615384615384608</v>
      </c>
      <c r="BM5">
        <f>AT7</f>
        <v>0.65</v>
      </c>
    </row>
    <row r="6" spans="1:113" x14ac:dyDescent="0.25">
      <c r="A6" s="23" t="s">
        <v>18</v>
      </c>
      <c r="B6" s="23">
        <v>121</v>
      </c>
      <c r="C6" s="23">
        <v>13</v>
      </c>
      <c r="D6" s="23">
        <v>26</v>
      </c>
      <c r="E6" s="23">
        <f t="shared" si="0"/>
        <v>82</v>
      </c>
      <c r="F6" s="23">
        <v>0</v>
      </c>
      <c r="G6" s="23">
        <f>31-C6</f>
        <v>18</v>
      </c>
      <c r="H6" s="23"/>
      <c r="I6" s="23">
        <f>80-C6</f>
        <v>67</v>
      </c>
      <c r="J6" s="23">
        <f t="shared" si="10"/>
        <v>82</v>
      </c>
      <c r="K6" s="23">
        <f>(G6-F6)/E6</f>
        <v>0.21951219512195122</v>
      </c>
      <c r="L6" s="23">
        <f>(J6-I6)/E6</f>
        <v>0.18292682926829268</v>
      </c>
      <c r="M6" s="23">
        <f>(I6-G6)/E6</f>
        <v>0.59756097560975607</v>
      </c>
      <c r="N6" s="23"/>
      <c r="O6" s="23"/>
      <c r="P6" s="23">
        <f t="shared" si="3"/>
        <v>1</v>
      </c>
      <c r="Q6" s="23">
        <f t="shared" si="4"/>
        <v>0.40243902439024393</v>
      </c>
      <c r="R6" s="23">
        <f t="shared" si="5"/>
        <v>0.59756097560975607</v>
      </c>
      <c r="V6" t="s">
        <v>18</v>
      </c>
      <c r="W6">
        <v>121</v>
      </c>
      <c r="X6">
        <v>8</v>
      </c>
      <c r="Y6">
        <v>19</v>
      </c>
      <c r="Z6">
        <f t="shared" si="1"/>
        <v>94</v>
      </c>
      <c r="AA6">
        <v>0</v>
      </c>
      <c r="AB6">
        <f>29-X6</f>
        <v>21</v>
      </c>
      <c r="AD6">
        <f>82-X6</f>
        <v>74</v>
      </c>
      <c r="AE6">
        <f t="shared" si="2"/>
        <v>94</v>
      </c>
      <c r="AF6">
        <f>(AB6-AA6)/AE6</f>
        <v>0.22340425531914893</v>
      </c>
      <c r="AG6">
        <f>(AE6-AD6)/AE6</f>
        <v>0.21276595744680851</v>
      </c>
      <c r="AH6">
        <f>(AD6-AB6)/AE6</f>
        <v>0.56382978723404253</v>
      </c>
      <c r="AK6">
        <f t="shared" si="7"/>
        <v>1</v>
      </c>
      <c r="AL6">
        <f t="shared" si="8"/>
        <v>0.43617021276595747</v>
      </c>
      <c r="AM6">
        <f t="shared" si="9"/>
        <v>0.56382978723404253</v>
      </c>
      <c r="AQ6">
        <f t="shared" si="12"/>
        <v>5</v>
      </c>
      <c r="AR6">
        <f>F71</f>
        <v>0.51162790697674421</v>
      </c>
      <c r="AS6">
        <f>L71</f>
        <v>0.48837209302325579</v>
      </c>
      <c r="AT6">
        <v>0.43</v>
      </c>
      <c r="AV6" s="20" t="s">
        <v>82</v>
      </c>
      <c r="AW6" s="1">
        <f>(G17-F17)*10^-2</f>
        <v>0.13</v>
      </c>
      <c r="AX6" s="8">
        <f>H17*10^-2</f>
        <v>0.21</v>
      </c>
      <c r="AY6" s="1">
        <f>(J17-I17)*10^-2</f>
        <v>0.09</v>
      </c>
      <c r="AZ6" s="8">
        <f t="shared" si="11"/>
        <v>0</v>
      </c>
      <c r="BB6">
        <f>1-AS9</f>
        <v>0.76271186440677963</v>
      </c>
      <c r="BC6" s="8">
        <f>AT9</f>
        <v>0.59</v>
      </c>
      <c r="BE6" s="8"/>
      <c r="BF6" s="8">
        <f>1-AS11</f>
        <v>0.68333333333333335</v>
      </c>
      <c r="BG6" s="8">
        <f>AT11</f>
        <v>0.6</v>
      </c>
      <c r="BI6" s="8"/>
      <c r="BJ6" s="8">
        <f>BL5</f>
        <v>0.64615384615384608</v>
      </c>
      <c r="BK6" s="8">
        <f>BM5</f>
        <v>0.65</v>
      </c>
      <c r="BL6">
        <f>1-AS10</f>
        <v>0.8</v>
      </c>
      <c r="BM6">
        <f>AT10</f>
        <v>0.55000000000000004</v>
      </c>
    </row>
    <row r="7" spans="1:113" x14ac:dyDescent="0.25">
      <c r="A7" s="23" t="s">
        <v>19</v>
      </c>
      <c r="B7" s="23">
        <v>111</v>
      </c>
      <c r="C7" s="23">
        <v>13</v>
      </c>
      <c r="D7" s="23">
        <v>21</v>
      </c>
      <c r="E7" s="23">
        <f t="shared" si="0"/>
        <v>77</v>
      </c>
      <c r="F7" s="23">
        <f>0</f>
        <v>0</v>
      </c>
      <c r="G7" s="23">
        <f>38-C7</f>
        <v>25</v>
      </c>
      <c r="H7" s="23"/>
      <c r="I7" s="23">
        <f>72-C7</f>
        <v>59</v>
      </c>
      <c r="J7" s="23">
        <f t="shared" si="10"/>
        <v>77</v>
      </c>
      <c r="K7" s="23">
        <f>(G7-F7)/E7</f>
        <v>0.32467532467532467</v>
      </c>
      <c r="L7" s="23">
        <f>(J7-I7)/E7</f>
        <v>0.23376623376623376</v>
      </c>
      <c r="M7" s="23">
        <f>(I7-G7)/E7</f>
        <v>0.44155844155844154</v>
      </c>
      <c r="N7" s="23"/>
      <c r="O7" s="23"/>
      <c r="P7" s="23">
        <f t="shared" si="3"/>
        <v>1</v>
      </c>
      <c r="Q7" s="23">
        <f t="shared" si="4"/>
        <v>0.55844155844155841</v>
      </c>
      <c r="R7" s="23">
        <f t="shared" si="5"/>
        <v>0.44155844155844154</v>
      </c>
      <c r="V7" t="s">
        <v>19</v>
      </c>
      <c r="W7">
        <v>111</v>
      </c>
      <c r="X7">
        <v>7</v>
      </c>
      <c r="Y7">
        <v>9</v>
      </c>
      <c r="Z7">
        <f t="shared" si="1"/>
        <v>95</v>
      </c>
      <c r="AA7">
        <v>0</v>
      </c>
      <c r="AB7">
        <f>36-X7</f>
        <v>29</v>
      </c>
      <c r="AD7">
        <f>73-X7</f>
        <v>66</v>
      </c>
      <c r="AE7">
        <f t="shared" si="2"/>
        <v>95</v>
      </c>
      <c r="AF7">
        <f>(AB7-AA7)/AE7</f>
        <v>0.30526315789473685</v>
      </c>
      <c r="AG7">
        <f>(AE7-AD7)/AE7</f>
        <v>0.30526315789473685</v>
      </c>
      <c r="AH7">
        <f>(AD7-AB7)/AE7</f>
        <v>0.38947368421052631</v>
      </c>
      <c r="AK7">
        <f t="shared" si="7"/>
        <v>1</v>
      </c>
      <c r="AL7">
        <f t="shared" si="8"/>
        <v>0.61052631578947369</v>
      </c>
      <c r="AM7">
        <f t="shared" si="9"/>
        <v>0.38947368421052631</v>
      </c>
      <c r="AQ7">
        <f t="shared" si="12"/>
        <v>6</v>
      </c>
      <c r="AR7">
        <f>F95</f>
        <v>0.64615384615384619</v>
      </c>
      <c r="AS7">
        <f>L95</f>
        <v>0.35384615384615387</v>
      </c>
      <c r="AT7">
        <v>0.65</v>
      </c>
      <c r="AV7" s="20" t="s">
        <v>113</v>
      </c>
      <c r="AW7" s="1">
        <f>(G41-F41)*10^-2</f>
        <v>0.23</v>
      </c>
      <c r="AX7" s="8">
        <f>H41*10^-2</f>
        <v>0.23</v>
      </c>
      <c r="AY7" s="1">
        <f>(J41-I41)*10^-2</f>
        <v>0.19</v>
      </c>
      <c r="AZ7" s="8">
        <f t="shared" si="11"/>
        <v>0</v>
      </c>
      <c r="BB7">
        <f>1-AS3</f>
        <v>0.58536585365853666</v>
      </c>
      <c r="BC7" s="8">
        <f>AT3</f>
        <v>0.82</v>
      </c>
      <c r="BE7" s="8"/>
      <c r="BF7" s="8">
        <f>1-AS5</f>
        <v>0.7407407407407407</v>
      </c>
      <c r="BG7" s="8">
        <f>AT5</f>
        <v>0.81</v>
      </c>
      <c r="BI7" s="8"/>
      <c r="BJ7" s="8">
        <f>1-AS4</f>
        <v>0.65384615384615385</v>
      </c>
      <c r="BK7" s="8">
        <f>AT4</f>
        <v>0.78</v>
      </c>
    </row>
    <row r="8" spans="1:113" x14ac:dyDescent="0.25">
      <c r="A8" s="23" t="s">
        <v>20</v>
      </c>
      <c r="B8" s="23">
        <v>121</v>
      </c>
      <c r="C8" s="23">
        <v>18</v>
      </c>
      <c r="D8" s="23">
        <v>22</v>
      </c>
      <c r="E8" s="23">
        <f t="shared" si="0"/>
        <v>81</v>
      </c>
      <c r="F8" s="23">
        <f>0</f>
        <v>0</v>
      </c>
      <c r="G8" s="23">
        <f>46-C8</f>
        <v>28</v>
      </c>
      <c r="H8" s="23"/>
      <c r="I8" s="23">
        <f>75-C8</f>
        <v>57</v>
      </c>
      <c r="J8" s="23">
        <f t="shared" si="10"/>
        <v>81</v>
      </c>
      <c r="K8" s="23">
        <f>(G8-F8)/E8</f>
        <v>0.34567901234567899</v>
      </c>
      <c r="L8" s="23">
        <f>(J8-I8)/E8</f>
        <v>0.29629629629629628</v>
      </c>
      <c r="M8" s="23">
        <f>(I8-G8)/E8</f>
        <v>0.35802469135802467</v>
      </c>
      <c r="N8" s="23"/>
      <c r="O8" s="23"/>
      <c r="P8" s="23">
        <f t="shared" si="3"/>
        <v>1</v>
      </c>
      <c r="Q8" s="23">
        <f t="shared" si="4"/>
        <v>0.64197530864197527</v>
      </c>
      <c r="R8" s="23">
        <f t="shared" si="5"/>
        <v>0.35802469135802467</v>
      </c>
      <c r="V8" t="s">
        <v>20</v>
      </c>
      <c r="W8">
        <v>121</v>
      </c>
      <c r="X8">
        <v>14</v>
      </c>
      <c r="Y8">
        <v>18</v>
      </c>
      <c r="Z8">
        <f t="shared" si="1"/>
        <v>89</v>
      </c>
      <c r="AA8">
        <v>0</v>
      </c>
      <c r="AB8">
        <f>45-X8</f>
        <v>31</v>
      </c>
      <c r="AD8">
        <f>77-X8</f>
        <v>63</v>
      </c>
      <c r="AE8">
        <f t="shared" si="2"/>
        <v>89</v>
      </c>
      <c r="AF8">
        <f>(AB8-AA8)/AE8</f>
        <v>0.34831460674157305</v>
      </c>
      <c r="AG8">
        <f>(AE8-AD8)/AE8</f>
        <v>0.29213483146067415</v>
      </c>
      <c r="AH8">
        <f>(AD8-AB8)/AE8</f>
        <v>0.3595505617977528</v>
      </c>
      <c r="AK8">
        <f t="shared" si="7"/>
        <v>1</v>
      </c>
      <c r="AL8">
        <f t="shared" si="8"/>
        <v>0.6404494382022472</v>
      </c>
      <c r="AM8">
        <f t="shared" si="9"/>
        <v>0.3595505617977528</v>
      </c>
      <c r="AQ8">
        <f t="shared" si="12"/>
        <v>7</v>
      </c>
      <c r="AR8">
        <f>F99</f>
        <v>0.72727272727272729</v>
      </c>
      <c r="AS8">
        <f>L99</f>
        <v>0.27272727272727271</v>
      </c>
      <c r="AT8">
        <v>0.55000000000000004</v>
      </c>
      <c r="AV8" s="20" t="s">
        <v>114</v>
      </c>
      <c r="AW8" s="1">
        <f>(G45-F45)*10^-2</f>
        <v>0.27</v>
      </c>
      <c r="AX8" s="8">
        <f>H45*10^-2</f>
        <v>0.15</v>
      </c>
      <c r="AY8" s="1">
        <f>(J45-I45)*10^-2</f>
        <v>0.13</v>
      </c>
      <c r="AZ8" s="8">
        <f t="shared" si="11"/>
        <v>0</v>
      </c>
      <c r="BB8">
        <f>1-AS13</f>
        <v>0.37241379310344824</v>
      </c>
      <c r="BC8" s="8">
        <f>AT13</f>
        <v>1.45</v>
      </c>
      <c r="BE8" s="8"/>
      <c r="BF8" s="8">
        <f>1-AS12</f>
        <v>0.53741496598639449</v>
      </c>
      <c r="BG8" s="8">
        <f>AT12</f>
        <v>1.47</v>
      </c>
      <c r="BI8" s="8"/>
      <c r="BJ8" s="8">
        <f>1-AS14</f>
        <v>9.7902097902097918E-2</v>
      </c>
      <c r="BK8" s="8">
        <f>AT14</f>
        <v>1.43</v>
      </c>
    </row>
    <row r="9" spans="1:113" x14ac:dyDescent="0.25">
      <c r="A9" s="23" t="s">
        <v>21</v>
      </c>
      <c r="B9" s="23">
        <v>121</v>
      </c>
      <c r="C9" s="23">
        <v>17</v>
      </c>
      <c r="D9" s="23">
        <v>26</v>
      </c>
      <c r="E9" s="23">
        <f t="shared" si="0"/>
        <v>78</v>
      </c>
      <c r="F9" s="23">
        <f>0</f>
        <v>0</v>
      </c>
      <c r="G9" s="23">
        <f>43-C9</f>
        <v>26</v>
      </c>
      <c r="H9" s="23">
        <f>I9-G9</f>
        <v>27</v>
      </c>
      <c r="I9" s="23">
        <f>70-C9</f>
        <v>53</v>
      </c>
      <c r="J9" s="23">
        <f t="shared" si="10"/>
        <v>78</v>
      </c>
      <c r="K9" s="23">
        <f>H9/J9</f>
        <v>0.34615384615384615</v>
      </c>
      <c r="L9" s="23"/>
      <c r="M9" s="23">
        <f>(G9-F9)/J9</f>
        <v>0.33333333333333331</v>
      </c>
      <c r="N9" s="23">
        <f>(J9-I9)/J9</f>
        <v>0.32051282051282054</v>
      </c>
      <c r="O9" s="23"/>
      <c r="P9" s="23">
        <f t="shared" si="3"/>
        <v>1</v>
      </c>
      <c r="Q9" s="23">
        <f t="shared" si="4"/>
        <v>0.34615384615384615</v>
      </c>
      <c r="R9" s="23">
        <f t="shared" si="5"/>
        <v>0.65384615384615385</v>
      </c>
      <c r="V9" s="1" t="s">
        <v>21</v>
      </c>
      <c r="W9">
        <v>121</v>
      </c>
      <c r="X9">
        <v>12</v>
      </c>
      <c r="Y9">
        <v>13</v>
      </c>
      <c r="Z9">
        <f t="shared" si="1"/>
        <v>96</v>
      </c>
      <c r="AA9">
        <f>0</f>
        <v>0</v>
      </c>
      <c r="AB9">
        <f>44-X9</f>
        <v>32</v>
      </c>
      <c r="AC9">
        <f>AD9-AB9</f>
        <v>25</v>
      </c>
      <c r="AD9">
        <f>69-X9</f>
        <v>57</v>
      </c>
      <c r="AE9">
        <f t="shared" si="2"/>
        <v>96</v>
      </c>
      <c r="AF9">
        <f>AC9/AE9</f>
        <v>0.26041666666666669</v>
      </c>
      <c r="AH9">
        <f>(AB9-AA9)/AE9</f>
        <v>0.33333333333333331</v>
      </c>
      <c r="AI9">
        <f>(AE9-AD9)/AE9</f>
        <v>0.40625</v>
      </c>
      <c r="AK9">
        <f t="shared" si="7"/>
        <v>1</v>
      </c>
      <c r="AL9">
        <f t="shared" si="8"/>
        <v>0.26041666666666669</v>
      </c>
      <c r="AM9">
        <f t="shared" si="9"/>
        <v>0.73958333333333326</v>
      </c>
      <c r="AQ9">
        <f t="shared" si="12"/>
        <v>8</v>
      </c>
      <c r="AR9">
        <f>F75</f>
        <v>0.76271186440677963</v>
      </c>
      <c r="AS9">
        <f>L75</f>
        <v>0.23728813559322035</v>
      </c>
      <c r="AT9">
        <v>0.59</v>
      </c>
      <c r="AV9" s="20" t="s">
        <v>82</v>
      </c>
      <c r="AW9" s="1">
        <f>(G21-F21)*10^-2</f>
        <v>0.27</v>
      </c>
      <c r="AX9" s="8">
        <f>H21*10^-2</f>
        <v>0.14000000000000001</v>
      </c>
      <c r="AY9" s="1">
        <f>(J21-I21)*10^-2</f>
        <v>0.18</v>
      </c>
      <c r="AZ9" s="8">
        <f t="shared" si="11"/>
        <v>0</v>
      </c>
      <c r="BE9" s="8"/>
      <c r="BF9" s="8"/>
      <c r="BG9" s="8"/>
      <c r="BI9" s="8"/>
      <c r="BJ9" s="8"/>
      <c r="BK9" s="8"/>
    </row>
    <row r="10" spans="1:113" x14ac:dyDescent="0.25">
      <c r="A10" s="23" t="s">
        <v>22</v>
      </c>
      <c r="B10" s="23">
        <v>121</v>
      </c>
      <c r="C10" s="23">
        <v>17</v>
      </c>
      <c r="D10" s="23">
        <v>21</v>
      </c>
      <c r="E10" s="23">
        <f t="shared" si="0"/>
        <v>83</v>
      </c>
      <c r="F10" s="23">
        <f>0</f>
        <v>0</v>
      </c>
      <c r="G10" s="23">
        <f>37-C10</f>
        <v>20</v>
      </c>
      <c r="H10" s="23"/>
      <c r="I10" s="23">
        <f>84-C10</f>
        <v>67</v>
      </c>
      <c r="J10" s="23">
        <f t="shared" si="10"/>
        <v>83</v>
      </c>
      <c r="K10" s="23">
        <f>(G10-F10)/J10</f>
        <v>0.24096385542168675</v>
      </c>
      <c r="L10" s="23">
        <f>(J10-I10)/E10</f>
        <v>0.19277108433734941</v>
      </c>
      <c r="M10" s="23">
        <f>(I10-G10)/J10</f>
        <v>0.5662650602409639</v>
      </c>
      <c r="N10" s="23"/>
      <c r="O10" s="23"/>
      <c r="P10" s="23">
        <f t="shared" si="3"/>
        <v>1</v>
      </c>
      <c r="Q10" s="23">
        <f t="shared" si="4"/>
        <v>0.43373493975903615</v>
      </c>
      <c r="R10" s="23">
        <f t="shared" si="5"/>
        <v>0.5662650602409639</v>
      </c>
      <c r="V10" t="s">
        <v>22</v>
      </c>
      <c r="W10">
        <v>121</v>
      </c>
      <c r="X10">
        <v>16</v>
      </c>
      <c r="Y10">
        <v>18</v>
      </c>
      <c r="Z10">
        <f t="shared" si="1"/>
        <v>87</v>
      </c>
      <c r="AA10">
        <v>0</v>
      </c>
      <c r="AB10">
        <f>35-X10</f>
        <v>19</v>
      </c>
      <c r="AD10">
        <f>85-X10</f>
        <v>69</v>
      </c>
      <c r="AE10">
        <f t="shared" si="2"/>
        <v>87</v>
      </c>
      <c r="AF10">
        <f>(AB10-AA10)/AE10</f>
        <v>0.21839080459770116</v>
      </c>
      <c r="AG10">
        <f>(AE10-AD10)/AE10</f>
        <v>0.20689655172413793</v>
      </c>
      <c r="AH10">
        <f>(AD10-AB10)/AE10</f>
        <v>0.57471264367816088</v>
      </c>
      <c r="AK10">
        <f t="shared" si="7"/>
        <v>1</v>
      </c>
      <c r="AL10">
        <f t="shared" si="8"/>
        <v>0.42528735632183912</v>
      </c>
      <c r="AM10">
        <f t="shared" si="9"/>
        <v>0.57471264367816088</v>
      </c>
      <c r="AQ10" s="1">
        <f t="shared" si="12"/>
        <v>9</v>
      </c>
      <c r="AR10">
        <f>F79</f>
        <v>0.8</v>
      </c>
      <c r="AS10">
        <f>L79</f>
        <v>0.2</v>
      </c>
      <c r="AT10">
        <v>0.55000000000000004</v>
      </c>
      <c r="AV10" s="20" t="s">
        <v>115</v>
      </c>
      <c r="AW10" s="1">
        <f>(G25-F25)*10^-2</f>
        <v>0.2</v>
      </c>
      <c r="AX10" s="8">
        <f>H25*10^-2</f>
        <v>0.11</v>
      </c>
      <c r="AY10" s="1">
        <f>(J25-I25)*10^-2</f>
        <v>0.24</v>
      </c>
      <c r="AZ10" s="8">
        <f t="shared" si="11"/>
        <v>0</v>
      </c>
      <c r="BE10" s="8"/>
      <c r="BF10" s="8"/>
      <c r="BG10" s="8"/>
      <c r="BI10" s="8"/>
      <c r="BJ10" s="8"/>
      <c r="BK10" s="8"/>
    </row>
    <row r="11" spans="1:113" x14ac:dyDescent="0.25">
      <c r="A11" s="23" t="s">
        <v>23</v>
      </c>
      <c r="B11" s="23">
        <v>111</v>
      </c>
      <c r="C11" s="23">
        <v>12</v>
      </c>
      <c r="D11" s="23">
        <v>16</v>
      </c>
      <c r="E11" s="23">
        <f t="shared" si="0"/>
        <v>83</v>
      </c>
      <c r="F11" s="23">
        <f>0</f>
        <v>0</v>
      </c>
      <c r="G11" s="23">
        <f>38-C11</f>
        <v>26</v>
      </c>
      <c r="H11" s="23"/>
      <c r="I11" s="23">
        <f>72-C11</f>
        <v>60</v>
      </c>
      <c r="J11" s="23">
        <f t="shared" si="10"/>
        <v>83</v>
      </c>
      <c r="K11" s="23">
        <f>(G11-F11)/J11</f>
        <v>0.31325301204819278</v>
      </c>
      <c r="L11" s="23">
        <f>(J11-I11)/E11</f>
        <v>0.27710843373493976</v>
      </c>
      <c r="M11" s="23">
        <f>(I11-G11)/J11</f>
        <v>0.40963855421686746</v>
      </c>
      <c r="N11" s="23"/>
      <c r="O11" s="23"/>
      <c r="P11" s="23">
        <f t="shared" si="3"/>
        <v>1</v>
      </c>
      <c r="Q11" s="23">
        <f t="shared" si="4"/>
        <v>0.59036144578313254</v>
      </c>
      <c r="R11" s="23">
        <f t="shared" si="5"/>
        <v>0.40963855421686746</v>
      </c>
      <c r="V11" t="s">
        <v>23</v>
      </c>
      <c r="W11">
        <v>111</v>
      </c>
      <c r="X11">
        <v>10</v>
      </c>
      <c r="Y11">
        <v>12</v>
      </c>
      <c r="Z11">
        <f t="shared" si="1"/>
        <v>89</v>
      </c>
      <c r="AA11">
        <v>0</v>
      </c>
      <c r="AB11">
        <f>37-X11</f>
        <v>27</v>
      </c>
      <c r="AD11">
        <f>74-X11</f>
        <v>64</v>
      </c>
      <c r="AE11">
        <f t="shared" si="2"/>
        <v>89</v>
      </c>
      <c r="AF11">
        <f>(AB11-AA11)/AE11</f>
        <v>0.30337078651685395</v>
      </c>
      <c r="AG11">
        <f>(AE11-AD11)/AE11</f>
        <v>0.2808988764044944</v>
      </c>
      <c r="AH11">
        <f>(AD11-AB11)/AE11</f>
        <v>0.4157303370786517</v>
      </c>
      <c r="AK11">
        <f t="shared" si="7"/>
        <v>1</v>
      </c>
      <c r="AL11">
        <f t="shared" si="8"/>
        <v>0.58426966292134841</v>
      </c>
      <c r="AM11">
        <f t="shared" si="9"/>
        <v>0.4157303370786517</v>
      </c>
      <c r="AQ11">
        <f t="shared" si="12"/>
        <v>10</v>
      </c>
      <c r="AR11">
        <f>F83</f>
        <v>0.68333333333333335</v>
      </c>
      <c r="AS11">
        <f>L83</f>
        <v>0.31666666666666665</v>
      </c>
      <c r="AT11">
        <v>0.6</v>
      </c>
      <c r="AV11" s="20" t="s">
        <v>83</v>
      </c>
      <c r="AW11" s="1">
        <f>(G29-F29)*10^-2</f>
        <v>0.2</v>
      </c>
      <c r="AX11" s="8">
        <f>H29*10^-2</f>
        <v>0.19</v>
      </c>
      <c r="AY11" s="1">
        <f>(J29-I29)*10^-2</f>
        <v>0.21</v>
      </c>
      <c r="AZ11" s="8">
        <f t="shared" si="11"/>
        <v>0</v>
      </c>
      <c r="BE11" s="8"/>
      <c r="BF11" s="8"/>
      <c r="BG11" s="8"/>
      <c r="BI11" s="8"/>
      <c r="BJ11" s="8"/>
      <c r="BK11" s="8"/>
    </row>
    <row r="12" spans="1:113" x14ac:dyDescent="0.25">
      <c r="A12" s="23" t="s">
        <v>24</v>
      </c>
      <c r="B12" s="23">
        <v>121</v>
      </c>
      <c r="C12" s="23">
        <v>18</v>
      </c>
      <c r="D12" s="23">
        <v>23</v>
      </c>
      <c r="E12" s="23">
        <f t="shared" si="0"/>
        <v>80</v>
      </c>
      <c r="F12" s="23">
        <f>0</f>
        <v>0</v>
      </c>
      <c r="G12" s="23">
        <f>46-C12</f>
        <v>28</v>
      </c>
      <c r="H12" s="23"/>
      <c r="I12" s="23">
        <f>71-C12</f>
        <v>53</v>
      </c>
      <c r="J12" s="23">
        <f t="shared" si="10"/>
        <v>80</v>
      </c>
      <c r="K12" s="23">
        <f>(G12-F12)/J12</f>
        <v>0.35</v>
      </c>
      <c r="L12" s="23">
        <f>(J12-I12)/E12</f>
        <v>0.33750000000000002</v>
      </c>
      <c r="M12" s="23">
        <f>(I12-G12)/J12</f>
        <v>0.3125</v>
      </c>
      <c r="N12" s="23"/>
      <c r="O12" s="23"/>
      <c r="P12" s="23">
        <f t="shared" si="3"/>
        <v>1</v>
      </c>
      <c r="Q12" s="23">
        <f t="shared" si="4"/>
        <v>0.6875</v>
      </c>
      <c r="R12" s="23">
        <f t="shared" si="5"/>
        <v>0.3125</v>
      </c>
      <c r="V12" t="s">
        <v>24</v>
      </c>
      <c r="W12">
        <v>121</v>
      </c>
      <c r="X12">
        <v>12</v>
      </c>
      <c r="Y12">
        <v>20</v>
      </c>
      <c r="Z12">
        <f t="shared" si="1"/>
        <v>89</v>
      </c>
      <c r="AA12">
        <v>0</v>
      </c>
      <c r="AB12">
        <f>45-X12</f>
        <v>33</v>
      </c>
      <c r="AD12">
        <f>72-X12</f>
        <v>60</v>
      </c>
      <c r="AE12">
        <f t="shared" si="2"/>
        <v>89</v>
      </c>
      <c r="AF12">
        <f>(AB12-AA12)/AE12</f>
        <v>0.3707865168539326</v>
      </c>
      <c r="AG12">
        <f>(AE12-AD12)/AE12</f>
        <v>0.3258426966292135</v>
      </c>
      <c r="AH12">
        <f>(AD12-AB12)/AE12</f>
        <v>0.30337078651685395</v>
      </c>
      <c r="AK12">
        <f t="shared" si="7"/>
        <v>1</v>
      </c>
      <c r="AL12">
        <f t="shared" si="8"/>
        <v>0.6966292134831461</v>
      </c>
      <c r="AM12">
        <f t="shared" si="9"/>
        <v>0.30337078651685395</v>
      </c>
      <c r="AQ12">
        <f t="shared" si="12"/>
        <v>11</v>
      </c>
      <c r="AR12">
        <f>F87</f>
        <v>0.53741496598639449</v>
      </c>
      <c r="AS12">
        <f>L87</f>
        <v>0.46258503401360546</v>
      </c>
      <c r="AT12">
        <v>1.47</v>
      </c>
      <c r="AV12" s="20" t="s">
        <v>83</v>
      </c>
      <c r="AW12" s="1">
        <f>(G33-F33)*10^-2</f>
        <v>0.42</v>
      </c>
      <c r="AX12" s="8">
        <f>H33*10^-2</f>
        <v>0.68</v>
      </c>
      <c r="AY12" s="1">
        <f>(J33-I33)*10^-2</f>
        <v>0.37</v>
      </c>
      <c r="AZ12" s="8">
        <f t="shared" si="11"/>
        <v>0</v>
      </c>
      <c r="BA12" t="s">
        <v>119</v>
      </c>
      <c r="BB12" t="s">
        <v>127</v>
      </c>
      <c r="BE12" s="8" t="s">
        <v>123</v>
      </c>
      <c r="BF12" s="8" t="s">
        <v>127</v>
      </c>
      <c r="BG12" s="8"/>
      <c r="BI12" s="8" t="s">
        <v>124</v>
      </c>
      <c r="BJ12" s="8" t="s">
        <v>127</v>
      </c>
      <c r="BK12" s="8"/>
    </row>
    <row r="13" spans="1:113" x14ac:dyDescent="0.25">
      <c r="A13" s="23" t="s">
        <v>26</v>
      </c>
      <c r="B13" s="23">
        <v>121</v>
      </c>
      <c r="C13" s="23">
        <v>19</v>
      </c>
      <c r="D13" s="23">
        <v>21</v>
      </c>
      <c r="E13" s="23">
        <f t="shared" si="0"/>
        <v>81</v>
      </c>
      <c r="F13" s="23">
        <f>0</f>
        <v>0</v>
      </c>
      <c r="G13" s="23">
        <f>50-C13</f>
        <v>31</v>
      </c>
      <c r="H13" s="23">
        <f>I13-G13</f>
        <v>21</v>
      </c>
      <c r="I13" s="23">
        <f>71-C13</f>
        <v>52</v>
      </c>
      <c r="J13" s="23">
        <f t="shared" si="10"/>
        <v>81</v>
      </c>
      <c r="K13" s="23">
        <f>H13/J13</f>
        <v>0.25925925925925924</v>
      </c>
      <c r="L13" s="23"/>
      <c r="M13" s="23">
        <f>(G13-F13)/J13</f>
        <v>0.38271604938271603</v>
      </c>
      <c r="N13" s="23">
        <f>(J13-I13)/J13</f>
        <v>0.35802469135802467</v>
      </c>
      <c r="O13" s="23"/>
      <c r="P13" s="23">
        <f t="shared" si="3"/>
        <v>1</v>
      </c>
      <c r="Q13" s="23">
        <f t="shared" si="4"/>
        <v>0.25925925925925924</v>
      </c>
      <c r="R13" s="23">
        <f t="shared" si="5"/>
        <v>0.7407407407407407</v>
      </c>
      <c r="V13" s="1" t="s">
        <v>26</v>
      </c>
      <c r="W13">
        <v>121</v>
      </c>
      <c r="X13">
        <v>15</v>
      </c>
      <c r="Y13">
        <v>15</v>
      </c>
      <c r="Z13">
        <f t="shared" si="1"/>
        <v>91</v>
      </c>
      <c r="AA13">
        <v>0</v>
      </c>
      <c r="AB13">
        <f>52-X13</f>
        <v>37</v>
      </c>
      <c r="AC13">
        <f>AD13-AB13</f>
        <v>18</v>
      </c>
      <c r="AD13">
        <f>70-X13</f>
        <v>55</v>
      </c>
      <c r="AE13">
        <f t="shared" si="2"/>
        <v>91</v>
      </c>
      <c r="AF13">
        <f>AC13/AE13</f>
        <v>0.19780219780219779</v>
      </c>
      <c r="AH13">
        <f>(AB13-AA13)/AE13</f>
        <v>0.40659340659340659</v>
      </c>
      <c r="AI13">
        <f>(AE13-AD13)/AE13</f>
        <v>0.39560439560439559</v>
      </c>
      <c r="AK13">
        <f t="shared" si="7"/>
        <v>1</v>
      </c>
      <c r="AL13">
        <f t="shared" si="8"/>
        <v>0.19780219780219779</v>
      </c>
      <c r="AM13">
        <f t="shared" si="9"/>
        <v>0.80219780219780223</v>
      </c>
      <c r="AQ13" s="1">
        <f t="shared" si="12"/>
        <v>12</v>
      </c>
      <c r="AR13">
        <f>F91</f>
        <v>0.37241379310344824</v>
      </c>
      <c r="AS13">
        <f>L91</f>
        <v>0.62758620689655176</v>
      </c>
      <c r="AT13">
        <v>1.45</v>
      </c>
      <c r="AV13" s="20" t="s">
        <v>84</v>
      </c>
      <c r="AW13" s="1">
        <f>(G37-F37)*10^-2</f>
        <v>0.28000000000000003</v>
      </c>
      <c r="AX13" s="8">
        <f>H37*10^-2</f>
        <v>0.91</v>
      </c>
      <c r="AY13" s="1">
        <f>(J37-I37)*10^-2</f>
        <v>0.26</v>
      </c>
      <c r="AZ13" s="8">
        <f t="shared" si="11"/>
        <v>0</v>
      </c>
      <c r="BB13" t="s">
        <v>107</v>
      </c>
      <c r="BC13" t="s">
        <v>98</v>
      </c>
      <c r="BE13" s="8"/>
      <c r="BF13" s="8" t="s">
        <v>107</v>
      </c>
      <c r="BG13" s="8" t="s">
        <v>98</v>
      </c>
      <c r="BI13" s="8"/>
      <c r="BJ13" s="8" t="s">
        <v>107</v>
      </c>
      <c r="BK13" s="8" t="s">
        <v>98</v>
      </c>
    </row>
    <row r="14" spans="1:113" x14ac:dyDescent="0.25">
      <c r="A14" s="23" t="s">
        <v>25</v>
      </c>
      <c r="B14" s="23">
        <v>81</v>
      </c>
      <c r="C14" s="23">
        <v>17</v>
      </c>
      <c r="D14" s="23">
        <v>17</v>
      </c>
      <c r="E14" s="23">
        <f t="shared" si="0"/>
        <v>47</v>
      </c>
      <c r="F14" s="23">
        <v>0</v>
      </c>
      <c r="G14" s="23">
        <f>31-C14</f>
        <v>14</v>
      </c>
      <c r="H14" s="23"/>
      <c r="I14" s="23">
        <f>45-C14</f>
        <v>28</v>
      </c>
      <c r="J14" s="23">
        <f t="shared" si="10"/>
        <v>47</v>
      </c>
      <c r="K14" s="23">
        <f>(G14-F14)/J14</f>
        <v>0.2978723404255319</v>
      </c>
      <c r="L14" s="23">
        <f>(J14-I14)/J14</f>
        <v>0.40425531914893614</v>
      </c>
      <c r="M14" s="23">
        <f>(I14-G14)/J14</f>
        <v>0.2978723404255319</v>
      </c>
      <c r="N14" s="23"/>
      <c r="O14" s="23"/>
      <c r="P14" s="23">
        <f t="shared" si="3"/>
        <v>1</v>
      </c>
      <c r="Q14" s="23">
        <f t="shared" si="4"/>
        <v>0.7021276595744681</v>
      </c>
      <c r="R14" s="23">
        <f t="shared" si="5"/>
        <v>0.2978723404255319</v>
      </c>
      <c r="S14" s="3"/>
      <c r="V14" t="s">
        <v>25</v>
      </c>
      <c r="W14">
        <v>81</v>
      </c>
      <c r="X14">
        <v>16</v>
      </c>
      <c r="Y14">
        <v>14</v>
      </c>
      <c r="Z14">
        <f t="shared" si="1"/>
        <v>51</v>
      </c>
      <c r="AA14">
        <v>0</v>
      </c>
      <c r="AB14">
        <f>27-X14</f>
        <v>11</v>
      </c>
      <c r="AD14">
        <f>49-X14</f>
        <v>33</v>
      </c>
      <c r="AE14">
        <f t="shared" si="2"/>
        <v>51</v>
      </c>
      <c r="AF14">
        <f>(AB14-AA14)/AE14</f>
        <v>0.21568627450980393</v>
      </c>
      <c r="AG14">
        <f>(AE14-AD14)/AE14</f>
        <v>0.35294117647058826</v>
      </c>
      <c r="AH14">
        <f>(AD14-AB14)/AE14</f>
        <v>0.43137254901960786</v>
      </c>
      <c r="AK14">
        <f t="shared" si="7"/>
        <v>1</v>
      </c>
      <c r="AL14">
        <f t="shared" si="8"/>
        <v>0.56862745098039214</v>
      </c>
      <c r="AM14">
        <f t="shared" si="9"/>
        <v>0.43137254901960786</v>
      </c>
      <c r="AQ14">
        <f>14</f>
        <v>14</v>
      </c>
      <c r="AR14">
        <f>F103</f>
        <v>9.7902097902097904E-2</v>
      </c>
      <c r="AS14">
        <f>L103</f>
        <v>0.90209790209790208</v>
      </c>
      <c r="AT14">
        <v>1.43</v>
      </c>
      <c r="AV14" s="20" t="s">
        <v>85</v>
      </c>
      <c r="AW14" s="1">
        <f>(G49-F49)*10^-2</f>
        <v>1.1000000000000001</v>
      </c>
      <c r="AX14" s="8">
        <f>H49*10^-2</f>
        <v>0.14000000000000001</v>
      </c>
      <c r="AY14" s="1">
        <f>(J49-I49)*10^-2</f>
        <v>0.19</v>
      </c>
      <c r="AZ14" s="8">
        <f>SUM(AW14:AY14)-AT14</f>
        <v>0</v>
      </c>
      <c r="BB14">
        <f>'Plots for injection pts'!Q8</f>
        <v>1</v>
      </c>
      <c r="BC14" s="8">
        <f>'Plots for injection pts'!R8</f>
        <v>0.41</v>
      </c>
      <c r="BE14" s="8"/>
      <c r="BF14" s="8">
        <f>'Plots for injection pts'!AA3</f>
        <v>1</v>
      </c>
      <c r="BG14" s="8">
        <f>'Plots for injection pts'!AB3</f>
        <v>0.55000000000000004</v>
      </c>
      <c r="BI14" s="8"/>
      <c r="BJ14" s="8">
        <f>BL15</f>
        <v>0.68253968253968256</v>
      </c>
      <c r="BK14" s="8">
        <f>BM15</f>
        <v>0.63</v>
      </c>
      <c r="BL14">
        <f>'Plots for injection pts'!AA11</f>
        <v>0.72727272727272729</v>
      </c>
      <c r="BM14">
        <f>'Plots for injection pts'!AB11</f>
        <v>0.55000000000000004</v>
      </c>
    </row>
    <row r="15" spans="1:113" x14ac:dyDescent="0.25">
      <c r="A15" s="23" t="s">
        <v>27</v>
      </c>
      <c r="B15" s="23">
        <f>81</f>
        <v>81</v>
      </c>
      <c r="C15" s="23">
        <f>19</f>
        <v>19</v>
      </c>
      <c r="D15" s="23">
        <f>18</f>
        <v>18</v>
      </c>
      <c r="E15" s="23">
        <f t="shared" si="0"/>
        <v>44</v>
      </c>
      <c r="F15" s="23">
        <f>0</f>
        <v>0</v>
      </c>
      <c r="G15" s="23">
        <f>37-C15</f>
        <v>18</v>
      </c>
      <c r="H15" s="23"/>
      <c r="I15" s="23">
        <f>42-C15</f>
        <v>23</v>
      </c>
      <c r="J15" s="23">
        <f t="shared" si="10"/>
        <v>44</v>
      </c>
      <c r="K15" s="23">
        <f>(G15-F15)/J15</f>
        <v>0.40909090909090912</v>
      </c>
      <c r="L15" s="23">
        <f>(J15-I15)/J15</f>
        <v>0.47727272727272729</v>
      </c>
      <c r="M15" s="23">
        <f>(I15-G15)/J15</f>
        <v>0.11363636363636363</v>
      </c>
      <c r="N15" s="23"/>
      <c r="O15" s="23"/>
      <c r="P15" s="23">
        <f t="shared" si="3"/>
        <v>1</v>
      </c>
      <c r="Q15" s="23">
        <f t="shared" si="4"/>
        <v>0.88636363636363646</v>
      </c>
      <c r="R15" s="23">
        <f t="shared" si="5"/>
        <v>0.11363636363636363</v>
      </c>
      <c r="S15" s="3"/>
      <c r="T15" s="21" t="s">
        <v>112</v>
      </c>
      <c r="V15" t="s">
        <v>27</v>
      </c>
      <c r="W15">
        <v>81</v>
      </c>
      <c r="X15">
        <v>17</v>
      </c>
      <c r="Y15">
        <v>15</v>
      </c>
      <c r="Z15">
        <f t="shared" si="1"/>
        <v>49</v>
      </c>
      <c r="AA15">
        <v>0</v>
      </c>
      <c r="AB15">
        <f>31-X15</f>
        <v>14</v>
      </c>
      <c r="AD15">
        <f>57-X15</f>
        <v>40</v>
      </c>
      <c r="AE15">
        <f t="shared" si="2"/>
        <v>49</v>
      </c>
      <c r="AF15">
        <f>(AB15-AA15)/AE15</f>
        <v>0.2857142857142857</v>
      </c>
      <c r="AG15">
        <f>(AE15-AD15)/AE15</f>
        <v>0.18367346938775511</v>
      </c>
      <c r="AH15">
        <f>(AD15-AB15)/AE15</f>
        <v>0.53061224489795922</v>
      </c>
      <c r="AK15">
        <f t="shared" si="7"/>
        <v>1</v>
      </c>
      <c r="AL15">
        <f t="shared" si="8"/>
        <v>0.46938775510204078</v>
      </c>
      <c r="AM15">
        <f t="shared" si="9"/>
        <v>0.53061224489795922</v>
      </c>
      <c r="AW15" t="s">
        <v>276</v>
      </c>
      <c r="AX15" t="s">
        <v>277</v>
      </c>
      <c r="AY15" t="s">
        <v>276</v>
      </c>
      <c r="AZ15" s="8"/>
      <c r="BB15" s="8">
        <f>'Plots for injection pts'!Q9</f>
        <v>0.94444444444444442</v>
      </c>
      <c r="BC15" s="8">
        <f>'Plots for injection pts'!R9</f>
        <v>0.54</v>
      </c>
      <c r="BE15" s="8"/>
      <c r="BF15" s="8">
        <f>'Plots for injection pts'!AA4</f>
        <v>0.70909090909090899</v>
      </c>
      <c r="BG15" s="8">
        <f>'Plots for injection pts'!AB4</f>
        <v>0.55000000000000004</v>
      </c>
      <c r="BI15" s="8"/>
      <c r="BJ15" s="8">
        <f>BL14</f>
        <v>0.72727272727272729</v>
      </c>
      <c r="BK15" s="8">
        <f>BM14</f>
        <v>0.55000000000000004</v>
      </c>
      <c r="BL15">
        <f>'Plots for injection pts'!AA12</f>
        <v>0.68253968253968256</v>
      </c>
      <c r="BM15">
        <f>'Plots for injection pts'!AB12</f>
        <v>0.63</v>
      </c>
    </row>
    <row r="16" spans="1:113" x14ac:dyDescent="0.25">
      <c r="A16" s="23" t="s">
        <v>28</v>
      </c>
      <c r="B16" s="23">
        <v>81</v>
      </c>
      <c r="C16" s="23">
        <v>21</v>
      </c>
      <c r="D16" s="23">
        <v>19</v>
      </c>
      <c r="E16" s="23">
        <f t="shared" si="0"/>
        <v>41</v>
      </c>
      <c r="F16" s="23">
        <v>0</v>
      </c>
      <c r="G16" s="23">
        <v>0</v>
      </c>
      <c r="H16" s="23"/>
      <c r="I16" s="23">
        <v>0</v>
      </c>
      <c r="J16" s="23">
        <f t="shared" si="10"/>
        <v>41</v>
      </c>
      <c r="K16" s="23">
        <f>(G16-F16)/J16</f>
        <v>0</v>
      </c>
      <c r="L16" s="23">
        <f>(J16-I16)/J16</f>
        <v>1</v>
      </c>
      <c r="M16" s="23">
        <f>(I16-G16)/J16</f>
        <v>0</v>
      </c>
      <c r="N16" s="23"/>
      <c r="O16" s="23"/>
      <c r="P16" s="23">
        <f t="shared" si="3"/>
        <v>1</v>
      </c>
      <c r="Q16" s="23">
        <f t="shared" si="4"/>
        <v>1</v>
      </c>
      <c r="R16" s="23">
        <f t="shared" si="5"/>
        <v>0</v>
      </c>
      <c r="S16" s="3"/>
      <c r="V16" t="s">
        <v>28</v>
      </c>
      <c r="W16">
        <v>81</v>
      </c>
      <c r="X16">
        <v>18</v>
      </c>
      <c r="Y16">
        <f>16</f>
        <v>16</v>
      </c>
      <c r="Z16">
        <f t="shared" si="1"/>
        <v>47</v>
      </c>
      <c r="AA16">
        <f>0</f>
        <v>0</v>
      </c>
      <c r="AB16">
        <f>25-X16</f>
        <v>7</v>
      </c>
      <c r="AD16">
        <f>50-X16</f>
        <v>32</v>
      </c>
      <c r="AE16">
        <f t="shared" si="2"/>
        <v>47</v>
      </c>
      <c r="AF16">
        <f>(AB16-AA16)/AE16</f>
        <v>0.14893617021276595</v>
      </c>
      <c r="AG16">
        <f>(AE16-AD16)/AE16</f>
        <v>0.31914893617021278</v>
      </c>
      <c r="AH16">
        <f>(AD16-AB16)/AE16</f>
        <v>0.53191489361702127</v>
      </c>
      <c r="AK16">
        <f t="shared" si="7"/>
        <v>1</v>
      </c>
      <c r="AL16">
        <f t="shared" si="8"/>
        <v>0.46808510638297873</v>
      </c>
      <c r="AM16">
        <f t="shared" si="9"/>
        <v>0.53191489361702127</v>
      </c>
      <c r="AZ16" s="8"/>
      <c r="BB16" s="8">
        <f>'Plots for injection pts'!Q10</f>
        <v>0.58749999999999991</v>
      </c>
      <c r="BC16" s="8">
        <f>'Plots for injection pts'!R10</f>
        <v>0.8</v>
      </c>
      <c r="BE16" s="8"/>
      <c r="BF16" s="8">
        <f>'Plots for injection pts'!AA5</f>
        <v>0.6875</v>
      </c>
      <c r="BG16" s="8">
        <f>'Plots for injection pts'!AB5</f>
        <v>0.8</v>
      </c>
      <c r="BI16" s="8"/>
      <c r="BJ16" s="8">
        <f>'Plots for injection pts'!AA13</f>
        <v>0.64197530864197527</v>
      </c>
      <c r="BK16" s="8">
        <f>'Plots for injection pts'!AB13</f>
        <v>0.81</v>
      </c>
    </row>
    <row r="17" spans="1:88" x14ac:dyDescent="0.25">
      <c r="A17" s="23" t="s">
        <v>29</v>
      </c>
      <c r="B17" s="23">
        <v>101</v>
      </c>
      <c r="C17" s="23">
        <v>30</v>
      </c>
      <c r="D17" s="23">
        <v>28</v>
      </c>
      <c r="E17" s="23">
        <f t="shared" si="0"/>
        <v>43</v>
      </c>
      <c r="F17" s="23">
        <f>0</f>
        <v>0</v>
      </c>
      <c r="G17" s="23">
        <f>43-C17</f>
        <v>13</v>
      </c>
      <c r="H17" s="23">
        <f>I17-G17</f>
        <v>21</v>
      </c>
      <c r="I17" s="23">
        <f>64-C17</f>
        <v>34</v>
      </c>
      <c r="J17" s="23">
        <f t="shared" si="10"/>
        <v>43</v>
      </c>
      <c r="K17" s="23">
        <f>H17/J17</f>
        <v>0.48837209302325579</v>
      </c>
      <c r="L17" s="23"/>
      <c r="M17" s="23">
        <f>(G17-F17)/J17</f>
        <v>0.30232558139534882</v>
      </c>
      <c r="N17" s="23">
        <f>(J17-I17)/J17</f>
        <v>0.20930232558139536</v>
      </c>
      <c r="O17" s="23"/>
      <c r="P17" s="23">
        <f t="shared" si="3"/>
        <v>1</v>
      </c>
      <c r="Q17" s="23">
        <f t="shared" si="4"/>
        <v>0.48837209302325579</v>
      </c>
      <c r="R17" s="23">
        <f t="shared" si="5"/>
        <v>0.51162790697674421</v>
      </c>
      <c r="V17" s="1" t="s">
        <v>29</v>
      </c>
      <c r="W17">
        <v>101</v>
      </c>
      <c r="X17">
        <v>10</v>
      </c>
      <c r="Y17">
        <v>4</v>
      </c>
      <c r="Z17">
        <f t="shared" si="1"/>
        <v>87</v>
      </c>
      <c r="AA17">
        <v>0</v>
      </c>
      <c r="AB17">
        <f>42-X17</f>
        <v>32</v>
      </c>
      <c r="AC17">
        <f>AD17-AB17</f>
        <v>32</v>
      </c>
      <c r="AD17">
        <f>74-X17</f>
        <v>64</v>
      </c>
      <c r="AE17">
        <f t="shared" si="2"/>
        <v>87</v>
      </c>
      <c r="AF17">
        <f>AC17/AE17</f>
        <v>0.36781609195402298</v>
      </c>
      <c r="AH17">
        <f>(AB17-AA17)/AE17</f>
        <v>0.36781609195402298</v>
      </c>
      <c r="AI17">
        <f>(AE17-AD17)/AE17</f>
        <v>0.26436781609195403</v>
      </c>
      <c r="AK17">
        <f t="shared" si="7"/>
        <v>1</v>
      </c>
      <c r="AL17">
        <f t="shared" si="8"/>
        <v>0.36781609195402298</v>
      </c>
      <c r="AM17">
        <f t="shared" si="9"/>
        <v>0.63218390804597702</v>
      </c>
      <c r="AR17" t="s">
        <v>93</v>
      </c>
      <c r="AZ17" s="8"/>
      <c r="BB17" s="8">
        <f>'Plots for injection pts'!Q11</f>
        <v>0.35810810810810811</v>
      </c>
      <c r="BC17" s="8">
        <f>'Plots for injection pts'!R11</f>
        <v>1.48</v>
      </c>
      <c r="BE17" s="8"/>
      <c r="BF17" s="8">
        <f>'Plots for injection pts'!AA6</f>
        <v>0.45205479452054792</v>
      </c>
      <c r="BG17" s="8">
        <f>'Plots for injection pts'!AB6</f>
        <v>1.46</v>
      </c>
      <c r="BI17" s="8"/>
      <c r="BJ17" s="8">
        <f>'Plots for injection pts'!AA14</f>
        <v>8.7248322147651006E-2</v>
      </c>
      <c r="BK17" s="8">
        <f>'Plots for injection pts'!AB14</f>
        <v>1.49</v>
      </c>
    </row>
    <row r="18" spans="1:88" ht="18.75" x14ac:dyDescent="0.3">
      <c r="A18" s="23" t="s">
        <v>30</v>
      </c>
      <c r="B18" s="23">
        <v>81</v>
      </c>
      <c r="C18" s="23">
        <v>11</v>
      </c>
      <c r="D18" s="23">
        <v>10</v>
      </c>
      <c r="E18" s="23">
        <f t="shared" si="0"/>
        <v>60</v>
      </c>
      <c r="F18" s="23">
        <v>0</v>
      </c>
      <c r="G18" s="23">
        <f>28-C18</f>
        <v>17</v>
      </c>
      <c r="H18" s="23"/>
      <c r="I18" s="23">
        <f>50-C18</f>
        <v>39</v>
      </c>
      <c r="J18" s="23">
        <f t="shared" si="10"/>
        <v>60</v>
      </c>
      <c r="K18" s="23">
        <f>(G18-F18)/J18</f>
        <v>0.28333333333333333</v>
      </c>
      <c r="L18" s="23">
        <f>(J18-I18)/J18</f>
        <v>0.35</v>
      </c>
      <c r="M18" s="23">
        <f>(I18-G18)/J18</f>
        <v>0.36666666666666664</v>
      </c>
      <c r="N18" s="23"/>
      <c r="O18" s="23"/>
      <c r="P18" s="23">
        <f t="shared" si="3"/>
        <v>1</v>
      </c>
      <c r="Q18" s="23">
        <f t="shared" si="4"/>
        <v>0.6333333333333333</v>
      </c>
      <c r="R18" s="23">
        <f t="shared" si="5"/>
        <v>0.36666666666666664</v>
      </c>
      <c r="V18" t="s">
        <v>30</v>
      </c>
      <c r="W18">
        <v>81</v>
      </c>
      <c r="X18">
        <v>5</v>
      </c>
      <c r="Y18">
        <v>3</v>
      </c>
      <c r="Z18">
        <f t="shared" si="1"/>
        <v>73</v>
      </c>
      <c r="AA18">
        <v>0</v>
      </c>
      <c r="AB18">
        <f>27-X18</f>
        <v>22</v>
      </c>
      <c r="AD18">
        <f>51-X18</f>
        <v>46</v>
      </c>
      <c r="AE18">
        <f t="shared" si="2"/>
        <v>73</v>
      </c>
      <c r="AF18">
        <f>(AB18-AA18)/AE18</f>
        <v>0.30136986301369861</v>
      </c>
      <c r="AG18">
        <f>(AE18-AD18)/AE18</f>
        <v>0.36986301369863012</v>
      </c>
      <c r="AH18">
        <f>(AD18-AB18)/AE18</f>
        <v>0.32876712328767121</v>
      </c>
      <c r="AK18">
        <f t="shared" si="7"/>
        <v>1</v>
      </c>
      <c r="AL18">
        <f t="shared" si="8"/>
        <v>0.67123287671232879</v>
      </c>
      <c r="AM18">
        <f t="shared" si="9"/>
        <v>0.32876712328767121</v>
      </c>
      <c r="AR18" s="2" t="s">
        <v>50</v>
      </c>
      <c r="AS18" s="10" t="s">
        <v>92</v>
      </c>
      <c r="AT18" s="10" t="s">
        <v>91</v>
      </c>
      <c r="BB18" s="8"/>
    </row>
    <row r="19" spans="1:88" x14ac:dyDescent="0.25">
      <c r="A19" s="23" t="s">
        <v>31</v>
      </c>
      <c r="B19" s="23">
        <v>81</v>
      </c>
      <c r="C19" s="23">
        <v>12</v>
      </c>
      <c r="D19" s="23">
        <v>12</v>
      </c>
      <c r="E19" s="23">
        <f t="shared" si="0"/>
        <v>57</v>
      </c>
      <c r="F19" s="23">
        <v>0</v>
      </c>
      <c r="G19" s="23">
        <f>34-C19</f>
        <v>22</v>
      </c>
      <c r="H19" s="23"/>
      <c r="I19" s="23">
        <f>52-C19</f>
        <v>40</v>
      </c>
      <c r="J19" s="23">
        <f t="shared" si="10"/>
        <v>57</v>
      </c>
      <c r="K19" s="23">
        <f>(G19-F19)/J19</f>
        <v>0.38596491228070173</v>
      </c>
      <c r="L19" s="23">
        <f>(J19-I19)/J19</f>
        <v>0.2982456140350877</v>
      </c>
      <c r="M19" s="23">
        <f>(I19-G19)/J19</f>
        <v>0.31578947368421051</v>
      </c>
      <c r="N19" s="23"/>
      <c r="O19" s="23"/>
      <c r="P19" s="23">
        <f t="shared" si="3"/>
        <v>0.99999999999999989</v>
      </c>
      <c r="Q19" s="23">
        <f t="shared" si="4"/>
        <v>0.68421052631578938</v>
      </c>
      <c r="R19" s="23">
        <f t="shared" si="5"/>
        <v>0.31578947368421051</v>
      </c>
      <c r="V19" t="s">
        <v>31</v>
      </c>
      <c r="W19">
        <v>81</v>
      </c>
      <c r="X19">
        <v>11</v>
      </c>
      <c r="Y19">
        <v>4</v>
      </c>
      <c r="Z19">
        <f t="shared" si="1"/>
        <v>66</v>
      </c>
      <c r="AA19">
        <v>0</v>
      </c>
      <c r="AB19">
        <f>34-X19</f>
        <v>23</v>
      </c>
      <c r="AD19">
        <f>52-X19</f>
        <v>41</v>
      </c>
      <c r="AE19">
        <f t="shared" si="2"/>
        <v>66</v>
      </c>
      <c r="AF19">
        <f>(AB19-AA19)/AE19</f>
        <v>0.34848484848484851</v>
      </c>
      <c r="AG19">
        <f>(AE19-AD19)/AE19</f>
        <v>0.37878787878787878</v>
      </c>
      <c r="AH19">
        <f>(AD19-AB19)/AE19</f>
        <v>0.27272727272727271</v>
      </c>
      <c r="AK19">
        <f t="shared" si="7"/>
        <v>1</v>
      </c>
      <c r="AL19">
        <f t="shared" si="8"/>
        <v>0.72727272727272729</v>
      </c>
      <c r="AM19">
        <f t="shared" si="9"/>
        <v>0.27272727272727271</v>
      </c>
      <c r="AR19" t="s">
        <v>14</v>
      </c>
      <c r="AS19">
        <f>12</f>
        <v>12</v>
      </c>
      <c r="AT19" s="8">
        <v>0.84</v>
      </c>
      <c r="AU19">
        <f>($G2-$F2)*10^-2</f>
        <v>0.27</v>
      </c>
      <c r="AV19" s="1">
        <f>($I2-$G2)*10^-2</f>
        <v>0.33</v>
      </c>
      <c r="AW19">
        <f>($J2-$I2)*10^-2</f>
        <v>0.24</v>
      </c>
      <c r="AX19">
        <f>SUM(AU19:AW19)-AT19</f>
        <v>0</v>
      </c>
      <c r="BA19" s="8"/>
      <c r="BB19" s="8"/>
      <c r="BC19" s="8"/>
      <c r="BD19" s="8"/>
      <c r="BE19" s="8"/>
      <c r="BF19" s="8"/>
      <c r="BG19" s="8"/>
    </row>
    <row r="20" spans="1:88" x14ac:dyDescent="0.25">
      <c r="A20" s="23" t="s">
        <v>32</v>
      </c>
      <c r="B20" s="23">
        <v>81</v>
      </c>
      <c r="C20" s="23">
        <v>15</v>
      </c>
      <c r="D20" s="23">
        <v>12</v>
      </c>
      <c r="E20" s="23">
        <f t="shared" si="0"/>
        <v>54</v>
      </c>
      <c r="F20" s="23">
        <v>0</v>
      </c>
      <c r="G20" s="23">
        <f>46-C20</f>
        <v>31</v>
      </c>
      <c r="H20" s="23"/>
      <c r="I20" s="23">
        <f>49-C20</f>
        <v>34</v>
      </c>
      <c r="J20" s="23">
        <f t="shared" si="10"/>
        <v>54</v>
      </c>
      <c r="K20" s="23">
        <f>(G20-F20)/J20</f>
        <v>0.57407407407407407</v>
      </c>
      <c r="L20" s="23">
        <f>(J20-I20)/J20</f>
        <v>0.37037037037037035</v>
      </c>
      <c r="M20" s="23">
        <f>(I20-G20)/J20</f>
        <v>5.5555555555555552E-2</v>
      </c>
      <c r="N20" s="23"/>
      <c r="O20" s="23"/>
      <c r="P20" s="23">
        <f t="shared" si="3"/>
        <v>1</v>
      </c>
      <c r="Q20" s="23">
        <f t="shared" si="4"/>
        <v>0.94444444444444442</v>
      </c>
      <c r="R20" s="23">
        <f t="shared" si="5"/>
        <v>5.5555555555555552E-2</v>
      </c>
      <c r="V20" t="s">
        <v>32</v>
      </c>
      <c r="W20">
        <v>81</v>
      </c>
      <c r="X20">
        <v>10</v>
      </c>
      <c r="Y20">
        <v>7</v>
      </c>
      <c r="Z20">
        <f t="shared" si="1"/>
        <v>64</v>
      </c>
      <c r="AA20">
        <v>0</v>
      </c>
      <c r="AB20">
        <f>45-X20</f>
        <v>35</v>
      </c>
      <c r="AD20">
        <f>48-X20</f>
        <v>38</v>
      </c>
      <c r="AE20">
        <f t="shared" si="2"/>
        <v>64</v>
      </c>
      <c r="AF20">
        <f>(AB20-AA20)/AE20</f>
        <v>0.546875</v>
      </c>
      <c r="AG20">
        <f>(AE20-AD20)/AE20</f>
        <v>0.40625</v>
      </c>
      <c r="AH20">
        <f>(AD20-AB20)/AE20</f>
        <v>4.6875E-2</v>
      </c>
      <c r="AK20">
        <f t="shared" si="7"/>
        <v>1</v>
      </c>
      <c r="AL20">
        <f t="shared" si="8"/>
        <v>0.953125</v>
      </c>
      <c r="AM20">
        <f t="shared" si="9"/>
        <v>4.6875E-2</v>
      </c>
      <c r="AR20" t="s">
        <v>15</v>
      </c>
      <c r="AS20">
        <v>27</v>
      </c>
      <c r="AT20" s="8">
        <v>0.81</v>
      </c>
      <c r="AU20">
        <f>($G3-$F3)*10^-2</f>
        <v>0.23</v>
      </c>
      <c r="AV20" s="1">
        <f>($I3-$G3)*10^-2</f>
        <v>0.33</v>
      </c>
      <c r="AW20">
        <f>($J3-$I3)*10^-2</f>
        <v>0.25</v>
      </c>
      <c r="AX20" s="8">
        <f t="shared" ref="AX20:AX54" si="13">SUM(AU20:AW20)-AT20</f>
        <v>0</v>
      </c>
      <c r="AY20" t="s">
        <v>296</v>
      </c>
      <c r="AZ20" t="s">
        <v>295</v>
      </c>
      <c r="BA20" s="8"/>
      <c r="BC20" s="8"/>
      <c r="BD20" s="8"/>
      <c r="BE20" s="8"/>
      <c r="BF20" s="8"/>
      <c r="BG20" s="8"/>
    </row>
    <row r="21" spans="1:88" x14ac:dyDescent="0.25">
      <c r="A21" s="23" t="s">
        <v>33</v>
      </c>
      <c r="B21" s="23">
        <v>81</v>
      </c>
      <c r="C21" s="23">
        <v>12</v>
      </c>
      <c r="D21" s="23">
        <v>10</v>
      </c>
      <c r="E21" s="23">
        <f t="shared" si="0"/>
        <v>59</v>
      </c>
      <c r="F21" s="23">
        <f>0</f>
        <v>0</v>
      </c>
      <c r="G21" s="23">
        <f>39-C21</f>
        <v>27</v>
      </c>
      <c r="H21" s="23">
        <f>I21-G21</f>
        <v>14</v>
      </c>
      <c r="I21" s="23">
        <f>53-C21</f>
        <v>41</v>
      </c>
      <c r="J21" s="23">
        <f t="shared" si="10"/>
        <v>59</v>
      </c>
      <c r="K21" s="23">
        <f>H21/J21</f>
        <v>0.23728813559322035</v>
      </c>
      <c r="L21" s="23"/>
      <c r="M21" s="23">
        <f>(G21-F21)/J21</f>
        <v>0.4576271186440678</v>
      </c>
      <c r="N21" s="23">
        <f>(J21-I21)/J21</f>
        <v>0.30508474576271188</v>
      </c>
      <c r="O21" s="23"/>
      <c r="P21" s="23">
        <f t="shared" si="3"/>
        <v>1</v>
      </c>
      <c r="Q21" s="23">
        <f t="shared" si="4"/>
        <v>0.23728813559322035</v>
      </c>
      <c r="R21" s="23">
        <f t="shared" si="5"/>
        <v>0.76271186440677963</v>
      </c>
      <c r="V21" s="1" t="s">
        <v>33</v>
      </c>
      <c r="W21">
        <v>81</v>
      </c>
      <c r="X21">
        <v>3</v>
      </c>
      <c r="Y21">
        <v>2</v>
      </c>
      <c r="Z21">
        <f t="shared" si="1"/>
        <v>76</v>
      </c>
      <c r="AA21">
        <v>0</v>
      </c>
      <c r="AB21">
        <f>38-X21</f>
        <v>35</v>
      </c>
      <c r="AC21">
        <f>AD21-AB21</f>
        <v>15</v>
      </c>
      <c r="AD21">
        <f>53-X21</f>
        <v>50</v>
      </c>
      <c r="AE21">
        <f t="shared" si="2"/>
        <v>76</v>
      </c>
      <c r="AF21">
        <f>AC21/AE21</f>
        <v>0.19736842105263158</v>
      </c>
      <c r="AH21">
        <f>(AB21-AA21)/AE21</f>
        <v>0.46052631578947367</v>
      </c>
      <c r="AI21">
        <f>(AE21-AD21)/AE21</f>
        <v>0.34210526315789475</v>
      </c>
      <c r="AK21">
        <f t="shared" si="7"/>
        <v>1</v>
      </c>
      <c r="AL21">
        <f t="shared" si="8"/>
        <v>0.19736842105263158</v>
      </c>
      <c r="AM21">
        <f t="shared" si="9"/>
        <v>0.80263157894736836</v>
      </c>
      <c r="AR21" t="s">
        <v>16</v>
      </c>
      <c r="AS21">
        <v>42</v>
      </c>
      <c r="AT21" s="8">
        <v>0.8</v>
      </c>
      <c r="AU21">
        <f>($G4-$F4)*10^-2</f>
        <v>0.28000000000000003</v>
      </c>
      <c r="AV21" s="1">
        <f>($I4-$G4)*10^-2</f>
        <v>0.33</v>
      </c>
      <c r="AW21">
        <f>($J4-$I4)*10^-2</f>
        <v>0.19</v>
      </c>
      <c r="AX21" s="8">
        <f t="shared" si="13"/>
        <v>0</v>
      </c>
      <c r="AY21">
        <f>AZ21-AY3</f>
        <v>-9.1307999999999986E-2</v>
      </c>
      <c r="AZ21">
        <f>0.4396*AW3</f>
        <v>0.11869200000000001</v>
      </c>
      <c r="BA21" s="8">
        <f>AT3</f>
        <v>0.82</v>
      </c>
      <c r="BB21" s="8">
        <f t="shared" ref="BB21:BF21" si="14">AU3</f>
        <v>0</v>
      </c>
      <c r="BC21" s="8" t="str">
        <f t="shared" si="14"/>
        <v>NA</v>
      </c>
      <c r="BD21" s="8">
        <f t="shared" si="14"/>
        <v>0.27</v>
      </c>
      <c r="BE21" s="8">
        <f t="shared" si="14"/>
        <v>0.34</v>
      </c>
      <c r="BF21" s="8">
        <f t="shared" si="14"/>
        <v>0.21</v>
      </c>
      <c r="BG21" s="8"/>
    </row>
    <row r="22" spans="1:88" x14ac:dyDescent="0.25">
      <c r="A22" s="23" t="s">
        <v>34</v>
      </c>
      <c r="B22" s="23">
        <v>81</v>
      </c>
      <c r="C22" s="23">
        <v>11</v>
      </c>
      <c r="D22" s="23">
        <v>10</v>
      </c>
      <c r="E22" s="23">
        <f t="shared" si="0"/>
        <v>60</v>
      </c>
      <c r="F22" s="23">
        <v>0</v>
      </c>
      <c r="G22" s="23">
        <f>22-C22</f>
        <v>11</v>
      </c>
      <c r="H22" s="23"/>
      <c r="I22" s="23">
        <f>56-C22</f>
        <v>45</v>
      </c>
      <c r="J22" s="23">
        <f t="shared" si="10"/>
        <v>60</v>
      </c>
      <c r="K22" s="23">
        <f>(G22-F22)/J22</f>
        <v>0.18333333333333332</v>
      </c>
      <c r="L22" s="23">
        <f>(J22-I22)/J22</f>
        <v>0.25</v>
      </c>
      <c r="M22" s="23">
        <f>(I22-G22)/J22</f>
        <v>0.56666666666666665</v>
      </c>
      <c r="N22" s="23"/>
      <c r="O22" s="23"/>
      <c r="P22" s="23">
        <f t="shared" si="3"/>
        <v>1</v>
      </c>
      <c r="Q22" s="23">
        <f t="shared" si="4"/>
        <v>0.43333333333333335</v>
      </c>
      <c r="R22" s="23">
        <f t="shared" si="5"/>
        <v>0.56666666666666665</v>
      </c>
      <c r="V22" t="s">
        <v>34</v>
      </c>
      <c r="W22">
        <v>81</v>
      </c>
      <c r="X22">
        <v>6</v>
      </c>
      <c r="Y22">
        <v>2</v>
      </c>
      <c r="Z22">
        <f t="shared" si="1"/>
        <v>73</v>
      </c>
      <c r="AA22">
        <v>0</v>
      </c>
      <c r="AB22">
        <f>22-X22</f>
        <v>16</v>
      </c>
      <c r="AD22">
        <f>52-X22</f>
        <v>46</v>
      </c>
      <c r="AE22">
        <f t="shared" si="2"/>
        <v>73</v>
      </c>
      <c r="AF22">
        <f>(AB22-AA22)/AE22</f>
        <v>0.21917808219178081</v>
      </c>
      <c r="AG22">
        <f>(AE22-AD22)/AE22</f>
        <v>0.36986301369863012</v>
      </c>
      <c r="AH22">
        <f>(AD22-AB22)/AE22</f>
        <v>0.41095890410958902</v>
      </c>
      <c r="AK22">
        <f t="shared" si="7"/>
        <v>0.99999999999999989</v>
      </c>
      <c r="AL22">
        <f t="shared" si="8"/>
        <v>0.58904109589041087</v>
      </c>
      <c r="AM22">
        <f t="shared" si="9"/>
        <v>0.41095890410958902</v>
      </c>
      <c r="AR22" t="s">
        <v>18</v>
      </c>
      <c r="AS22">
        <v>12</v>
      </c>
      <c r="AT22" s="8">
        <v>0.82</v>
      </c>
      <c r="AU22">
        <f>($G6-$F6)*10^-2</f>
        <v>0.18</v>
      </c>
      <c r="AV22" s="1">
        <f>($I6-$G6)*10^-2</f>
        <v>0.49</v>
      </c>
      <c r="AW22">
        <f>($J6-$I6)*10^-2</f>
        <v>0.15</v>
      </c>
      <c r="AX22" s="8">
        <f t="shared" si="13"/>
        <v>0</v>
      </c>
      <c r="AY22" s="8">
        <f t="shared" ref="AY22:AY32" si="15">AZ22-AY4</f>
        <v>-0.13570399999999999</v>
      </c>
      <c r="AZ22" s="8">
        <f t="shared" ref="AZ22:AZ32" si="16">0.4396*AW4</f>
        <v>0.11429599999999999</v>
      </c>
      <c r="BA22" s="8">
        <f t="shared" ref="BA22:BA23" si="17">AT4</f>
        <v>0.78</v>
      </c>
      <c r="BB22" s="8">
        <f t="shared" ref="BB22:BB23" si="18">AU4</f>
        <v>0</v>
      </c>
      <c r="BC22" s="8" t="str">
        <f t="shared" ref="BC22:BC23" si="19">AV4</f>
        <v>annealing at 180 degrees 60 min</v>
      </c>
      <c r="BD22" s="8">
        <f>AW4</f>
        <v>0.26</v>
      </c>
      <c r="BE22" s="8">
        <f t="shared" ref="BE22:BE23" si="20">AX4</f>
        <v>0.27</v>
      </c>
      <c r="BF22" s="8">
        <f t="shared" ref="BF22:BF23" si="21">AY4</f>
        <v>0.25</v>
      </c>
      <c r="BG22" s="8"/>
    </row>
    <row r="23" spans="1:88" x14ac:dyDescent="0.25">
      <c r="A23" s="23" t="s">
        <v>35</v>
      </c>
      <c r="B23" s="23">
        <v>81</v>
      </c>
      <c r="C23" s="23">
        <v>10</v>
      </c>
      <c r="D23" s="23">
        <v>13</v>
      </c>
      <c r="E23" s="23">
        <f t="shared" si="0"/>
        <v>58</v>
      </c>
      <c r="F23" s="23">
        <v>0</v>
      </c>
      <c r="G23" s="23">
        <f>25-C23</f>
        <v>15</v>
      </c>
      <c r="H23" s="23"/>
      <c r="I23" s="23">
        <f>53-C23</f>
        <v>43</v>
      </c>
      <c r="J23" s="23">
        <f t="shared" si="10"/>
        <v>58</v>
      </c>
      <c r="K23" s="23">
        <f>(G23-F23)/J23</f>
        <v>0.25862068965517243</v>
      </c>
      <c r="L23" s="23">
        <f>(J23-I23)/J23</f>
        <v>0.25862068965517243</v>
      </c>
      <c r="M23" s="23">
        <f>(I23-G23)/J23</f>
        <v>0.48275862068965519</v>
      </c>
      <c r="N23" s="23"/>
      <c r="O23" s="23"/>
      <c r="P23" s="23">
        <f t="shared" si="3"/>
        <v>1</v>
      </c>
      <c r="Q23" s="23">
        <f t="shared" si="4"/>
        <v>0.51724137931034486</v>
      </c>
      <c r="R23" s="23">
        <f t="shared" si="5"/>
        <v>0.48275862068965519</v>
      </c>
      <c r="V23" t="s">
        <v>35</v>
      </c>
      <c r="W23">
        <v>81</v>
      </c>
      <c r="X23">
        <v>7</v>
      </c>
      <c r="Y23">
        <v>8</v>
      </c>
      <c r="Z23">
        <f t="shared" si="1"/>
        <v>66</v>
      </c>
      <c r="AA23">
        <v>0</v>
      </c>
      <c r="AB23">
        <f>24-X23</f>
        <v>17</v>
      </c>
      <c r="AD23">
        <f>30-X23</f>
        <v>23</v>
      </c>
      <c r="AE23">
        <f t="shared" si="2"/>
        <v>66</v>
      </c>
      <c r="AF23">
        <f>(AB23-AA23)/AE23</f>
        <v>0.25757575757575757</v>
      </c>
      <c r="AG23">
        <f>(AE23-AD23)/AE23</f>
        <v>0.65151515151515149</v>
      </c>
      <c r="AH23">
        <f>(AD23-AB23)/AE23</f>
        <v>9.0909090909090912E-2</v>
      </c>
      <c r="AK23">
        <f t="shared" si="7"/>
        <v>1</v>
      </c>
      <c r="AL23">
        <f t="shared" si="8"/>
        <v>0.90909090909090906</v>
      </c>
      <c r="AM23">
        <f t="shared" si="9"/>
        <v>9.0909090909090912E-2</v>
      </c>
      <c r="AR23" t="s">
        <v>19</v>
      </c>
      <c r="AS23">
        <v>27</v>
      </c>
      <c r="AT23" s="8">
        <v>0.77</v>
      </c>
      <c r="AU23">
        <f>($G7-$F7)*10^-2</f>
        <v>0.25</v>
      </c>
      <c r="AV23" s="1">
        <f>($I7-$G7)*10^-2</f>
        <v>0.34</v>
      </c>
      <c r="AW23">
        <f>($J7-$I7)*10^-2</f>
        <v>0.18</v>
      </c>
      <c r="AX23" s="8">
        <f t="shared" si="13"/>
        <v>0</v>
      </c>
      <c r="AY23" s="8">
        <f t="shared" si="15"/>
        <v>-0.15372399999999997</v>
      </c>
      <c r="AZ23" s="8">
        <f t="shared" si="16"/>
        <v>0.13627600000000001</v>
      </c>
      <c r="BA23" s="8">
        <f t="shared" si="17"/>
        <v>0.81</v>
      </c>
      <c r="BB23" s="8">
        <f t="shared" si="18"/>
        <v>0</v>
      </c>
      <c r="BC23" s="8" t="str">
        <f t="shared" si="19"/>
        <v>annealing at 180 degrees 30 min</v>
      </c>
      <c r="BD23" s="8">
        <f t="shared" ref="BD23" si="22">AW5</f>
        <v>0.31</v>
      </c>
      <c r="BE23" s="8">
        <f t="shared" si="20"/>
        <v>0.21</v>
      </c>
      <c r="BF23" s="8">
        <f t="shared" si="21"/>
        <v>0.28999999999999998</v>
      </c>
      <c r="BG23" s="8"/>
    </row>
    <row r="24" spans="1:88" x14ac:dyDescent="0.25">
      <c r="A24" s="23" t="s">
        <v>36</v>
      </c>
      <c r="B24" s="23">
        <v>81</v>
      </c>
      <c r="C24" s="23">
        <v>12</v>
      </c>
      <c r="D24" s="23">
        <v>14</v>
      </c>
      <c r="E24" s="23">
        <f t="shared" si="0"/>
        <v>55</v>
      </c>
      <c r="F24" s="23">
        <v>0</v>
      </c>
      <c r="G24" s="23">
        <f>27-C24</f>
        <v>15</v>
      </c>
      <c r="H24" s="23"/>
      <c r="I24" s="23">
        <f>42-C24</f>
        <v>30</v>
      </c>
      <c r="J24" s="23">
        <f t="shared" si="10"/>
        <v>55</v>
      </c>
      <c r="K24" s="23">
        <f>(G24-F24)/J24</f>
        <v>0.27272727272727271</v>
      </c>
      <c r="L24" s="23">
        <f>(J24-I24)/J24</f>
        <v>0.45454545454545453</v>
      </c>
      <c r="M24" s="23">
        <f>(I24-G24)/J24</f>
        <v>0.27272727272727271</v>
      </c>
      <c r="N24" s="23"/>
      <c r="O24" s="23"/>
      <c r="P24" s="23">
        <f t="shared" si="3"/>
        <v>1</v>
      </c>
      <c r="Q24" s="23">
        <f t="shared" si="4"/>
        <v>0.72727272727272729</v>
      </c>
      <c r="R24" s="23">
        <f t="shared" si="5"/>
        <v>0.27272727272727271</v>
      </c>
      <c r="V24" t="s">
        <v>36</v>
      </c>
      <c r="W24">
        <v>81</v>
      </c>
      <c r="X24">
        <v>5</v>
      </c>
      <c r="Y24">
        <v>11</v>
      </c>
      <c r="Z24">
        <f t="shared" si="1"/>
        <v>65</v>
      </c>
      <c r="AA24">
        <v>0</v>
      </c>
      <c r="AB24">
        <f>26-X24</f>
        <v>21</v>
      </c>
      <c r="AD24">
        <f>43-X24</f>
        <v>38</v>
      </c>
      <c r="AE24">
        <f t="shared" si="2"/>
        <v>65</v>
      </c>
      <c r="AF24">
        <f>(AB24-AA24)/AE24</f>
        <v>0.32307692307692309</v>
      </c>
      <c r="AG24">
        <f>(AE24-AD24)/AE24</f>
        <v>0.41538461538461541</v>
      </c>
      <c r="AH24">
        <f>(AD24-AB24)/AE24</f>
        <v>0.26153846153846155</v>
      </c>
      <c r="AK24">
        <f t="shared" si="7"/>
        <v>1</v>
      </c>
      <c r="AL24">
        <f t="shared" si="8"/>
        <v>0.7384615384615385</v>
      </c>
      <c r="AM24">
        <f t="shared" si="9"/>
        <v>0.26153846153846155</v>
      </c>
      <c r="AR24" t="s">
        <v>20</v>
      </c>
      <c r="AS24">
        <v>42</v>
      </c>
      <c r="AT24" s="8">
        <v>0.81</v>
      </c>
      <c r="AU24">
        <f>($G8-$F8)*10^-2</f>
        <v>0.28000000000000003</v>
      </c>
      <c r="AV24" s="1">
        <f>($I8-$G8)*10^-2</f>
        <v>0.28999999999999998</v>
      </c>
      <c r="AW24">
        <f>($J8-$I8)*10^-2</f>
        <v>0.24</v>
      </c>
      <c r="AX24" s="8">
        <f t="shared" si="13"/>
        <v>0</v>
      </c>
      <c r="AY24" s="8">
        <f t="shared" si="15"/>
        <v>-3.2851999999999999E-2</v>
      </c>
      <c r="AZ24" s="8">
        <f t="shared" si="16"/>
        <v>5.7147999999999997E-2</v>
      </c>
      <c r="BA24" s="8">
        <f>AVERAGE(BA21:BA23)</f>
        <v>0.80333333333333334</v>
      </c>
      <c r="BB24" s="8">
        <f>_xlfn.STDEV.S(BA21:BA23)</f>
        <v>2.0816659994661302E-2</v>
      </c>
      <c r="BC24" s="8"/>
      <c r="BD24" s="8"/>
      <c r="BE24" s="8"/>
      <c r="BF24" s="8"/>
      <c r="BG24" s="8"/>
    </row>
    <row r="25" spans="1:88" x14ac:dyDescent="0.25">
      <c r="A25" s="23" t="s">
        <v>37</v>
      </c>
      <c r="B25" s="23">
        <v>81</v>
      </c>
      <c r="C25" s="23">
        <v>15</v>
      </c>
      <c r="D25" s="23">
        <v>11</v>
      </c>
      <c r="E25" s="23">
        <f t="shared" si="0"/>
        <v>55</v>
      </c>
      <c r="F25" s="23">
        <v>0</v>
      </c>
      <c r="G25" s="23">
        <f>35-C25</f>
        <v>20</v>
      </c>
      <c r="H25" s="23">
        <f>I25-G25</f>
        <v>11</v>
      </c>
      <c r="I25" s="23">
        <f>46-C25</f>
        <v>31</v>
      </c>
      <c r="J25" s="23">
        <f t="shared" si="10"/>
        <v>55</v>
      </c>
      <c r="K25" s="23">
        <f>H25/J25</f>
        <v>0.2</v>
      </c>
      <c r="L25" s="23"/>
      <c r="M25" s="23">
        <f>(G25-F25)/J25</f>
        <v>0.36363636363636365</v>
      </c>
      <c r="N25" s="23">
        <f>(J25-I25)/J25</f>
        <v>0.43636363636363634</v>
      </c>
      <c r="O25" s="23"/>
      <c r="P25" s="23">
        <f t="shared" si="3"/>
        <v>1</v>
      </c>
      <c r="Q25" s="23">
        <f t="shared" si="4"/>
        <v>0.2</v>
      </c>
      <c r="R25" s="23">
        <f t="shared" si="5"/>
        <v>0.8</v>
      </c>
      <c r="V25" s="1" t="s">
        <v>37</v>
      </c>
      <c r="W25">
        <v>81</v>
      </c>
      <c r="X25">
        <v>5</v>
      </c>
      <c r="Y25">
        <v>0</v>
      </c>
      <c r="Z25">
        <f t="shared" si="1"/>
        <v>76</v>
      </c>
      <c r="AA25">
        <v>0</v>
      </c>
      <c r="AB25">
        <f>34-X25</f>
        <v>29</v>
      </c>
      <c r="AC25">
        <f>AD25-AB25</f>
        <v>11</v>
      </c>
      <c r="AD25">
        <f>45-X25</f>
        <v>40</v>
      </c>
      <c r="AE25">
        <f t="shared" si="2"/>
        <v>76</v>
      </c>
      <c r="AF25">
        <f>AC25/AE25</f>
        <v>0.14473684210526316</v>
      </c>
      <c r="AH25">
        <f>(AB25-AA25)/AE25</f>
        <v>0.38157894736842107</v>
      </c>
      <c r="AI25">
        <f>(AE25-AD25)/AE25</f>
        <v>0.47368421052631576</v>
      </c>
      <c r="AK25">
        <f t="shared" si="7"/>
        <v>1</v>
      </c>
      <c r="AL25">
        <f t="shared" si="8"/>
        <v>0.14473684210526316</v>
      </c>
      <c r="AM25">
        <f t="shared" si="9"/>
        <v>0.85526315789473684</v>
      </c>
      <c r="AR25" t="s">
        <v>22</v>
      </c>
      <c r="AS25">
        <v>12</v>
      </c>
      <c r="AT25" s="8">
        <v>0.83</v>
      </c>
      <c r="AU25">
        <f>($G10-$F10)*10^-2</f>
        <v>0.2</v>
      </c>
      <c r="AV25" s="1">
        <f>($I10-$G10)*10^-2</f>
        <v>0.47000000000000003</v>
      </c>
      <c r="AW25">
        <f>($J10-$I10)*10^-2</f>
        <v>0.16</v>
      </c>
      <c r="AX25" s="8">
        <f t="shared" si="13"/>
        <v>0</v>
      </c>
      <c r="AY25" s="8">
        <f t="shared" si="15"/>
        <v>-8.8891999999999999E-2</v>
      </c>
      <c r="AZ25" s="8">
        <f t="shared" si="16"/>
        <v>0.101108</v>
      </c>
      <c r="BA25" s="8">
        <f>AT6</f>
        <v>0.43</v>
      </c>
      <c r="BB25" s="8">
        <f t="shared" ref="BB25:BF25" si="23">AU6</f>
        <v>0</v>
      </c>
      <c r="BC25" s="8" t="str">
        <f t="shared" si="23"/>
        <v>NA</v>
      </c>
      <c r="BD25" s="8">
        <f t="shared" si="23"/>
        <v>0.13</v>
      </c>
      <c r="BE25" s="8">
        <f t="shared" si="23"/>
        <v>0.21</v>
      </c>
      <c r="BF25" s="8">
        <f t="shared" si="23"/>
        <v>0.09</v>
      </c>
    </row>
    <row r="26" spans="1:88" x14ac:dyDescent="0.25">
      <c r="A26" s="23" t="s">
        <v>38</v>
      </c>
      <c r="B26" s="23">
        <v>81</v>
      </c>
      <c r="C26" s="23">
        <v>6</v>
      </c>
      <c r="D26" s="23">
        <v>7</v>
      </c>
      <c r="E26" s="23">
        <f t="shared" si="0"/>
        <v>68</v>
      </c>
      <c r="F26" s="23">
        <v>0</v>
      </c>
      <c r="G26" s="23">
        <f>27-C26</f>
        <v>21</v>
      </c>
      <c r="H26" s="23"/>
      <c r="I26" s="23">
        <f>55-C26</f>
        <v>49</v>
      </c>
      <c r="J26" s="23">
        <f t="shared" si="10"/>
        <v>68</v>
      </c>
      <c r="K26" s="23">
        <f>(G26-F26)/J26</f>
        <v>0.30882352941176472</v>
      </c>
      <c r="L26" s="23">
        <f>(J26-I26)/J26</f>
        <v>0.27941176470588236</v>
      </c>
      <c r="M26" s="23">
        <f>(I26-G26)/J26</f>
        <v>0.41176470588235292</v>
      </c>
      <c r="N26" s="23"/>
      <c r="O26" s="23"/>
      <c r="P26" s="23">
        <f t="shared" si="3"/>
        <v>1</v>
      </c>
      <c r="Q26" s="23">
        <f t="shared" si="4"/>
        <v>0.58823529411764708</v>
      </c>
      <c r="R26" s="23">
        <f t="shared" si="5"/>
        <v>0.41176470588235292</v>
      </c>
      <c r="V26" t="s">
        <v>38</v>
      </c>
      <c r="W26">
        <v>81</v>
      </c>
      <c r="X26">
        <v>3</v>
      </c>
      <c r="Y26">
        <v>5</v>
      </c>
      <c r="Z26">
        <f t="shared" si="1"/>
        <v>73</v>
      </c>
      <c r="AA26">
        <v>0</v>
      </c>
      <c r="AB26">
        <f>26-X26</f>
        <v>23</v>
      </c>
      <c r="AD26">
        <f>56-X26</f>
        <v>53</v>
      </c>
      <c r="AE26">
        <f t="shared" si="2"/>
        <v>73</v>
      </c>
      <c r="AF26">
        <f>(AB26-AA26)/AE26</f>
        <v>0.31506849315068491</v>
      </c>
      <c r="AG26">
        <f>(AE26-AD26)/AE26</f>
        <v>0.27397260273972601</v>
      </c>
      <c r="AH26">
        <f>(AD26-AB26)/AE26</f>
        <v>0.41095890410958902</v>
      </c>
      <c r="AK26">
        <f t="shared" si="7"/>
        <v>0.99999999999999989</v>
      </c>
      <c r="AL26">
        <f t="shared" si="8"/>
        <v>0.58904109589041087</v>
      </c>
      <c r="AM26">
        <f t="shared" si="9"/>
        <v>0.41095890410958902</v>
      </c>
      <c r="AR26" t="s">
        <v>23</v>
      </c>
      <c r="AS26">
        <v>27</v>
      </c>
      <c r="AT26" s="8">
        <v>0.83</v>
      </c>
      <c r="AU26">
        <f>($G11-$F11)*10^-2</f>
        <v>0.26</v>
      </c>
      <c r="AV26" s="1">
        <f>($I11-$G11)*10^-2</f>
        <v>0.34</v>
      </c>
      <c r="AW26">
        <f>($J11-$I11)*10^-2</f>
        <v>0.23</v>
      </c>
      <c r="AX26" s="8">
        <f t="shared" si="13"/>
        <v>0</v>
      </c>
      <c r="AY26" s="8">
        <f t="shared" si="15"/>
        <v>-1.1307999999999999E-2</v>
      </c>
      <c r="AZ26" s="8">
        <f t="shared" si="16"/>
        <v>0.11869200000000001</v>
      </c>
      <c r="BA26" s="8"/>
      <c r="BB26" s="8"/>
      <c r="BC26" s="8"/>
      <c r="BD26" s="8"/>
      <c r="BE26" s="8"/>
      <c r="BF26" s="8"/>
    </row>
    <row r="27" spans="1:88" x14ac:dyDescent="0.25">
      <c r="A27" s="23" t="s">
        <v>39</v>
      </c>
      <c r="B27" s="23">
        <v>81</v>
      </c>
      <c r="C27" s="23">
        <v>12</v>
      </c>
      <c r="D27" s="23">
        <v>8</v>
      </c>
      <c r="E27" s="23">
        <f t="shared" si="0"/>
        <v>61</v>
      </c>
      <c r="F27" s="23">
        <v>0</v>
      </c>
      <c r="G27" s="23">
        <f>33-C27</f>
        <v>21</v>
      </c>
      <c r="H27" s="23"/>
      <c r="I27" s="23">
        <f>52-C27</f>
        <v>40</v>
      </c>
      <c r="J27" s="23">
        <f t="shared" si="10"/>
        <v>61</v>
      </c>
      <c r="K27" s="23">
        <f>(G27-F27)/J27</f>
        <v>0.34426229508196721</v>
      </c>
      <c r="L27" s="23">
        <f>(J27-I27)/J27</f>
        <v>0.34426229508196721</v>
      </c>
      <c r="M27" s="23">
        <f>(I27-G27)/J27</f>
        <v>0.31147540983606559</v>
      </c>
      <c r="N27" s="23"/>
      <c r="O27" s="23"/>
      <c r="P27" s="23">
        <f t="shared" si="3"/>
        <v>1</v>
      </c>
      <c r="Q27" s="23">
        <f t="shared" si="4"/>
        <v>0.68852459016393441</v>
      </c>
      <c r="R27" s="23">
        <f t="shared" si="5"/>
        <v>0.31147540983606559</v>
      </c>
      <c r="V27" t="s">
        <v>39</v>
      </c>
      <c r="W27">
        <v>81</v>
      </c>
      <c r="X27">
        <v>8</v>
      </c>
      <c r="Y27">
        <v>1</v>
      </c>
      <c r="Z27">
        <f t="shared" si="1"/>
        <v>72</v>
      </c>
      <c r="AA27">
        <f>0</f>
        <v>0</v>
      </c>
      <c r="AB27">
        <f>34-X27</f>
        <v>26</v>
      </c>
      <c r="AD27">
        <f>55-X27</f>
        <v>47</v>
      </c>
      <c r="AE27">
        <f t="shared" si="2"/>
        <v>72</v>
      </c>
      <c r="AF27">
        <f>(AB27-AA27)/AE27</f>
        <v>0.3611111111111111</v>
      </c>
      <c r="AG27">
        <f>(AE27-AD27)/AE27</f>
        <v>0.34722222222222221</v>
      </c>
      <c r="AH27">
        <f>(AD27-AB27)/AE27</f>
        <v>0.29166666666666669</v>
      </c>
      <c r="AK27">
        <f t="shared" si="7"/>
        <v>1</v>
      </c>
      <c r="AL27">
        <f t="shared" si="8"/>
        <v>0.70833333333333326</v>
      </c>
      <c r="AM27">
        <f t="shared" si="9"/>
        <v>0.29166666666666669</v>
      </c>
      <c r="AR27" t="s">
        <v>24</v>
      </c>
      <c r="AS27">
        <v>42</v>
      </c>
      <c r="AT27" s="8">
        <v>0.8</v>
      </c>
      <c r="AU27">
        <f>($G12-$F12)*10^-2</f>
        <v>0.28000000000000003</v>
      </c>
      <c r="AV27" s="1">
        <f>($I12-$G12)*10^-2</f>
        <v>0.25</v>
      </c>
      <c r="AW27">
        <f>($J12-$I12)*10^-2</f>
        <v>0.27</v>
      </c>
      <c r="AX27" s="8">
        <f t="shared" si="13"/>
        <v>0</v>
      </c>
      <c r="AY27" s="8">
        <f t="shared" si="15"/>
        <v>-6.1307999999999988E-2</v>
      </c>
      <c r="AZ27" s="8">
        <f t="shared" si="16"/>
        <v>0.11869200000000001</v>
      </c>
      <c r="BA27">
        <f>AT7</f>
        <v>0.65</v>
      </c>
      <c r="BB27" s="8">
        <f t="shared" ref="BB27:BF27" si="24">AU7</f>
        <v>0</v>
      </c>
      <c r="BC27" s="8" t="str">
        <f t="shared" si="24"/>
        <v>annealing at 180 degrees 60 min</v>
      </c>
      <c r="BD27" s="8">
        <f t="shared" si="24"/>
        <v>0.23</v>
      </c>
      <c r="BE27" s="8">
        <f t="shared" si="24"/>
        <v>0.23</v>
      </c>
      <c r="BF27" s="8">
        <f t="shared" si="24"/>
        <v>0.19</v>
      </c>
    </row>
    <row r="28" spans="1:88" x14ac:dyDescent="0.25">
      <c r="A28" s="23" t="s">
        <v>40</v>
      </c>
      <c r="B28" s="23">
        <v>81</v>
      </c>
      <c r="C28" s="23">
        <v>14</v>
      </c>
      <c r="D28" s="23">
        <v>12</v>
      </c>
      <c r="E28" s="23">
        <f t="shared" si="0"/>
        <v>55</v>
      </c>
      <c r="F28" s="23">
        <v>0</v>
      </c>
      <c r="G28" s="23">
        <f>38-C28</f>
        <v>24</v>
      </c>
      <c r="H28" s="23"/>
      <c r="I28" s="23">
        <f>54-C28</f>
        <v>40</v>
      </c>
      <c r="J28" s="23">
        <f t="shared" si="10"/>
        <v>55</v>
      </c>
      <c r="K28" s="23">
        <f>(G28-F28)/J28</f>
        <v>0.43636363636363634</v>
      </c>
      <c r="L28" s="23">
        <f>(J28-I28)/J28</f>
        <v>0.27272727272727271</v>
      </c>
      <c r="M28" s="23">
        <f>(I28-G28)/J28</f>
        <v>0.29090909090909089</v>
      </c>
      <c r="N28" s="23"/>
      <c r="O28" s="23"/>
      <c r="P28" s="23">
        <f t="shared" si="3"/>
        <v>0.99999999999999989</v>
      </c>
      <c r="Q28" s="23">
        <f t="shared" si="4"/>
        <v>0.70909090909090899</v>
      </c>
      <c r="R28" s="23">
        <f t="shared" si="5"/>
        <v>0.29090909090909089</v>
      </c>
      <c r="V28" t="s">
        <v>40</v>
      </c>
      <c r="W28">
        <v>81</v>
      </c>
      <c r="X28">
        <v>10</v>
      </c>
      <c r="Y28">
        <v>5</v>
      </c>
      <c r="Z28">
        <f t="shared" si="1"/>
        <v>66</v>
      </c>
      <c r="AA28">
        <v>0</v>
      </c>
      <c r="AB28">
        <f>38-X28</f>
        <v>28</v>
      </c>
      <c r="AD28">
        <f>55-X28</f>
        <v>45</v>
      </c>
      <c r="AE28">
        <f t="shared" si="2"/>
        <v>66</v>
      </c>
      <c r="AF28">
        <f>(AB28-AA28)/AE28</f>
        <v>0.42424242424242425</v>
      </c>
      <c r="AG28">
        <f>(AE28-AD28)/AE28</f>
        <v>0.31818181818181818</v>
      </c>
      <c r="AH28">
        <f>(AD28-AB28)/AE28</f>
        <v>0.25757575757575757</v>
      </c>
      <c r="AK28">
        <f t="shared" si="7"/>
        <v>1</v>
      </c>
      <c r="AL28">
        <f t="shared" si="8"/>
        <v>0.74242424242424243</v>
      </c>
      <c r="AM28">
        <f t="shared" si="9"/>
        <v>0.25757575757575757</v>
      </c>
      <c r="AR28" t="s">
        <v>25</v>
      </c>
      <c r="AS28">
        <v>12</v>
      </c>
      <c r="AT28" s="8">
        <v>0.47</v>
      </c>
      <c r="AU28">
        <f>($G14-$F14)*10^-2</f>
        <v>0.14000000000000001</v>
      </c>
      <c r="AV28" s="1">
        <f>($I14-$G14)*10^-2</f>
        <v>0.14000000000000001</v>
      </c>
      <c r="AW28">
        <f>($J14-$I14)*10^-2</f>
        <v>0.19</v>
      </c>
      <c r="AX28" s="8">
        <f t="shared" si="13"/>
        <v>0</v>
      </c>
      <c r="AY28" s="8">
        <f t="shared" si="15"/>
        <v>-0.15207999999999999</v>
      </c>
      <c r="AZ28" s="8">
        <f t="shared" si="16"/>
        <v>8.7919999999999998E-2</v>
      </c>
      <c r="BI28" s="30"/>
      <c r="BJ28" s="30"/>
      <c r="BK28" s="30"/>
      <c r="BL28" s="30"/>
      <c r="BM28" s="30"/>
      <c r="BN28" s="30"/>
      <c r="BO28" s="30"/>
      <c r="BP28" s="30"/>
      <c r="BQ28" s="30"/>
      <c r="BR28" s="30"/>
      <c r="BS28" s="30"/>
      <c r="BT28" s="30"/>
    </row>
    <row r="29" spans="1:88" x14ac:dyDescent="0.25">
      <c r="A29" s="23" t="s">
        <v>41</v>
      </c>
      <c r="B29" s="23">
        <f>81</f>
        <v>81</v>
      </c>
      <c r="C29" s="23">
        <v>21</v>
      </c>
      <c r="D29" s="23">
        <v>0</v>
      </c>
      <c r="E29" s="23">
        <f t="shared" si="0"/>
        <v>60</v>
      </c>
      <c r="F29" s="23">
        <f>0</f>
        <v>0</v>
      </c>
      <c r="G29" s="23">
        <f>41-C29</f>
        <v>20</v>
      </c>
      <c r="H29" s="23">
        <f>I29-G29</f>
        <v>19</v>
      </c>
      <c r="I29" s="23">
        <f>60-C29</f>
        <v>39</v>
      </c>
      <c r="J29" s="23">
        <f t="shared" si="10"/>
        <v>60</v>
      </c>
      <c r="K29" s="23">
        <f>H29/J29</f>
        <v>0.31666666666666665</v>
      </c>
      <c r="L29" s="23"/>
      <c r="M29" s="23">
        <f>(G29-F29)/J29</f>
        <v>0.33333333333333331</v>
      </c>
      <c r="N29" s="23">
        <f>(J29-I29)/J29</f>
        <v>0.35</v>
      </c>
      <c r="O29" s="23"/>
      <c r="P29" s="23">
        <f t="shared" si="3"/>
        <v>0.99999999999999989</v>
      </c>
      <c r="Q29" s="23">
        <f t="shared" si="4"/>
        <v>0.31666666666666665</v>
      </c>
      <c r="R29" s="23">
        <f t="shared" si="5"/>
        <v>0.68333333333333335</v>
      </c>
      <c r="V29" s="1" t="s">
        <v>41</v>
      </c>
      <c r="W29">
        <v>91</v>
      </c>
      <c r="X29">
        <v>14</v>
      </c>
      <c r="Y29">
        <v>0</v>
      </c>
      <c r="Z29">
        <f t="shared" si="1"/>
        <v>77</v>
      </c>
      <c r="AA29">
        <v>0</v>
      </c>
      <c r="AB29">
        <f>44-X29</f>
        <v>30</v>
      </c>
      <c r="AC29">
        <f>AD29-AB29</f>
        <v>18</v>
      </c>
      <c r="AD29">
        <f>62-X29</f>
        <v>48</v>
      </c>
      <c r="AE29">
        <f t="shared" si="2"/>
        <v>77</v>
      </c>
      <c r="AF29">
        <f>AC29/AE29</f>
        <v>0.23376623376623376</v>
      </c>
      <c r="AH29">
        <f>(AB29-AA29)/AE29</f>
        <v>0.38961038961038963</v>
      </c>
      <c r="AI29">
        <f>(AE29-AD29)/AE29</f>
        <v>0.37662337662337664</v>
      </c>
      <c r="AK29">
        <f t="shared" si="7"/>
        <v>1</v>
      </c>
      <c r="AL29">
        <f t="shared" si="8"/>
        <v>0.23376623376623376</v>
      </c>
      <c r="AM29">
        <f t="shared" si="9"/>
        <v>0.76623376623376627</v>
      </c>
      <c r="AR29" t="s">
        <v>27</v>
      </c>
      <c r="AS29">
        <v>27</v>
      </c>
      <c r="AT29" s="8">
        <v>0.44</v>
      </c>
      <c r="AU29">
        <f>($G15-$F15)*10^-2</f>
        <v>0.18</v>
      </c>
      <c r="AV29" s="1">
        <f>($I15-$G15)*10^-2</f>
        <v>0.05</v>
      </c>
      <c r="AW29">
        <f>($J15-$I15)*10^-2</f>
        <v>0.21</v>
      </c>
      <c r="AX29" s="8">
        <f t="shared" si="13"/>
        <v>0</v>
      </c>
      <c r="AY29" s="8">
        <f t="shared" si="15"/>
        <v>-0.12207999999999999</v>
      </c>
      <c r="AZ29" s="8">
        <f t="shared" si="16"/>
        <v>8.7919999999999998E-2</v>
      </c>
      <c r="BA29">
        <f>AT8</f>
        <v>0.55000000000000004</v>
      </c>
      <c r="BB29" s="8">
        <f t="shared" ref="BB29:BF29" si="25">AU8</f>
        <v>0</v>
      </c>
      <c r="BC29" s="8" t="str">
        <f t="shared" si="25"/>
        <v>annealing at 180 degrees 30 min</v>
      </c>
      <c r="BD29" s="8">
        <f t="shared" si="25"/>
        <v>0.27</v>
      </c>
      <c r="BE29" s="8">
        <f t="shared" si="25"/>
        <v>0.15</v>
      </c>
      <c r="BF29" s="8">
        <f t="shared" si="25"/>
        <v>0.13</v>
      </c>
      <c r="BI29" s="30"/>
      <c r="BJ29" s="30"/>
      <c r="BK29" s="30"/>
      <c r="BL29" s="30"/>
      <c r="BM29" s="30"/>
      <c r="BN29" s="30"/>
      <c r="BO29" s="30"/>
      <c r="BP29" s="30"/>
      <c r="BQ29" s="30"/>
      <c r="BR29" s="30"/>
      <c r="BS29" s="30"/>
      <c r="BT29" s="30"/>
    </row>
    <row r="30" spans="1:88" x14ac:dyDescent="0.25">
      <c r="A30" s="23" t="s">
        <v>42</v>
      </c>
      <c r="B30" s="23">
        <v>191</v>
      </c>
      <c r="C30" s="23">
        <v>22</v>
      </c>
      <c r="D30" s="23">
        <v>22</v>
      </c>
      <c r="E30" s="23">
        <f t="shared" si="0"/>
        <v>147</v>
      </c>
      <c r="F30" s="23">
        <v>0</v>
      </c>
      <c r="G30" s="23">
        <f>31-C30</f>
        <v>9</v>
      </c>
      <c r="H30" s="23"/>
      <c r="I30" s="23">
        <f>140-C30</f>
        <v>118</v>
      </c>
      <c r="J30" s="23">
        <f t="shared" si="10"/>
        <v>147</v>
      </c>
      <c r="K30" s="23">
        <f>(G30-F30)/J30</f>
        <v>6.1224489795918366E-2</v>
      </c>
      <c r="L30" s="23">
        <f>(J30-I30)/J30</f>
        <v>0.19727891156462585</v>
      </c>
      <c r="M30" s="23">
        <f>(I30-G30)/J30</f>
        <v>0.74149659863945583</v>
      </c>
      <c r="N30" s="23"/>
      <c r="O30" s="23"/>
      <c r="P30" s="23">
        <f t="shared" si="3"/>
        <v>1</v>
      </c>
      <c r="Q30" s="23">
        <f t="shared" si="4"/>
        <v>0.25850340136054423</v>
      </c>
      <c r="R30" s="23">
        <f t="shared" si="5"/>
        <v>0.74149659863945583</v>
      </c>
      <c r="V30" t="s">
        <v>42</v>
      </c>
      <c r="W30">
        <v>191</v>
      </c>
      <c r="X30">
        <v>21</v>
      </c>
      <c r="Y30">
        <v>9</v>
      </c>
      <c r="Z30">
        <f t="shared" si="1"/>
        <v>161</v>
      </c>
      <c r="AA30">
        <v>0</v>
      </c>
      <c r="AB30">
        <f>29-X30</f>
        <v>8</v>
      </c>
      <c r="AD30">
        <f>138-X30</f>
        <v>117</v>
      </c>
      <c r="AE30">
        <f t="shared" si="2"/>
        <v>161</v>
      </c>
      <c r="AF30">
        <f>(AB30-AA30)/AE30</f>
        <v>4.9689440993788817E-2</v>
      </c>
      <c r="AG30">
        <f>(AE30-AD30)/AE30</f>
        <v>0.27329192546583853</v>
      </c>
      <c r="AH30">
        <f>(AD30-AB30)/AE30</f>
        <v>0.67701863354037262</v>
      </c>
      <c r="AK30">
        <f t="shared" si="7"/>
        <v>1</v>
      </c>
      <c r="AL30">
        <f t="shared" si="8"/>
        <v>0.32298136645962733</v>
      </c>
      <c r="AM30">
        <f t="shared" si="9"/>
        <v>0.67701863354037262</v>
      </c>
      <c r="AR30" t="s">
        <v>28</v>
      </c>
      <c r="AS30">
        <v>42</v>
      </c>
      <c r="AT30" s="8">
        <v>0.41</v>
      </c>
      <c r="AU30">
        <f>AW30</f>
        <v>0.20500000000000002</v>
      </c>
      <c r="AV30" s="1">
        <f>($I16-$G16)*10^-2</f>
        <v>0</v>
      </c>
      <c r="AW30">
        <f>($J16-$I16)*0.5*10^-2</f>
        <v>0.20500000000000002</v>
      </c>
      <c r="AX30" s="8">
        <f t="shared" si="13"/>
        <v>0</v>
      </c>
      <c r="AY30" s="8">
        <f t="shared" si="15"/>
        <v>-0.185368</v>
      </c>
      <c r="AZ30" s="8">
        <f t="shared" si="16"/>
        <v>0.18463199999999999</v>
      </c>
      <c r="BA30" s="8">
        <f>AT9</f>
        <v>0.59</v>
      </c>
      <c r="BB30" s="8">
        <f t="shared" ref="BB30:BB31" si="26">AU9</f>
        <v>0</v>
      </c>
      <c r="BC30" s="8" t="str">
        <f t="shared" ref="BC30:BC31" si="27">AV9</f>
        <v>NA</v>
      </c>
      <c r="BD30" s="8">
        <f t="shared" ref="BD30:BD31" si="28">AW9</f>
        <v>0.27</v>
      </c>
      <c r="BE30" s="8">
        <f t="shared" ref="BE30:BE31" si="29">AX9</f>
        <v>0.14000000000000001</v>
      </c>
      <c r="BF30" s="8">
        <f t="shared" ref="BF30:BF31" si="30">AY9</f>
        <v>0.18</v>
      </c>
      <c r="BI30" s="30"/>
      <c r="BJ30" s="30" t="s">
        <v>273</v>
      </c>
      <c r="BK30" s="30"/>
      <c r="BL30" s="30"/>
      <c r="BM30" s="30"/>
      <c r="BN30" s="30"/>
      <c r="BO30" s="30"/>
      <c r="BP30" s="30" t="s">
        <v>274</v>
      </c>
      <c r="BQ30" s="30"/>
      <c r="BR30" s="30"/>
      <c r="BS30" s="30"/>
      <c r="BT30" s="30"/>
    </row>
    <row r="31" spans="1:88" ht="26.25" x14ac:dyDescent="0.4">
      <c r="A31" s="23" t="s">
        <v>43</v>
      </c>
      <c r="B31" s="23">
        <v>191</v>
      </c>
      <c r="C31" s="23">
        <v>20</v>
      </c>
      <c r="D31" s="23">
        <v>20</v>
      </c>
      <c r="E31" s="23">
        <f t="shared" si="0"/>
        <v>151</v>
      </c>
      <c r="F31" s="23">
        <f>0</f>
        <v>0</v>
      </c>
      <c r="G31" s="23">
        <f>48-C31</f>
        <v>28</v>
      </c>
      <c r="H31" s="23"/>
      <c r="I31" s="23">
        <f>136-C31</f>
        <v>116</v>
      </c>
      <c r="J31" s="23">
        <f t="shared" si="10"/>
        <v>151</v>
      </c>
      <c r="K31" s="23">
        <f>(G31-F31)/J31</f>
        <v>0.18543046357615894</v>
      </c>
      <c r="L31" s="23">
        <f>(J31-I31)/J31</f>
        <v>0.23178807947019867</v>
      </c>
      <c r="M31" s="23">
        <f>(I31-G31)/J31</f>
        <v>0.58278145695364236</v>
      </c>
      <c r="N31" s="23"/>
      <c r="O31" s="23"/>
      <c r="P31" s="23">
        <f t="shared" si="3"/>
        <v>1</v>
      </c>
      <c r="Q31" s="23">
        <f t="shared" si="4"/>
        <v>0.41721854304635764</v>
      </c>
      <c r="R31" s="23">
        <f t="shared" si="5"/>
        <v>0.58278145695364236</v>
      </c>
      <c r="V31" t="s">
        <v>43</v>
      </c>
      <c r="W31">
        <v>191</v>
      </c>
      <c r="X31">
        <v>12</v>
      </c>
      <c r="Y31">
        <v>8</v>
      </c>
      <c r="Z31">
        <f t="shared" si="1"/>
        <v>171</v>
      </c>
      <c r="AA31">
        <v>0</v>
      </c>
      <c r="AB31">
        <f>43-X31</f>
        <v>31</v>
      </c>
      <c r="AD31">
        <f>140-X31</f>
        <v>128</v>
      </c>
      <c r="AE31">
        <f t="shared" si="2"/>
        <v>171</v>
      </c>
      <c r="AF31">
        <f>(AB31-AA31)/AE31</f>
        <v>0.18128654970760233</v>
      </c>
      <c r="AG31">
        <f>(AE31-AD31)/AE31</f>
        <v>0.25146198830409355</v>
      </c>
      <c r="AH31">
        <f>(AD31-AB31)/AE31</f>
        <v>0.56725146198830412</v>
      </c>
      <c r="AK31">
        <f t="shared" si="7"/>
        <v>1</v>
      </c>
      <c r="AL31">
        <f t="shared" si="8"/>
        <v>0.43274853801169588</v>
      </c>
      <c r="AM31">
        <f t="shared" si="9"/>
        <v>0.56725146198830412</v>
      </c>
      <c r="AR31" t="s">
        <v>30</v>
      </c>
      <c r="AS31">
        <v>12</v>
      </c>
      <c r="AT31" s="8">
        <v>0.6</v>
      </c>
      <c r="AU31">
        <f>($G18-$F18)*10^-2</f>
        <v>0.17</v>
      </c>
      <c r="AV31" s="1">
        <f>($I18-$G18)*10^-2</f>
        <v>0.22</v>
      </c>
      <c r="AW31">
        <f>($J18-$I18)*10^-2</f>
        <v>0.21</v>
      </c>
      <c r="AX31" s="8">
        <f t="shared" si="13"/>
        <v>0</v>
      </c>
      <c r="AY31" s="8">
        <f t="shared" si="15"/>
        <v>-0.13691200000000001</v>
      </c>
      <c r="AZ31" s="8">
        <f t="shared" si="16"/>
        <v>0.123088</v>
      </c>
      <c r="BA31" s="8">
        <f>AT10</f>
        <v>0.55000000000000004</v>
      </c>
      <c r="BB31" s="8">
        <f t="shared" si="26"/>
        <v>0</v>
      </c>
      <c r="BC31" s="8" t="str">
        <f t="shared" si="27"/>
        <v>annealing at 180 degrees 60 min and cooling</v>
      </c>
      <c r="BD31" s="8">
        <f t="shared" si="28"/>
        <v>0.2</v>
      </c>
      <c r="BE31" s="8">
        <f t="shared" si="29"/>
        <v>0.11</v>
      </c>
      <c r="BF31" s="8">
        <f t="shared" si="30"/>
        <v>0.24</v>
      </c>
      <c r="BI31" s="30"/>
      <c r="BJ31" s="30">
        <f>AVERAGE(BC7,BG7,BK7)</f>
        <v>0.80333333333333334</v>
      </c>
      <c r="BK31" s="30">
        <f>_xlfn.STDEV.P(BC7,BG7,BK7)</f>
        <v>1.6996731711975927E-2</v>
      </c>
      <c r="BL31" s="30">
        <f>AVERAGE(BB7,BF7,BJ7)</f>
        <v>0.65998424941514378</v>
      </c>
      <c r="BM31" s="30">
        <f>_xlfn.STDEV.S(BB7,BF7,BJ7)</f>
        <v>7.7869095582666512E-2</v>
      </c>
      <c r="BN31" s="30"/>
      <c r="BO31" s="30"/>
      <c r="BP31" s="30">
        <v>0</v>
      </c>
      <c r="BQ31" s="30">
        <f>AVERAGE(BB5:BB8)</f>
        <v>0.55802985453637721</v>
      </c>
      <c r="BR31" s="30">
        <f>_xlfn.STDEV.S(BB5:BB8)</f>
        <v>0.16253045356875312</v>
      </c>
      <c r="BS31" s="30"/>
      <c r="BT31" s="30"/>
      <c r="CJ31" s="34" t="s">
        <v>326</v>
      </c>
    </row>
    <row r="32" spans="1:88" x14ac:dyDescent="0.25">
      <c r="A32" s="23" t="s">
        <v>44</v>
      </c>
      <c r="B32" s="23">
        <v>191</v>
      </c>
      <c r="C32" s="23">
        <v>22</v>
      </c>
      <c r="D32" s="23">
        <v>23</v>
      </c>
      <c r="E32" s="23">
        <f>B32-SUM(C32:D32)</f>
        <v>146</v>
      </c>
      <c r="F32" s="23">
        <f>0</f>
        <v>0</v>
      </c>
      <c r="G32" s="23">
        <f>46-C32</f>
        <v>24</v>
      </c>
      <c r="H32" s="23"/>
      <c r="I32" s="23">
        <f>126-C32</f>
        <v>104</v>
      </c>
      <c r="J32" s="23">
        <f t="shared" si="10"/>
        <v>146</v>
      </c>
      <c r="K32" s="23">
        <f>(G32-F32)/J32</f>
        <v>0.16438356164383561</v>
      </c>
      <c r="L32" s="23">
        <f>(J32-I32)/J32</f>
        <v>0.28767123287671231</v>
      </c>
      <c r="M32" s="23">
        <f>(I32-G32)/J32</f>
        <v>0.54794520547945202</v>
      </c>
      <c r="N32" s="23"/>
      <c r="O32" s="23"/>
      <c r="P32" s="23">
        <f t="shared" si="3"/>
        <v>1</v>
      </c>
      <c r="Q32" s="23">
        <f t="shared" si="4"/>
        <v>0.45205479452054792</v>
      </c>
      <c r="R32" s="23">
        <f t="shared" si="5"/>
        <v>0.54794520547945202</v>
      </c>
      <c r="V32" t="s">
        <v>44</v>
      </c>
      <c r="W32">
        <v>191</v>
      </c>
      <c r="X32">
        <v>7</v>
      </c>
      <c r="Y32">
        <v>11</v>
      </c>
      <c r="Z32">
        <f t="shared" si="1"/>
        <v>173</v>
      </c>
      <c r="AA32">
        <v>0</v>
      </c>
      <c r="AB32">
        <f>42-X32</f>
        <v>35</v>
      </c>
      <c r="AD32">
        <f>133-X32</f>
        <v>126</v>
      </c>
      <c r="AE32">
        <f t="shared" si="2"/>
        <v>173</v>
      </c>
      <c r="AF32">
        <f>(AB32-AA32)/AE32</f>
        <v>0.20231213872832371</v>
      </c>
      <c r="AG32">
        <f>(AE32-AD32)/AE32</f>
        <v>0.27167630057803466</v>
      </c>
      <c r="AH32">
        <f>(AD32-AB32)/AE32</f>
        <v>0.52601156069364163</v>
      </c>
      <c r="AK32">
        <f t="shared" si="7"/>
        <v>1</v>
      </c>
      <c r="AL32">
        <f t="shared" si="8"/>
        <v>0.47398843930635837</v>
      </c>
      <c r="AM32">
        <f t="shared" si="9"/>
        <v>0.52601156069364163</v>
      </c>
      <c r="AR32" t="s">
        <v>31</v>
      </c>
      <c r="AS32">
        <v>27</v>
      </c>
      <c r="AT32" s="8">
        <v>0.56999999999999995</v>
      </c>
      <c r="AU32">
        <f>($G19-$F19)*10^-2</f>
        <v>0.22</v>
      </c>
      <c r="AV32" s="1">
        <f>($I19-$G19)*10^-2</f>
        <v>0.18</v>
      </c>
      <c r="AW32">
        <f>($J19-$I19)*10^-2</f>
        <v>0.17</v>
      </c>
      <c r="AX32" s="8">
        <f t="shared" si="13"/>
        <v>0</v>
      </c>
      <c r="AY32" s="8">
        <f t="shared" si="15"/>
        <v>0.29356000000000004</v>
      </c>
      <c r="AZ32" s="8">
        <f t="shared" si="16"/>
        <v>0.48356000000000005</v>
      </c>
      <c r="BA32" s="8">
        <f>AT11</f>
        <v>0.6</v>
      </c>
      <c r="BB32" s="8">
        <f t="shared" ref="BB32" si="31">AU11</f>
        <v>0</v>
      </c>
      <c r="BC32" s="8" t="str">
        <f t="shared" ref="BC32" si="32">AV11</f>
        <v>annealing for 30 min at 180 degrees</v>
      </c>
      <c r="BD32" s="8">
        <f t="shared" ref="BD32" si="33">AW11</f>
        <v>0.2</v>
      </c>
      <c r="BE32" s="8">
        <f t="shared" ref="BE32" si="34">AX11</f>
        <v>0.19</v>
      </c>
      <c r="BF32" s="8">
        <f t="shared" ref="BF32" si="35">AY11</f>
        <v>0.21</v>
      </c>
      <c r="BI32" s="30"/>
      <c r="BJ32" s="30">
        <f>BC5</f>
        <v>0.43</v>
      </c>
      <c r="BK32" s="30"/>
      <c r="BL32" s="30">
        <f>BB5</f>
        <v>0.51162790697674421</v>
      </c>
      <c r="BM32" s="30"/>
      <c r="BN32" s="30"/>
      <c r="BO32" s="30"/>
      <c r="BP32" s="30">
        <v>30</v>
      </c>
      <c r="BQ32" s="30">
        <f>AVERAGE(BF5:BF8)</f>
        <v>0.67219044183329901</v>
      </c>
      <c r="BR32" s="30">
        <f>_xlfn.STDEV.S(BF5:BF8)</f>
        <v>9.3133943991562967E-2</v>
      </c>
      <c r="BS32" s="30"/>
      <c r="BT32" s="30"/>
    </row>
    <row r="33" spans="1:72" x14ac:dyDescent="0.25">
      <c r="A33" s="23" t="s">
        <v>45</v>
      </c>
      <c r="B33" s="23">
        <v>181</v>
      </c>
      <c r="C33" s="23">
        <v>22</v>
      </c>
      <c r="D33" s="23">
        <v>12</v>
      </c>
      <c r="E33" s="23">
        <f t="shared" si="0"/>
        <v>147</v>
      </c>
      <c r="F33" s="23">
        <v>0</v>
      </c>
      <c r="G33" s="23">
        <f>64-C33</f>
        <v>42</v>
      </c>
      <c r="H33" s="23">
        <f>I33-G33</f>
        <v>68</v>
      </c>
      <c r="I33" s="23">
        <f>132-C33</f>
        <v>110</v>
      </c>
      <c r="J33" s="23">
        <f t="shared" si="10"/>
        <v>147</v>
      </c>
      <c r="K33" s="23">
        <f>H33/J33</f>
        <v>0.46258503401360546</v>
      </c>
      <c r="L33" s="23"/>
      <c r="M33" s="23">
        <f>(G33-F33)/J33</f>
        <v>0.2857142857142857</v>
      </c>
      <c r="N33" s="23">
        <f>(J33-I33)/J33</f>
        <v>0.25170068027210885</v>
      </c>
      <c r="O33" s="23"/>
      <c r="P33" s="23">
        <f t="shared" si="3"/>
        <v>1</v>
      </c>
      <c r="Q33" s="23">
        <f t="shared" si="4"/>
        <v>0.46258503401360546</v>
      </c>
      <c r="R33" s="23">
        <f t="shared" si="5"/>
        <v>0.53741496598639449</v>
      </c>
      <c r="V33" s="1" t="s">
        <v>45</v>
      </c>
      <c r="W33">
        <v>181</v>
      </c>
      <c r="X33">
        <v>9</v>
      </c>
      <c r="Y33">
        <v>0</v>
      </c>
      <c r="Z33">
        <f t="shared" si="1"/>
        <v>172</v>
      </c>
      <c r="AA33">
        <v>0</v>
      </c>
      <c r="AB33">
        <f>64-X33</f>
        <v>55</v>
      </c>
      <c r="AC33">
        <f>AD33-AB33</f>
        <v>69</v>
      </c>
      <c r="AD33">
        <f>133-X33</f>
        <v>124</v>
      </c>
      <c r="AE33">
        <f t="shared" si="2"/>
        <v>172</v>
      </c>
      <c r="AF33">
        <f>AC33/AE33</f>
        <v>0.40116279069767441</v>
      </c>
      <c r="AH33">
        <f>(AB33-AA33)/AE33</f>
        <v>0.31976744186046513</v>
      </c>
      <c r="AI33">
        <f>(AE33-AD33)/AE33</f>
        <v>0.27906976744186046</v>
      </c>
      <c r="AK33">
        <f t="shared" si="7"/>
        <v>1</v>
      </c>
      <c r="AL33">
        <f t="shared" si="8"/>
        <v>0.40116279069767441</v>
      </c>
      <c r="AM33">
        <f t="shared" si="9"/>
        <v>0.59883720930232553</v>
      </c>
      <c r="AR33" t="s">
        <v>32</v>
      </c>
      <c r="AS33">
        <v>42</v>
      </c>
      <c r="AT33" s="8">
        <v>0.54</v>
      </c>
      <c r="AU33">
        <f>($G20-$F20)*10^-2</f>
        <v>0.31</v>
      </c>
      <c r="AV33" s="1">
        <f>($I20-$G20)*10^-2</f>
        <v>0.03</v>
      </c>
      <c r="AW33">
        <f>($J20-$I20)*10^-2</f>
        <v>0.2</v>
      </c>
      <c r="AX33" s="8">
        <f t="shared" si="13"/>
        <v>0</v>
      </c>
      <c r="AZ33" s="8"/>
      <c r="BA33">
        <f>AVERAGE(BA29:BA32)</f>
        <v>0.57250000000000001</v>
      </c>
      <c r="BB33">
        <f>_xlfn.STDEV.S(BA29:BA32)</f>
        <v>2.6299556396765792E-2</v>
      </c>
      <c r="BI33" s="30"/>
      <c r="BJ33" s="30">
        <f>AVERAGE(BC6,BG6,BG5,BK5,BK6)</f>
        <v>0.58799999999999997</v>
      </c>
      <c r="BK33" s="30">
        <f>_xlfn.STDEV.S(BC6,BG6,BG5,BK5,BK6)</f>
        <v>4.1472882706655431E-2</v>
      </c>
      <c r="BL33" s="30">
        <f>AVERAGE(BB6,BF6,BF5,BJ6,BJ5)</f>
        <v>0.72389435423333737</v>
      </c>
      <c r="BM33" s="30">
        <f>_xlfn.STDEV.S(BB6,BF6,BF5,BJ6,BJ5)</f>
        <v>6.1235334633949964E-2</v>
      </c>
      <c r="BN33" s="30"/>
      <c r="BO33" s="30"/>
      <c r="BP33" s="30">
        <v>60</v>
      </c>
      <c r="BQ33" s="30">
        <f>AVERAGE(BJ5:BJ8)</f>
        <v>0.5494755244755245</v>
      </c>
      <c r="BR33" s="30">
        <f>_xlfn.STDEV.S(BJ5:BJ8)</f>
        <v>0.30925771269381869</v>
      </c>
      <c r="BS33" s="30"/>
      <c r="BT33" s="30"/>
    </row>
    <row r="34" spans="1:72" x14ac:dyDescent="0.25">
      <c r="A34" s="23" t="s">
        <v>46</v>
      </c>
      <c r="B34" s="23">
        <v>191</v>
      </c>
      <c r="C34" s="23">
        <v>22</v>
      </c>
      <c r="D34" s="23">
        <v>22</v>
      </c>
      <c r="E34" s="23">
        <f t="shared" ref="E34:E49" si="36">B34-SUM(C34:D34)</f>
        <v>147</v>
      </c>
      <c r="F34" s="23">
        <f>0</f>
        <v>0</v>
      </c>
      <c r="G34" s="23">
        <f>45-C34</f>
        <v>23</v>
      </c>
      <c r="H34" s="23"/>
      <c r="I34" s="23">
        <f>130-C34</f>
        <v>108</v>
      </c>
      <c r="J34" s="23">
        <f t="shared" ref="J34:J49" si="37">E34</f>
        <v>147</v>
      </c>
      <c r="K34" s="23">
        <f>(G34-F34)/J34</f>
        <v>0.15646258503401361</v>
      </c>
      <c r="L34" s="23">
        <f>(J34-I34)/J34</f>
        <v>0.26530612244897961</v>
      </c>
      <c r="M34" s="23">
        <f>(I34-G34)/J34</f>
        <v>0.57823129251700678</v>
      </c>
      <c r="N34" s="23"/>
      <c r="O34" s="23"/>
      <c r="P34" s="23">
        <f t="shared" si="3"/>
        <v>1</v>
      </c>
      <c r="Q34" s="23">
        <f t="shared" si="4"/>
        <v>0.42176870748299322</v>
      </c>
      <c r="R34" s="23">
        <f t="shared" si="5"/>
        <v>0.57823129251700678</v>
      </c>
      <c r="V34" t="s">
        <v>46</v>
      </c>
      <c r="W34">
        <v>191</v>
      </c>
      <c r="X34">
        <v>12</v>
      </c>
      <c r="Y34">
        <v>13</v>
      </c>
      <c r="Z34">
        <f t="shared" si="1"/>
        <v>166</v>
      </c>
      <c r="AA34">
        <f>0</f>
        <v>0</v>
      </c>
      <c r="AB34">
        <f>39-X34</f>
        <v>27</v>
      </c>
      <c r="AD34">
        <f>133-X34</f>
        <v>121</v>
      </c>
      <c r="AE34">
        <f t="shared" si="2"/>
        <v>166</v>
      </c>
      <c r="AF34">
        <f>(AB34-AA34)/AE34</f>
        <v>0.16265060240963855</v>
      </c>
      <c r="AG34">
        <f>(AE34-AD34)/AE34</f>
        <v>0.27108433734939757</v>
      </c>
      <c r="AH34">
        <f>(AD34-AB34)/AE34</f>
        <v>0.5662650602409639</v>
      </c>
      <c r="AK34">
        <f t="shared" si="7"/>
        <v>1</v>
      </c>
      <c r="AL34">
        <f t="shared" si="8"/>
        <v>0.4337349397590361</v>
      </c>
      <c r="AM34">
        <f t="shared" si="9"/>
        <v>0.5662650602409639</v>
      </c>
      <c r="AR34" t="s">
        <v>34</v>
      </c>
      <c r="AS34">
        <v>12</v>
      </c>
      <c r="AT34" s="8">
        <v>0.6</v>
      </c>
      <c r="AU34">
        <f>($G22-$F22)*10^-2</f>
        <v>0.11</v>
      </c>
      <c r="AV34" s="1">
        <f>($I22-$G22)*10^-2</f>
        <v>0.34</v>
      </c>
      <c r="AW34">
        <f>($J22-$I22)*10^-2</f>
        <v>0.15</v>
      </c>
      <c r="AX34" s="8">
        <f t="shared" si="13"/>
        <v>0</v>
      </c>
      <c r="AY34">
        <f>_xlfn.STDEV.S(AY21:AY32)</f>
        <v>0.12660966290089706</v>
      </c>
      <c r="AZ34" s="8"/>
      <c r="BA34">
        <f>AT12</f>
        <v>1.47</v>
      </c>
      <c r="BB34" s="8">
        <f t="shared" ref="BB34:BF34" si="38">AU12</f>
        <v>0</v>
      </c>
      <c r="BC34" s="8" t="str">
        <f t="shared" si="38"/>
        <v>annealing for 30 min at 180 degrees</v>
      </c>
      <c r="BD34" s="8">
        <f t="shared" si="38"/>
        <v>0.42</v>
      </c>
      <c r="BE34" s="8">
        <f t="shared" si="38"/>
        <v>0.68</v>
      </c>
      <c r="BF34" s="8">
        <f t="shared" si="38"/>
        <v>0.37</v>
      </c>
      <c r="BI34" s="30"/>
      <c r="BJ34" s="30">
        <f>AVERAGE(BC8,BG8,BK8)</f>
        <v>1.45</v>
      </c>
      <c r="BK34" s="30">
        <f>_xlfn.STDEV.S(BC8,BG8,BK8)</f>
        <v>2.0000000000000018E-2</v>
      </c>
      <c r="BL34" s="30">
        <f>AVERAGE(BB8,BF8,BJ8)</f>
        <v>0.33591028566398018</v>
      </c>
      <c r="BM34" s="30">
        <f>_xlfn.STDEV.S(BB8,BF8,BJ8)</f>
        <v>0.22201862499452291</v>
      </c>
      <c r="BN34" s="30"/>
      <c r="BO34" s="30"/>
      <c r="BP34" s="30"/>
      <c r="BQ34" s="30"/>
      <c r="BR34" s="30"/>
      <c r="BS34" s="30"/>
      <c r="BT34" s="30"/>
    </row>
    <row r="35" spans="1:72" x14ac:dyDescent="0.25">
      <c r="A35" s="23" t="s">
        <v>47</v>
      </c>
      <c r="B35" s="23">
        <v>191</v>
      </c>
      <c r="C35" s="23">
        <v>21</v>
      </c>
      <c r="D35" s="23">
        <v>20</v>
      </c>
      <c r="E35" s="23">
        <f t="shared" si="36"/>
        <v>150</v>
      </c>
      <c r="F35" s="23">
        <v>0</v>
      </c>
      <c r="G35" s="23">
        <f>44-C35</f>
        <v>23</v>
      </c>
      <c r="H35" s="23"/>
      <c r="I35" s="23">
        <f>139-C35</f>
        <v>118</v>
      </c>
      <c r="J35" s="23">
        <f t="shared" si="37"/>
        <v>150</v>
      </c>
      <c r="K35" s="23">
        <f>(G35-F35)/J35</f>
        <v>0.15333333333333332</v>
      </c>
      <c r="L35" s="23">
        <f>(J35-I35)/J35</f>
        <v>0.21333333333333335</v>
      </c>
      <c r="M35" s="23">
        <f>(I35-G35)/J35</f>
        <v>0.6333333333333333</v>
      </c>
      <c r="N35" s="23"/>
      <c r="O35" s="23"/>
      <c r="P35" s="23">
        <f t="shared" si="3"/>
        <v>1</v>
      </c>
      <c r="Q35" s="23">
        <f t="shared" si="4"/>
        <v>0.3666666666666667</v>
      </c>
      <c r="R35" s="23">
        <f t="shared" si="5"/>
        <v>0.6333333333333333</v>
      </c>
      <c r="V35" t="s">
        <v>47</v>
      </c>
      <c r="W35">
        <v>191</v>
      </c>
      <c r="X35">
        <v>15</v>
      </c>
      <c r="Y35">
        <v>12</v>
      </c>
      <c r="Z35">
        <f t="shared" si="1"/>
        <v>164</v>
      </c>
      <c r="AA35">
        <v>0</v>
      </c>
      <c r="AB35">
        <f>40-X35</f>
        <v>25</v>
      </c>
      <c r="AD35">
        <f>149-X35</f>
        <v>134</v>
      </c>
      <c r="AE35">
        <f t="shared" si="2"/>
        <v>164</v>
      </c>
      <c r="AF35">
        <f>(AB35-AA35)/AE35</f>
        <v>0.1524390243902439</v>
      </c>
      <c r="AG35">
        <f>(AE35-AD35)/AE35</f>
        <v>0.18292682926829268</v>
      </c>
      <c r="AH35">
        <f>(AD35-AB35)/AE35</f>
        <v>0.66463414634146345</v>
      </c>
      <c r="AK35">
        <f t="shared" si="7"/>
        <v>1</v>
      </c>
      <c r="AL35">
        <f t="shared" si="8"/>
        <v>0.33536585365853655</v>
      </c>
      <c r="AM35">
        <f t="shared" si="9"/>
        <v>0.66463414634146345</v>
      </c>
      <c r="AR35" t="s">
        <v>35</v>
      </c>
      <c r="AS35">
        <v>27</v>
      </c>
      <c r="AT35" s="8">
        <v>0.57999999999999996</v>
      </c>
      <c r="AU35">
        <f>($G23-$F23)*10^-2</f>
        <v>0.15</v>
      </c>
      <c r="AV35" s="1">
        <f>($I23-$G23)*10^-2</f>
        <v>0.28000000000000003</v>
      </c>
      <c r="AW35">
        <f>($J23-$I23)*10^-2</f>
        <v>0.15</v>
      </c>
      <c r="AX35" s="8">
        <f t="shared" si="13"/>
        <v>0</v>
      </c>
      <c r="BA35" s="8">
        <f t="shared" ref="BA35:BA36" si="39">AT13</f>
        <v>1.45</v>
      </c>
      <c r="BB35" s="8">
        <f t="shared" ref="BB35:BB36" si="40">AU13</f>
        <v>0</v>
      </c>
      <c r="BC35" s="8" t="str">
        <f t="shared" ref="BC35:BC36" si="41">AV13</f>
        <v>cooling at 180 degrees</v>
      </c>
      <c r="BD35" s="8">
        <f t="shared" ref="BD35:BD36" si="42">AW13</f>
        <v>0.28000000000000003</v>
      </c>
      <c r="BE35" s="8">
        <f t="shared" ref="BE35:BE36" si="43">AX13</f>
        <v>0.91</v>
      </c>
      <c r="BF35" s="8">
        <f t="shared" ref="BF35:BF36" si="44">AY13</f>
        <v>0.26</v>
      </c>
      <c r="BI35" s="30"/>
      <c r="BJ35" s="30"/>
      <c r="BK35" s="30"/>
      <c r="BL35" s="30"/>
      <c r="BM35" s="30"/>
      <c r="BN35" s="30"/>
      <c r="BO35" s="30"/>
      <c r="BP35" s="30"/>
      <c r="BQ35" s="30"/>
      <c r="BR35" s="30"/>
      <c r="BS35" s="30"/>
      <c r="BT35" s="30"/>
    </row>
    <row r="36" spans="1:72" x14ac:dyDescent="0.25">
      <c r="A36" s="23" t="s">
        <v>48</v>
      </c>
      <c r="B36" s="23">
        <v>191</v>
      </c>
      <c r="C36" s="23">
        <v>19</v>
      </c>
      <c r="D36" s="23">
        <v>24</v>
      </c>
      <c r="E36" s="23">
        <f t="shared" si="36"/>
        <v>148</v>
      </c>
      <c r="F36" s="23">
        <v>0</v>
      </c>
      <c r="G36" s="23">
        <f>39-C36</f>
        <v>20</v>
      </c>
      <c r="H36" s="23"/>
      <c r="I36" s="23">
        <f>134-C36</f>
        <v>115</v>
      </c>
      <c r="J36" s="23">
        <f t="shared" si="37"/>
        <v>148</v>
      </c>
      <c r="K36" s="23">
        <f>(G36-F36)/J36</f>
        <v>0.13513513513513514</v>
      </c>
      <c r="L36" s="23">
        <f>(J36-I36)/J36</f>
        <v>0.22297297297297297</v>
      </c>
      <c r="M36" s="23">
        <f>(I36-G36)/J36</f>
        <v>0.64189189189189189</v>
      </c>
      <c r="N36" s="23"/>
      <c r="O36" s="23"/>
      <c r="P36" s="23">
        <f t="shared" si="3"/>
        <v>1</v>
      </c>
      <c r="Q36" s="23">
        <f t="shared" si="4"/>
        <v>0.35810810810810811</v>
      </c>
      <c r="R36" s="23">
        <f t="shared" si="5"/>
        <v>0.64189189189189189</v>
      </c>
      <c r="V36" t="s">
        <v>48</v>
      </c>
      <c r="W36">
        <v>191</v>
      </c>
      <c r="X36">
        <v>14</v>
      </c>
      <c r="Y36">
        <v>20</v>
      </c>
      <c r="Z36">
        <f t="shared" si="1"/>
        <v>157</v>
      </c>
      <c r="AA36">
        <v>0</v>
      </c>
      <c r="AB36">
        <f>39-X36</f>
        <v>25</v>
      </c>
      <c r="AD36">
        <f>137-X36</f>
        <v>123</v>
      </c>
      <c r="AE36">
        <f t="shared" si="2"/>
        <v>157</v>
      </c>
      <c r="AF36">
        <f>(AB36-AA36)/AE36</f>
        <v>0.15923566878980891</v>
      </c>
      <c r="AG36">
        <f>(AE36-AD36)/AE36</f>
        <v>0.21656050955414013</v>
      </c>
      <c r="AH36">
        <f>(AD36-AB36)/AE36</f>
        <v>0.62420382165605093</v>
      </c>
      <c r="AK36">
        <f t="shared" si="7"/>
        <v>1</v>
      </c>
      <c r="AL36">
        <f t="shared" si="8"/>
        <v>0.37579617834394907</v>
      </c>
      <c r="AM36">
        <f t="shared" si="9"/>
        <v>0.62420382165605093</v>
      </c>
      <c r="AR36" t="s">
        <v>36</v>
      </c>
      <c r="AS36">
        <v>42</v>
      </c>
      <c r="AT36" s="8">
        <v>0.55000000000000004</v>
      </c>
      <c r="AU36">
        <f>($G24-$F24)*10^-2</f>
        <v>0.15</v>
      </c>
      <c r="AV36" s="1">
        <f>($I24-$G24)*10^-2</f>
        <v>0.15</v>
      </c>
      <c r="AW36">
        <f>($J24-$I24)*10^-2</f>
        <v>0.25</v>
      </c>
      <c r="AX36" s="8">
        <f t="shared" si="13"/>
        <v>0</v>
      </c>
      <c r="AY36">
        <f>SUM(AY21:AY31)</f>
        <v>-1.1715359999999999</v>
      </c>
      <c r="BA36" s="8">
        <f t="shared" si="39"/>
        <v>1.43</v>
      </c>
      <c r="BB36" s="8">
        <f t="shared" si="40"/>
        <v>0</v>
      </c>
      <c r="BC36" s="8" t="str">
        <f t="shared" si="41"/>
        <v>annealing for 60 min at 180 degrees</v>
      </c>
      <c r="BD36" s="8">
        <f t="shared" si="42"/>
        <v>1.1000000000000001</v>
      </c>
      <c r="BE36" s="8">
        <f t="shared" si="43"/>
        <v>0.14000000000000001</v>
      </c>
      <c r="BF36" s="8">
        <f t="shared" si="44"/>
        <v>0.19</v>
      </c>
      <c r="BI36" s="30"/>
      <c r="BJ36" s="30">
        <f>BJ32</f>
        <v>0.43</v>
      </c>
      <c r="BK36" s="30">
        <f t="shared" ref="BK36:BM36" si="45">BK32</f>
        <v>0</v>
      </c>
      <c r="BL36" s="30">
        <f t="shared" si="45"/>
        <v>0.51162790697674421</v>
      </c>
      <c r="BM36" s="30">
        <f t="shared" si="45"/>
        <v>0</v>
      </c>
      <c r="BN36" s="30"/>
      <c r="BO36" s="30"/>
      <c r="BP36" s="30"/>
      <c r="BQ36" s="30"/>
      <c r="BR36" s="30"/>
      <c r="BS36" s="30"/>
      <c r="BT36" s="30"/>
    </row>
    <row r="37" spans="1:72" x14ac:dyDescent="0.25">
      <c r="A37" s="23" t="s">
        <v>49</v>
      </c>
      <c r="B37" s="23">
        <f>148+51</f>
        <v>199</v>
      </c>
      <c r="C37" s="23">
        <v>27</v>
      </c>
      <c r="D37" s="23">
        <v>27</v>
      </c>
      <c r="E37" s="23">
        <f t="shared" si="36"/>
        <v>145</v>
      </c>
      <c r="F37" s="23">
        <f>0</f>
        <v>0</v>
      </c>
      <c r="G37" s="23">
        <f>55-C37</f>
        <v>28</v>
      </c>
      <c r="H37" s="23">
        <f>I37-G37</f>
        <v>91</v>
      </c>
      <c r="I37" s="23">
        <f>146-C37</f>
        <v>119</v>
      </c>
      <c r="J37" s="23">
        <f t="shared" si="37"/>
        <v>145</v>
      </c>
      <c r="K37" s="23">
        <f>H37/J37</f>
        <v>0.62758620689655176</v>
      </c>
      <c r="L37" s="23"/>
      <c r="M37" s="23">
        <f>(G37-F37)/J37</f>
        <v>0.19310344827586207</v>
      </c>
      <c r="N37" s="23">
        <f>(J37-I37)/J37</f>
        <v>0.1793103448275862</v>
      </c>
      <c r="O37" s="23"/>
      <c r="P37" s="23">
        <f t="shared" si="3"/>
        <v>1</v>
      </c>
      <c r="Q37" s="23">
        <f t="shared" si="4"/>
        <v>0.62758620689655176</v>
      </c>
      <c r="R37" s="23">
        <f t="shared" si="5"/>
        <v>0.37241379310344824</v>
      </c>
      <c r="V37" s="1" t="s">
        <v>49</v>
      </c>
      <c r="W37">
        <v>199</v>
      </c>
      <c r="X37">
        <v>20</v>
      </c>
      <c r="Y37">
        <v>13</v>
      </c>
      <c r="Z37">
        <f t="shared" si="1"/>
        <v>166</v>
      </c>
      <c r="AA37">
        <v>0</v>
      </c>
      <c r="AB37">
        <f>53-X37</f>
        <v>33</v>
      </c>
      <c r="AC37">
        <f>AD37-AB37</f>
        <v>100</v>
      </c>
      <c r="AD37">
        <f>153-X37</f>
        <v>133</v>
      </c>
      <c r="AE37">
        <f t="shared" si="2"/>
        <v>166</v>
      </c>
      <c r="AF37">
        <f>AC37/AE37</f>
        <v>0.60240963855421692</v>
      </c>
      <c r="AH37">
        <f>(AB37-AA37)/AE37</f>
        <v>0.19879518072289157</v>
      </c>
      <c r="AI37">
        <f>(AE37-AD37)/AE37</f>
        <v>0.19879518072289157</v>
      </c>
      <c r="AK37">
        <f t="shared" si="7"/>
        <v>1</v>
      </c>
      <c r="AL37">
        <f t="shared" si="8"/>
        <v>0.60240963855421692</v>
      </c>
      <c r="AM37">
        <f t="shared" si="9"/>
        <v>0.39759036144578314</v>
      </c>
      <c r="AR37" t="s">
        <v>38</v>
      </c>
      <c r="AS37">
        <v>12</v>
      </c>
      <c r="AT37" s="8">
        <v>0.68</v>
      </c>
      <c r="AU37">
        <f>($G26-$F26)*10^-2</f>
        <v>0.21</v>
      </c>
      <c r="AV37" s="1">
        <f>($I26-$G26)*10^-2</f>
        <v>0.28000000000000003</v>
      </c>
      <c r="AW37">
        <f>($J26-$I26)*10^-2</f>
        <v>0.19</v>
      </c>
      <c r="AX37" s="8">
        <f t="shared" si="13"/>
        <v>0</v>
      </c>
      <c r="AY37">
        <f>AY32</f>
        <v>0.29356000000000004</v>
      </c>
      <c r="BA37" s="8">
        <f>AVERAGE(BA34:BA36)</f>
        <v>1.45</v>
      </c>
      <c r="BB37" s="8">
        <f>_xlfn.STDEV.S(BA34:BA36)</f>
        <v>2.0000000000000018E-2</v>
      </c>
      <c r="BC37" s="8"/>
      <c r="BD37" s="8"/>
      <c r="BE37" s="8"/>
      <c r="BF37" s="8"/>
      <c r="BI37" s="30"/>
      <c r="BJ37" s="30">
        <f>BJ33</f>
        <v>0.58799999999999997</v>
      </c>
      <c r="BK37" s="30">
        <f t="shared" ref="BK37:BM37" si="46">BK33</f>
        <v>4.1472882706655431E-2</v>
      </c>
      <c r="BL37" s="30">
        <f t="shared" si="46"/>
        <v>0.72389435423333737</v>
      </c>
      <c r="BM37" s="30">
        <f t="shared" si="46"/>
        <v>6.1235334633949964E-2</v>
      </c>
      <c r="BN37" s="30"/>
      <c r="BO37" s="30"/>
      <c r="BP37" s="30"/>
      <c r="BQ37" s="30"/>
      <c r="BR37" s="30"/>
      <c r="BS37" s="30"/>
      <c r="BT37" s="30"/>
    </row>
    <row r="38" spans="1:72" x14ac:dyDescent="0.25">
      <c r="A38" s="23" t="s">
        <v>56</v>
      </c>
      <c r="B38" s="23">
        <v>84</v>
      </c>
      <c r="C38" s="23">
        <v>0</v>
      </c>
      <c r="D38" s="23">
        <v>0</v>
      </c>
      <c r="E38" s="23">
        <f t="shared" si="36"/>
        <v>84</v>
      </c>
      <c r="F38" s="23">
        <v>0</v>
      </c>
      <c r="G38" s="23">
        <v>0</v>
      </c>
      <c r="H38" s="23"/>
      <c r="I38" s="23">
        <v>0</v>
      </c>
      <c r="J38" s="23">
        <f t="shared" si="37"/>
        <v>84</v>
      </c>
      <c r="K38" s="23">
        <f>(F38-G38)/J38</f>
        <v>0</v>
      </c>
      <c r="L38" s="23">
        <f>(J38-I38)/J38</f>
        <v>1</v>
      </c>
      <c r="M38" s="23">
        <f>(I38-G38)/J38</f>
        <v>0</v>
      </c>
      <c r="N38" s="23"/>
      <c r="O38" s="23"/>
      <c r="P38" s="23">
        <f t="shared" si="3"/>
        <v>1</v>
      </c>
      <c r="Q38" s="23">
        <f t="shared" si="4"/>
        <v>1</v>
      </c>
      <c r="R38" s="23">
        <f t="shared" si="5"/>
        <v>0</v>
      </c>
      <c r="S38" s="3"/>
      <c r="V38" t="s">
        <v>56</v>
      </c>
      <c r="AK38">
        <f t="shared" si="7"/>
        <v>0</v>
      </c>
      <c r="AL38">
        <f t="shared" si="8"/>
        <v>0</v>
      </c>
      <c r="AM38">
        <f t="shared" si="9"/>
        <v>0</v>
      </c>
      <c r="AR38" t="s">
        <v>39</v>
      </c>
      <c r="AS38">
        <v>27</v>
      </c>
      <c r="AT38" s="8">
        <v>0.61</v>
      </c>
      <c r="AU38">
        <f>($G27-$F27)*10^-2</f>
        <v>0.21</v>
      </c>
      <c r="AV38" s="1">
        <f>($I27-$G27)*10^-2</f>
        <v>0.19</v>
      </c>
      <c r="AW38">
        <f>($J27-$I27)*10^-2</f>
        <v>0.21</v>
      </c>
      <c r="AX38" s="8">
        <f t="shared" si="13"/>
        <v>0</v>
      </c>
      <c r="BA38" s="8"/>
      <c r="BB38" s="8"/>
      <c r="BC38" s="8"/>
      <c r="BD38" s="8"/>
      <c r="BE38" s="8"/>
      <c r="BF38" s="8"/>
      <c r="BI38" s="30"/>
      <c r="BJ38" s="30">
        <f>BJ31</f>
        <v>0.80333333333333334</v>
      </c>
      <c r="BK38" s="30">
        <f t="shared" ref="BK38:BM38" si="47">BK31</f>
        <v>1.6996731711975927E-2</v>
      </c>
      <c r="BL38" s="30">
        <f t="shared" si="47"/>
        <v>0.65998424941514378</v>
      </c>
      <c r="BM38" s="30">
        <f t="shared" si="47"/>
        <v>7.7869095582666512E-2</v>
      </c>
      <c r="BN38" s="30"/>
      <c r="BO38" s="30"/>
      <c r="BP38" s="30"/>
      <c r="BQ38" s="30"/>
      <c r="BR38" s="30"/>
      <c r="BS38" s="30"/>
      <c r="BT38" s="30"/>
    </row>
    <row r="39" spans="1:72" x14ac:dyDescent="0.25">
      <c r="A39" s="23" t="s">
        <v>57</v>
      </c>
      <c r="B39" s="23">
        <v>81</v>
      </c>
      <c r="C39" s="23">
        <v>6</v>
      </c>
      <c r="D39" s="23">
        <v>5</v>
      </c>
      <c r="E39" s="23">
        <f t="shared" si="36"/>
        <v>70</v>
      </c>
      <c r="F39" s="23">
        <v>0</v>
      </c>
      <c r="G39" s="23">
        <f>33-C39</f>
        <v>27</v>
      </c>
      <c r="H39" s="23"/>
      <c r="I39" s="23">
        <f>54-C39</f>
        <v>48</v>
      </c>
      <c r="J39" s="23">
        <f t="shared" si="37"/>
        <v>70</v>
      </c>
      <c r="K39" s="23">
        <f>(G39-F39)/J39</f>
        <v>0.38571428571428573</v>
      </c>
      <c r="L39" s="23">
        <f>(J39-I39)/J39</f>
        <v>0.31428571428571428</v>
      </c>
      <c r="M39" s="23">
        <f>(I39-G39)/J39</f>
        <v>0.3</v>
      </c>
      <c r="N39" s="23"/>
      <c r="O39" s="23"/>
      <c r="P39" s="23">
        <f t="shared" si="3"/>
        <v>1</v>
      </c>
      <c r="Q39" s="23">
        <f t="shared" si="4"/>
        <v>0.7</v>
      </c>
      <c r="R39" s="23">
        <f t="shared" si="5"/>
        <v>0.3</v>
      </c>
      <c r="V39" t="s">
        <v>57</v>
      </c>
      <c r="W39">
        <v>81</v>
      </c>
      <c r="X39">
        <v>0</v>
      </c>
      <c r="Y39">
        <f>1</f>
        <v>1</v>
      </c>
      <c r="Z39">
        <f t="shared" ref="Z39:Z49" si="48">W39-SUM(X39:Y39)</f>
        <v>80</v>
      </c>
      <c r="AA39">
        <v>0</v>
      </c>
      <c r="AB39">
        <f>31-X39</f>
        <v>31</v>
      </c>
      <c r="AD39">
        <f>53-X39</f>
        <v>53</v>
      </c>
      <c r="AE39">
        <f t="shared" ref="AE39:AE49" si="49">Z39</f>
        <v>80</v>
      </c>
      <c r="AF39">
        <f>(AB39-AA39)/AE39</f>
        <v>0.38750000000000001</v>
      </c>
      <c r="AG39">
        <f>(AE39-AD39)/AE39</f>
        <v>0.33750000000000002</v>
      </c>
      <c r="AH39">
        <f>(AD39-AB39)/AE39</f>
        <v>0.27500000000000002</v>
      </c>
      <c r="AK39">
        <f t="shared" si="7"/>
        <v>1</v>
      </c>
      <c r="AL39">
        <f t="shared" si="8"/>
        <v>0.72500000000000009</v>
      </c>
      <c r="AM39">
        <f t="shared" si="9"/>
        <v>0.27500000000000002</v>
      </c>
      <c r="AR39" t="s">
        <v>40</v>
      </c>
      <c r="AS39">
        <v>42</v>
      </c>
      <c r="AT39" s="8">
        <v>0.55000000000000004</v>
      </c>
      <c r="AU39">
        <f>($G28-$F28)*10^-2</f>
        <v>0.24</v>
      </c>
      <c r="AV39" s="1">
        <f>($I28-$G28)*10^-2</f>
        <v>0.16</v>
      </c>
      <c r="AW39">
        <f>($J28-$I28)*10^-2</f>
        <v>0.15</v>
      </c>
      <c r="AX39" s="8">
        <f t="shared" si="13"/>
        <v>0</v>
      </c>
      <c r="BA39">
        <v>0</v>
      </c>
      <c r="BB39">
        <f>AR3</f>
        <v>0.58536585365853666</v>
      </c>
      <c r="BC39" s="8">
        <f t="shared" ref="BC39:BD39" si="50">AS3</f>
        <v>0.41463414634146339</v>
      </c>
      <c r="BD39" s="8">
        <f t="shared" si="50"/>
        <v>0.82</v>
      </c>
      <c r="BI39" s="30"/>
      <c r="BJ39" s="30">
        <f>BJ34</f>
        <v>1.45</v>
      </c>
      <c r="BK39" s="30">
        <f t="shared" ref="BK39:BM39" si="51">BK34</f>
        <v>2.0000000000000018E-2</v>
      </c>
      <c r="BL39" s="30">
        <f t="shared" si="51"/>
        <v>0.33591028566398018</v>
      </c>
      <c r="BM39" s="30">
        <f t="shared" si="51"/>
        <v>0.22201862499452291</v>
      </c>
      <c r="BN39" s="30"/>
      <c r="BO39" s="30"/>
      <c r="BP39" s="30"/>
      <c r="BQ39" s="30"/>
      <c r="BR39" s="30"/>
      <c r="BS39" s="30"/>
      <c r="BT39" s="30"/>
    </row>
    <row r="40" spans="1:72" x14ac:dyDescent="0.25">
      <c r="A40" s="23" t="s">
        <v>58</v>
      </c>
      <c r="B40" s="23">
        <v>81</v>
      </c>
      <c r="C40" s="23">
        <v>9</v>
      </c>
      <c r="D40" s="23">
        <v>9</v>
      </c>
      <c r="E40" s="23">
        <f t="shared" si="36"/>
        <v>63</v>
      </c>
      <c r="F40" s="23">
        <v>0</v>
      </c>
      <c r="G40" s="23">
        <f>34-C40</f>
        <v>25</v>
      </c>
      <c r="H40" s="23"/>
      <c r="I40" s="23">
        <f>54-C40</f>
        <v>45</v>
      </c>
      <c r="J40" s="23">
        <f t="shared" si="37"/>
        <v>63</v>
      </c>
      <c r="K40" s="23">
        <f>(G40-F40)/J40</f>
        <v>0.3968253968253968</v>
      </c>
      <c r="L40" s="23">
        <f>(J40-I40)/J40</f>
        <v>0.2857142857142857</v>
      </c>
      <c r="M40" s="23">
        <f>(I40-G40)/J40</f>
        <v>0.31746031746031744</v>
      </c>
      <c r="N40" s="23"/>
      <c r="O40" s="23"/>
      <c r="P40" s="23">
        <f t="shared" si="3"/>
        <v>1</v>
      </c>
      <c r="Q40" s="23">
        <f t="shared" si="4"/>
        <v>0.68253968253968256</v>
      </c>
      <c r="R40" s="23">
        <f t="shared" si="5"/>
        <v>0.31746031746031744</v>
      </c>
      <c r="V40" t="s">
        <v>58</v>
      </c>
      <c r="W40">
        <v>81</v>
      </c>
      <c r="X40">
        <v>4</v>
      </c>
      <c r="Y40">
        <v>2</v>
      </c>
      <c r="Z40">
        <f t="shared" si="48"/>
        <v>75</v>
      </c>
      <c r="AA40">
        <v>0</v>
      </c>
      <c r="AB40">
        <f>31-X40</f>
        <v>27</v>
      </c>
      <c r="AD40">
        <f>54-X40</f>
        <v>50</v>
      </c>
      <c r="AE40">
        <f t="shared" si="49"/>
        <v>75</v>
      </c>
      <c r="AF40">
        <f>(AB40-AA40)/AE40</f>
        <v>0.36</v>
      </c>
      <c r="AG40">
        <f>(AE40-AD40)/AE40</f>
        <v>0.33333333333333331</v>
      </c>
      <c r="AH40">
        <f>(AD40-AB40)/AE40</f>
        <v>0.30666666666666664</v>
      </c>
      <c r="AK40">
        <f t="shared" si="7"/>
        <v>1</v>
      </c>
      <c r="AL40">
        <f t="shared" si="8"/>
        <v>0.69333333333333336</v>
      </c>
      <c r="AM40">
        <f t="shared" si="9"/>
        <v>0.30666666666666664</v>
      </c>
      <c r="AR40" t="s">
        <v>42</v>
      </c>
      <c r="AS40">
        <v>12</v>
      </c>
      <c r="AT40" s="8">
        <v>1.47</v>
      </c>
      <c r="AU40">
        <f>($G30-$F30)*10^-2</f>
        <v>0.09</v>
      </c>
      <c r="AV40" s="1">
        <f>($I30-$G30)*10^-2</f>
        <v>1.0900000000000001</v>
      </c>
      <c r="AW40">
        <f>($J30-$I30)*10^-2</f>
        <v>0.28999999999999998</v>
      </c>
      <c r="AX40" s="8">
        <f t="shared" si="13"/>
        <v>0</v>
      </c>
      <c r="BB40">
        <f>AR6</f>
        <v>0.51162790697674421</v>
      </c>
      <c r="BC40" s="8">
        <f t="shared" ref="BC40:BD40" si="52">AS6</f>
        <v>0.48837209302325579</v>
      </c>
      <c r="BD40" s="8">
        <f t="shared" si="52"/>
        <v>0.43</v>
      </c>
      <c r="BI40" s="30"/>
      <c r="BJ40" s="30"/>
      <c r="BK40" s="30"/>
      <c r="BL40" s="30"/>
      <c r="BM40" s="30"/>
      <c r="BN40" s="30"/>
      <c r="BO40" s="30"/>
      <c r="BP40" s="30"/>
      <c r="BQ40" s="30"/>
      <c r="BR40" s="30"/>
      <c r="BS40" s="30"/>
      <c r="BT40" s="30"/>
    </row>
    <row r="41" spans="1:72" x14ac:dyDescent="0.25">
      <c r="A41" s="23" t="s">
        <v>59</v>
      </c>
      <c r="B41" s="23">
        <v>101</v>
      </c>
      <c r="C41" s="23">
        <v>18</v>
      </c>
      <c r="D41" s="23">
        <v>18</v>
      </c>
      <c r="E41" s="23">
        <f t="shared" si="36"/>
        <v>65</v>
      </c>
      <c r="F41" s="23">
        <f>0</f>
        <v>0</v>
      </c>
      <c r="G41" s="23">
        <f>41-C41</f>
        <v>23</v>
      </c>
      <c r="H41" s="23">
        <f>I41-G41</f>
        <v>23</v>
      </c>
      <c r="I41" s="23">
        <f>64-C41</f>
        <v>46</v>
      </c>
      <c r="J41" s="23">
        <f t="shared" si="37"/>
        <v>65</v>
      </c>
      <c r="K41" s="23">
        <f>H41/J41</f>
        <v>0.35384615384615387</v>
      </c>
      <c r="L41" s="23"/>
      <c r="M41" s="23">
        <f>(G41-F41)/J41</f>
        <v>0.35384615384615387</v>
      </c>
      <c r="N41" s="23">
        <f>(J41-I41)/J41</f>
        <v>0.29230769230769232</v>
      </c>
      <c r="O41" s="23"/>
      <c r="P41" s="23">
        <f t="shared" si="3"/>
        <v>1</v>
      </c>
      <c r="Q41" s="23">
        <f t="shared" si="4"/>
        <v>0.35384615384615387</v>
      </c>
      <c r="R41" s="23">
        <f t="shared" si="5"/>
        <v>0.64615384615384619</v>
      </c>
      <c r="S41" t="s">
        <v>299</v>
      </c>
      <c r="V41" s="1" t="s">
        <v>59</v>
      </c>
      <c r="W41">
        <v>101</v>
      </c>
      <c r="X41">
        <v>10</v>
      </c>
      <c r="Y41">
        <v>0</v>
      </c>
      <c r="Z41">
        <f t="shared" si="48"/>
        <v>91</v>
      </c>
      <c r="AA41">
        <v>0</v>
      </c>
      <c r="AB41">
        <f>58-X41</f>
        <v>48</v>
      </c>
      <c r="AC41">
        <f>AD41-AB41</f>
        <v>2</v>
      </c>
      <c r="AD41">
        <f>60-X41</f>
        <v>50</v>
      </c>
      <c r="AE41">
        <f t="shared" si="49"/>
        <v>91</v>
      </c>
      <c r="AF41">
        <f>AC41/AE41</f>
        <v>2.197802197802198E-2</v>
      </c>
      <c r="AH41">
        <f>(AB41-AA41)/AE41</f>
        <v>0.52747252747252749</v>
      </c>
      <c r="AI41">
        <f>(AE41-AD41)/AE41</f>
        <v>0.45054945054945056</v>
      </c>
      <c r="AK41">
        <f t="shared" si="7"/>
        <v>1</v>
      </c>
      <c r="AL41">
        <f t="shared" si="8"/>
        <v>2.197802197802198E-2</v>
      </c>
      <c r="AM41">
        <f t="shared" si="9"/>
        <v>0.9780219780219781</v>
      </c>
      <c r="AR41" t="s">
        <v>43</v>
      </c>
      <c r="AS41">
        <v>27</v>
      </c>
      <c r="AT41" s="8">
        <v>1.51</v>
      </c>
      <c r="AU41">
        <f>($G31-$F31)*10^-2</f>
        <v>0.28000000000000003</v>
      </c>
      <c r="AV41" s="1">
        <f>($I31-$G31)*10^-2</f>
        <v>0.88</v>
      </c>
      <c r="AW41">
        <f>($J31-$I31)*10^-2</f>
        <v>0.35000000000000003</v>
      </c>
      <c r="AX41" s="8">
        <f t="shared" si="13"/>
        <v>0</v>
      </c>
      <c r="BB41">
        <f>AR9</f>
        <v>0.76271186440677963</v>
      </c>
      <c r="BC41" s="8">
        <f t="shared" ref="BC41:BD41" si="53">AS9</f>
        <v>0.23728813559322035</v>
      </c>
      <c r="BD41" s="8">
        <f t="shared" si="53"/>
        <v>0.59</v>
      </c>
      <c r="BI41" s="30"/>
      <c r="BJ41" s="30"/>
      <c r="BK41" s="30"/>
      <c r="BL41" s="30"/>
      <c r="BM41" s="30"/>
      <c r="BN41" s="30"/>
      <c r="BO41" s="30"/>
      <c r="BP41" s="30"/>
      <c r="BQ41" s="30"/>
      <c r="BR41" s="30"/>
      <c r="BS41" s="30"/>
      <c r="BT41" s="30"/>
    </row>
    <row r="42" spans="1:72" x14ac:dyDescent="0.25">
      <c r="A42" s="23" t="s">
        <v>55</v>
      </c>
      <c r="B42" s="23">
        <f>101</f>
        <v>101</v>
      </c>
      <c r="C42" s="23">
        <v>13</v>
      </c>
      <c r="D42" s="23">
        <v>15</v>
      </c>
      <c r="E42" s="23">
        <f t="shared" si="36"/>
        <v>73</v>
      </c>
      <c r="F42" s="23">
        <v>0</v>
      </c>
      <c r="G42" s="23">
        <f>0</f>
        <v>0</v>
      </c>
      <c r="H42" s="23"/>
      <c r="I42" s="23">
        <f>0</f>
        <v>0</v>
      </c>
      <c r="J42" s="23">
        <f t="shared" si="37"/>
        <v>73</v>
      </c>
      <c r="K42" s="23">
        <f>(G42-F42)/J42</f>
        <v>0</v>
      </c>
      <c r="L42" s="23">
        <f>(J42-I42)/J42</f>
        <v>1</v>
      </c>
      <c r="M42" s="23">
        <f>(I42-G42)/J42</f>
        <v>0</v>
      </c>
      <c r="N42" s="23"/>
      <c r="O42" s="23"/>
      <c r="P42" s="23">
        <f t="shared" si="3"/>
        <v>1</v>
      </c>
      <c r="Q42" s="23">
        <v>0.2</v>
      </c>
      <c r="R42" s="23">
        <v>0.8</v>
      </c>
      <c r="S42" s="31" t="s">
        <v>300</v>
      </c>
      <c r="V42" t="s">
        <v>55</v>
      </c>
      <c r="W42">
        <v>101</v>
      </c>
      <c r="X42">
        <v>10</v>
      </c>
      <c r="Y42">
        <v>11</v>
      </c>
      <c r="Z42">
        <f t="shared" si="48"/>
        <v>80</v>
      </c>
      <c r="AA42">
        <v>0</v>
      </c>
      <c r="AB42">
        <f>20-X42</f>
        <v>10</v>
      </c>
      <c r="AD42">
        <f>54-X42</f>
        <v>44</v>
      </c>
      <c r="AE42">
        <f t="shared" si="49"/>
        <v>80</v>
      </c>
      <c r="AF42">
        <f>(AB42-AA42)/AE42</f>
        <v>0.125</v>
      </c>
      <c r="AG42">
        <f>(AE42-AD42)/AE42</f>
        <v>0.45</v>
      </c>
      <c r="AH42">
        <f>(AD42-AB42)/AE42</f>
        <v>0.42499999999999999</v>
      </c>
      <c r="AK42">
        <f t="shared" si="7"/>
        <v>1</v>
      </c>
      <c r="AL42">
        <f t="shared" si="8"/>
        <v>0.57499999999999996</v>
      </c>
      <c r="AM42">
        <f t="shared" si="9"/>
        <v>0.42499999999999999</v>
      </c>
      <c r="AR42" t="s">
        <v>44</v>
      </c>
      <c r="AS42">
        <v>42</v>
      </c>
      <c r="AT42" s="8">
        <v>1.46</v>
      </c>
      <c r="AU42">
        <f>($G32-$F32)*10^-2</f>
        <v>0.24</v>
      </c>
      <c r="AV42" s="1">
        <f>($I32-$G32)*10^-2</f>
        <v>0.8</v>
      </c>
      <c r="AW42">
        <f>($J32-$I32)*10^-2</f>
        <v>0.42</v>
      </c>
      <c r="AX42" s="8">
        <f t="shared" si="13"/>
        <v>0</v>
      </c>
      <c r="BB42">
        <f>AR13</f>
        <v>0.37241379310344824</v>
      </c>
      <c r="BC42" s="8">
        <f t="shared" ref="BC42:BD42" si="54">AS13</f>
        <v>0.62758620689655176</v>
      </c>
      <c r="BD42" s="8">
        <f t="shared" si="54"/>
        <v>1.45</v>
      </c>
      <c r="BI42" s="30"/>
      <c r="BJ42" s="30"/>
      <c r="BK42" s="30"/>
      <c r="BL42" s="30"/>
      <c r="BM42" s="30"/>
      <c r="BN42" s="30"/>
      <c r="BO42" s="30"/>
      <c r="BP42" s="30"/>
      <c r="BQ42" s="30"/>
      <c r="BR42" s="30"/>
      <c r="BS42" s="30"/>
      <c r="BT42" s="30"/>
    </row>
    <row r="43" spans="1:72" x14ac:dyDescent="0.25">
      <c r="A43" s="23" t="s">
        <v>60</v>
      </c>
      <c r="B43" s="23">
        <v>81</v>
      </c>
      <c r="C43" s="23">
        <v>8</v>
      </c>
      <c r="D43" s="23">
        <v>7</v>
      </c>
      <c r="E43" s="23">
        <f t="shared" si="36"/>
        <v>66</v>
      </c>
      <c r="F43" s="23">
        <v>0</v>
      </c>
      <c r="G43" s="23">
        <f>28-C43</f>
        <v>20</v>
      </c>
      <c r="H43" s="23"/>
      <c r="I43" s="23">
        <f>48-C43</f>
        <v>40</v>
      </c>
      <c r="J43" s="23">
        <f>E43</f>
        <v>66</v>
      </c>
      <c r="K43" s="23">
        <f>(G43-F43)/J43</f>
        <v>0.30303030303030304</v>
      </c>
      <c r="L43" s="23">
        <f>(J43-I43)/J43</f>
        <v>0.39393939393939392</v>
      </c>
      <c r="M43" s="23">
        <f>(I43-G43)/J43</f>
        <v>0.30303030303030304</v>
      </c>
      <c r="N43" s="23"/>
      <c r="O43" s="23"/>
      <c r="P43" s="23">
        <f t="shared" si="3"/>
        <v>1</v>
      </c>
      <c r="Q43" s="23">
        <f t="shared" si="4"/>
        <v>0.69696969696969702</v>
      </c>
      <c r="R43" s="23">
        <f t="shared" si="5"/>
        <v>0.30303030303030304</v>
      </c>
      <c r="V43" t="s">
        <v>60</v>
      </c>
      <c r="W43">
        <v>81</v>
      </c>
      <c r="X43">
        <v>9</v>
      </c>
      <c r="Y43">
        <v>7</v>
      </c>
      <c r="Z43">
        <f t="shared" si="48"/>
        <v>65</v>
      </c>
      <c r="AA43">
        <v>0</v>
      </c>
      <c r="AB43">
        <f>28-X43</f>
        <v>19</v>
      </c>
      <c r="AD43">
        <f>49-X43</f>
        <v>40</v>
      </c>
      <c r="AE43">
        <f t="shared" si="49"/>
        <v>65</v>
      </c>
      <c r="AF43">
        <f>(AB43-AA43)/AE43</f>
        <v>0.29230769230769232</v>
      </c>
      <c r="AG43">
        <f>(AE43-AD43)/AE43</f>
        <v>0.38461538461538464</v>
      </c>
      <c r="AH43">
        <f>(AD43-AB43)/AE43</f>
        <v>0.32307692307692309</v>
      </c>
      <c r="AK43">
        <f t="shared" si="7"/>
        <v>1</v>
      </c>
      <c r="AL43">
        <f t="shared" si="8"/>
        <v>0.67692307692307696</v>
      </c>
      <c r="AM43">
        <f t="shared" si="9"/>
        <v>0.32307692307692309</v>
      </c>
      <c r="AR43" t="s">
        <v>46</v>
      </c>
      <c r="AS43">
        <v>12</v>
      </c>
      <c r="AT43" s="8">
        <v>1.47</v>
      </c>
      <c r="AU43">
        <f>($G34-$F34)*10^-2</f>
        <v>0.23</v>
      </c>
      <c r="AV43" s="1">
        <f>($I34-$G34)*10^-2</f>
        <v>0.85</v>
      </c>
      <c r="AW43">
        <f>($J34-$I34)*10^-2</f>
        <v>0.39</v>
      </c>
      <c r="AX43" s="8">
        <f t="shared" si="13"/>
        <v>0</v>
      </c>
      <c r="BI43" s="30"/>
      <c r="BJ43" s="30" t="s">
        <v>275</v>
      </c>
      <c r="BK43" s="30"/>
      <c r="BL43" s="30"/>
      <c r="BM43" s="30"/>
      <c r="BN43" s="30"/>
      <c r="BO43" s="30"/>
      <c r="BP43" s="30"/>
      <c r="BQ43" s="30"/>
      <c r="BR43" s="30"/>
      <c r="BS43" s="30"/>
      <c r="BT43" s="30"/>
    </row>
    <row r="44" spans="1:72" x14ac:dyDescent="0.25">
      <c r="A44" s="23" t="s">
        <v>61</v>
      </c>
      <c r="B44" s="23">
        <v>81</v>
      </c>
      <c r="C44" s="23">
        <v>14</v>
      </c>
      <c r="D44" s="23">
        <v>12</v>
      </c>
      <c r="E44" s="23">
        <f t="shared" si="36"/>
        <v>55</v>
      </c>
      <c r="F44" s="23">
        <v>0</v>
      </c>
      <c r="G44" s="23">
        <v>0</v>
      </c>
      <c r="H44" s="23"/>
      <c r="I44" s="23">
        <v>0</v>
      </c>
      <c r="J44" s="23">
        <f t="shared" si="37"/>
        <v>55</v>
      </c>
      <c r="K44" s="23">
        <f>(G44-F44)/J44</f>
        <v>0</v>
      </c>
      <c r="L44" s="23">
        <f>(J44-I44)/J44</f>
        <v>1</v>
      </c>
      <c r="M44" s="23">
        <f>(I44-G44)/J44</f>
        <v>0</v>
      </c>
      <c r="N44" s="23"/>
      <c r="O44" s="23"/>
      <c r="P44" s="23">
        <f t="shared" si="3"/>
        <v>1</v>
      </c>
      <c r="Q44" s="23">
        <f t="shared" si="4"/>
        <v>1</v>
      </c>
      <c r="R44" s="23">
        <f t="shared" si="5"/>
        <v>0</v>
      </c>
      <c r="S44" s="3"/>
      <c r="V44" t="s">
        <v>61</v>
      </c>
      <c r="W44">
        <v>81</v>
      </c>
      <c r="X44">
        <v>12</v>
      </c>
      <c r="Y44">
        <v>13</v>
      </c>
      <c r="Z44">
        <f t="shared" si="48"/>
        <v>56</v>
      </c>
      <c r="AA44">
        <v>0</v>
      </c>
      <c r="AE44">
        <f t="shared" si="49"/>
        <v>56</v>
      </c>
      <c r="AK44">
        <f t="shared" si="7"/>
        <v>0</v>
      </c>
      <c r="AL44">
        <f t="shared" si="8"/>
        <v>0</v>
      </c>
      <c r="AM44">
        <f t="shared" si="9"/>
        <v>0</v>
      </c>
      <c r="AR44" t="s">
        <v>47</v>
      </c>
      <c r="AS44">
        <v>27</v>
      </c>
      <c r="AT44" s="8">
        <v>1.5</v>
      </c>
      <c r="AU44">
        <f>($G35-$F35)*10^-2</f>
        <v>0.23</v>
      </c>
      <c r="AV44" s="1">
        <f>($I35-$G35)*10^-2</f>
        <v>0.95000000000000007</v>
      </c>
      <c r="AW44">
        <f>($J35-$I35)*10^-2</f>
        <v>0.32</v>
      </c>
      <c r="AX44" s="8">
        <f t="shared" si="13"/>
        <v>0</v>
      </c>
      <c r="BA44">
        <v>30</v>
      </c>
      <c r="BB44">
        <f>AR5</f>
        <v>0.7407407407407407</v>
      </c>
      <c r="BC44" s="8">
        <f t="shared" ref="BC44:BD44" si="55">AS5</f>
        <v>0.25925925925925924</v>
      </c>
      <c r="BD44" s="8">
        <f t="shared" si="55"/>
        <v>0.81</v>
      </c>
      <c r="BI44" s="30"/>
      <c r="BJ44" s="30">
        <f>AVERAGE(BC14)</f>
        <v>0.41</v>
      </c>
      <c r="BK44" s="30"/>
      <c r="BL44" s="30">
        <f>BB14</f>
        <v>1</v>
      </c>
      <c r="BM44" s="30"/>
      <c r="BN44" s="30"/>
      <c r="BO44" s="30"/>
      <c r="BP44" s="30">
        <v>0</v>
      </c>
      <c r="BQ44" s="30">
        <f>AVERAGE(BB14:BB18)</f>
        <v>0.722513138138138</v>
      </c>
      <c r="BR44" s="30">
        <f>_xlfn.STDEV.S(BB14:BB17)</f>
        <v>0.30401317767813024</v>
      </c>
      <c r="BS44" s="30"/>
      <c r="BT44" s="30"/>
    </row>
    <row r="45" spans="1:72" x14ac:dyDescent="0.25">
      <c r="A45" s="23" t="s">
        <v>62</v>
      </c>
      <c r="B45" s="23">
        <v>81</v>
      </c>
      <c r="C45" s="23">
        <v>13</v>
      </c>
      <c r="D45" s="23">
        <v>13</v>
      </c>
      <c r="E45" s="23">
        <f t="shared" si="36"/>
        <v>55</v>
      </c>
      <c r="F45" s="23">
        <v>0</v>
      </c>
      <c r="G45" s="23">
        <f>40-C45</f>
        <v>27</v>
      </c>
      <c r="H45" s="23">
        <f>I45-G45</f>
        <v>15</v>
      </c>
      <c r="I45" s="23">
        <f>55-C45</f>
        <v>42</v>
      </c>
      <c r="J45" s="23">
        <f t="shared" si="37"/>
        <v>55</v>
      </c>
      <c r="K45" s="23">
        <f>H45/J45</f>
        <v>0.27272727272727271</v>
      </c>
      <c r="L45" s="23"/>
      <c r="M45" s="23">
        <f>(G45-F45)/J45</f>
        <v>0.49090909090909091</v>
      </c>
      <c r="N45" s="23">
        <f>(J45-I45)/J45</f>
        <v>0.23636363636363636</v>
      </c>
      <c r="O45" s="23"/>
      <c r="P45" s="23">
        <f t="shared" si="3"/>
        <v>1</v>
      </c>
      <c r="Q45" s="23">
        <f>SUM($K45:$L45)</f>
        <v>0.27272727272727271</v>
      </c>
      <c r="R45" s="23">
        <f t="shared" si="5"/>
        <v>0.72727272727272729</v>
      </c>
      <c r="V45" s="1" t="s">
        <v>62</v>
      </c>
      <c r="W45">
        <v>81</v>
      </c>
      <c r="X45">
        <v>15</v>
      </c>
      <c r="Y45">
        <v>14</v>
      </c>
      <c r="Z45">
        <f t="shared" si="48"/>
        <v>52</v>
      </c>
      <c r="AA45">
        <v>0</v>
      </c>
      <c r="AB45">
        <f>43-X45</f>
        <v>28</v>
      </c>
      <c r="AC45">
        <f>AD45-AB45</f>
        <v>10</v>
      </c>
      <c r="AD45">
        <f>53-X45</f>
        <v>38</v>
      </c>
      <c r="AE45">
        <f t="shared" si="49"/>
        <v>52</v>
      </c>
      <c r="AF45">
        <f>AC45/AE45</f>
        <v>0.19230769230769232</v>
      </c>
      <c r="AH45">
        <f>(AB45-AA45)/AE45</f>
        <v>0.53846153846153844</v>
      </c>
      <c r="AI45">
        <f>(AE45-AD45)/AE45</f>
        <v>0.26923076923076922</v>
      </c>
      <c r="AK45">
        <f t="shared" si="7"/>
        <v>1</v>
      </c>
      <c r="AL45">
        <f t="shared" si="8"/>
        <v>0.19230769230769232</v>
      </c>
      <c r="AM45">
        <f t="shared" si="9"/>
        <v>0.80769230769230771</v>
      </c>
      <c r="AR45" t="s">
        <v>48</v>
      </c>
      <c r="AS45">
        <v>42</v>
      </c>
      <c r="AT45" s="8">
        <v>1.48</v>
      </c>
      <c r="AU45">
        <f>($G36-$F36)*10^-2</f>
        <v>0.2</v>
      </c>
      <c r="AV45" s="1">
        <f>($I36-$G36)*10^-2</f>
        <v>0.95000000000000007</v>
      </c>
      <c r="AW45">
        <f>($J36-$I36)*10^-2</f>
        <v>0.33</v>
      </c>
      <c r="AX45" s="8">
        <f t="shared" si="13"/>
        <v>0</v>
      </c>
      <c r="BB45">
        <f>AR8</f>
        <v>0.72727272727272729</v>
      </c>
      <c r="BC45" s="8">
        <f t="shared" ref="BC45:BD45" si="56">AS8</f>
        <v>0.27272727272727271</v>
      </c>
      <c r="BD45" s="8">
        <f t="shared" si="56"/>
        <v>0.55000000000000004</v>
      </c>
      <c r="BI45" s="30"/>
      <c r="BJ45" s="30">
        <f>AVERAGE(BC15,BG14,BG15,BK14,BK15)</f>
        <v>0.56400000000000006</v>
      </c>
      <c r="BK45" s="30">
        <f>_xlfn.STDEV.S(BC15,BG14,BG15,BK14,BK15)</f>
        <v>3.7148351242013398E-2</v>
      </c>
      <c r="BL45" s="30">
        <f>AVERAGE(BB15,BF15,BF14,BJ15,BJ14)</f>
        <v>0.81266955266955276</v>
      </c>
      <c r="BM45" s="30">
        <f>_xlfn.STDEV.S(BB15,BF15,BF14,BJ15,BJ14)</f>
        <v>0.14782781782598731</v>
      </c>
      <c r="BN45" s="30"/>
      <c r="BO45" s="30"/>
      <c r="BP45" s="30">
        <v>30</v>
      </c>
      <c r="BQ45" s="30">
        <f>AVERAGE(BF14:BF17)</f>
        <v>0.71216142590286424</v>
      </c>
      <c r="BR45" s="30">
        <f>_xlfn.STDEV.S(BF14:BF17)</f>
        <v>0.22444310223928571</v>
      </c>
      <c r="BS45" s="30"/>
      <c r="BT45" s="30"/>
    </row>
    <row r="46" spans="1:72" x14ac:dyDescent="0.25">
      <c r="A46" s="23" t="s">
        <v>63</v>
      </c>
      <c r="B46" s="23">
        <v>222</v>
      </c>
      <c r="C46" s="23">
        <v>37</v>
      </c>
      <c r="D46" s="23">
        <v>18</v>
      </c>
      <c r="E46" s="23">
        <f t="shared" si="36"/>
        <v>167</v>
      </c>
      <c r="F46" s="23">
        <f>0</f>
        <v>0</v>
      </c>
      <c r="G46" s="23">
        <v>0</v>
      </c>
      <c r="H46" s="23"/>
      <c r="I46" s="23">
        <f>172-C46</f>
        <v>135</v>
      </c>
      <c r="J46" s="23">
        <f t="shared" si="37"/>
        <v>167</v>
      </c>
      <c r="K46" s="23">
        <f>(G46-F46)/J46</f>
        <v>0</v>
      </c>
      <c r="L46" s="23">
        <f>(J46-I46)/J46</f>
        <v>0.19161676646706588</v>
      </c>
      <c r="M46" s="23">
        <f>(I46-G46)/J46</f>
        <v>0.80838323353293418</v>
      </c>
      <c r="N46" s="23"/>
      <c r="O46" s="23"/>
      <c r="P46" s="23">
        <f t="shared" si="3"/>
        <v>1</v>
      </c>
      <c r="Q46" s="23">
        <f>SUM($K46:$L46)</f>
        <v>0.19161676646706588</v>
      </c>
      <c r="R46" s="23">
        <f>SUM($M46:$N46)</f>
        <v>0.80838323353293418</v>
      </c>
      <c r="V46" t="s">
        <v>63</v>
      </c>
      <c r="W46">
        <v>222</v>
      </c>
      <c r="X46">
        <v>29</v>
      </c>
      <c r="Y46">
        <v>4</v>
      </c>
      <c r="Z46">
        <f t="shared" si="48"/>
        <v>189</v>
      </c>
      <c r="AA46">
        <v>0</v>
      </c>
      <c r="AB46">
        <f>30-X46</f>
        <v>1</v>
      </c>
      <c r="AD46">
        <f>180-X46</f>
        <v>151</v>
      </c>
      <c r="AE46">
        <f t="shared" si="49"/>
        <v>189</v>
      </c>
      <c r="AF46">
        <f>AB46/AE46</f>
        <v>5.2910052910052907E-3</v>
      </c>
      <c r="AG46">
        <f>(AE46-AD46)/AE46</f>
        <v>0.20105820105820105</v>
      </c>
      <c r="AH46">
        <f>(AD46-AB46)/AE46</f>
        <v>0.79365079365079361</v>
      </c>
      <c r="AK46">
        <f t="shared" si="7"/>
        <v>1</v>
      </c>
      <c r="AL46">
        <f t="shared" si="8"/>
        <v>0.20634920634920634</v>
      </c>
      <c r="AM46">
        <f t="shared" si="9"/>
        <v>0.79365079365079361</v>
      </c>
      <c r="AR46" t="s">
        <v>56</v>
      </c>
      <c r="AS46">
        <v>12</v>
      </c>
      <c r="AT46" s="8">
        <v>0.84</v>
      </c>
      <c r="AU46">
        <f>AW46</f>
        <v>0.42</v>
      </c>
      <c r="AV46" s="1">
        <f>($I38-$G38)*10^-2</f>
        <v>0</v>
      </c>
      <c r="AW46">
        <f>($J38-$I38)*0.5*10^-2</f>
        <v>0.42</v>
      </c>
      <c r="AX46" s="8">
        <f t="shared" si="13"/>
        <v>0</v>
      </c>
      <c r="BB46">
        <f>AR11</f>
        <v>0.68333333333333335</v>
      </c>
      <c r="BC46" s="8">
        <f t="shared" ref="BC46:BD46" si="57">AS11</f>
        <v>0.31666666666666665</v>
      </c>
      <c r="BD46" s="8">
        <f t="shared" si="57"/>
        <v>0.6</v>
      </c>
      <c r="BI46" s="30"/>
      <c r="BJ46" s="30">
        <f>AVERAGE(BC16,BG16,BK16)</f>
        <v>0.80333333333333334</v>
      </c>
      <c r="BK46" s="30">
        <f>_xlfn.STDEV.S(BC16,BG16,BK16)</f>
        <v>5.7735026918962623E-3</v>
      </c>
      <c r="BL46" s="30">
        <f>AVERAGE(BB16,BF16,BJ16)</f>
        <v>0.63899176954732506</v>
      </c>
      <c r="BM46" s="30">
        <f>_xlfn.STDEV.S(BB16,BF16,BJ16)</f>
        <v>5.0066716780182263E-2</v>
      </c>
      <c r="BN46" s="30"/>
      <c r="BO46" s="30"/>
      <c r="BP46" s="30">
        <v>60</v>
      </c>
      <c r="BQ46" s="30">
        <f>AVERAGE(BJ14:BJ17)</f>
        <v>0.53475901015050897</v>
      </c>
      <c r="BR46" s="30">
        <f>_xlfn.STDEV.S(BJ14:BJ17)</f>
        <v>0.30036744661109799</v>
      </c>
      <c r="BS46" s="30"/>
      <c r="BT46" s="30"/>
    </row>
    <row r="47" spans="1:72" x14ac:dyDescent="0.25">
      <c r="A47" s="23" t="s">
        <v>64</v>
      </c>
      <c r="B47" s="23">
        <v>191</v>
      </c>
      <c r="C47" s="23">
        <v>29</v>
      </c>
      <c r="D47" s="23">
        <v>16</v>
      </c>
      <c r="E47" s="23">
        <f t="shared" si="36"/>
        <v>146</v>
      </c>
      <c r="F47" s="23">
        <v>0</v>
      </c>
      <c r="G47" s="23">
        <f>0</f>
        <v>0</v>
      </c>
      <c r="H47" s="23"/>
      <c r="I47" s="23">
        <f>161-C47</f>
        <v>132</v>
      </c>
      <c r="J47" s="23">
        <f>E47</f>
        <v>146</v>
      </c>
      <c r="K47" s="23">
        <f>(G47-F47)/J47</f>
        <v>0</v>
      </c>
      <c r="L47" s="23">
        <f>(J47-I47)/J47</f>
        <v>9.5890410958904104E-2</v>
      </c>
      <c r="M47" s="23">
        <f>(I47-G47)/J47</f>
        <v>0.90410958904109584</v>
      </c>
      <c r="N47" s="23"/>
      <c r="O47" s="23"/>
      <c r="P47" s="23">
        <f t="shared" si="3"/>
        <v>1</v>
      </c>
      <c r="Q47" s="23">
        <f t="shared" si="4"/>
        <v>9.5890410958904104E-2</v>
      </c>
      <c r="R47" s="23">
        <f t="shared" si="5"/>
        <v>0.90410958904109584</v>
      </c>
      <c r="V47" t="s">
        <v>64</v>
      </c>
      <c r="W47">
        <v>191</v>
      </c>
      <c r="X47">
        <v>24</v>
      </c>
      <c r="Y47">
        <v>3</v>
      </c>
      <c r="Z47">
        <f t="shared" si="48"/>
        <v>164</v>
      </c>
      <c r="AA47">
        <v>0</v>
      </c>
      <c r="AB47">
        <f>24-X47</f>
        <v>0</v>
      </c>
      <c r="AD47">
        <f>165-X47</f>
        <v>141</v>
      </c>
      <c r="AE47">
        <f t="shared" si="49"/>
        <v>164</v>
      </c>
      <c r="AF47">
        <f>AB47/AE47</f>
        <v>0</v>
      </c>
      <c r="AG47">
        <f>(AE47-AD47)/AE47</f>
        <v>0.1402439024390244</v>
      </c>
      <c r="AH47">
        <f t="shared" ref="AH47:AH48" si="58">(AD47-AB47)/AE47</f>
        <v>0.8597560975609756</v>
      </c>
      <c r="AK47">
        <f t="shared" si="7"/>
        <v>1</v>
      </c>
      <c r="AL47">
        <f t="shared" si="8"/>
        <v>0.1402439024390244</v>
      </c>
      <c r="AM47">
        <f t="shared" si="9"/>
        <v>0.8597560975609756</v>
      </c>
      <c r="AR47" t="s">
        <v>57</v>
      </c>
      <c r="AS47">
        <v>27</v>
      </c>
      <c r="AT47" s="8">
        <v>0.7</v>
      </c>
      <c r="AU47">
        <f>($G39-$F39)*10^-2</f>
        <v>0.27</v>
      </c>
      <c r="AV47" s="1">
        <f>($I39-$G39)*10^-2</f>
        <v>0.21</v>
      </c>
      <c r="AW47">
        <f>($J39-$I39)*10^-2</f>
        <v>0.22</v>
      </c>
      <c r="AX47" s="8">
        <f t="shared" si="13"/>
        <v>0</v>
      </c>
      <c r="BB47" s="8">
        <f>AR12</f>
        <v>0.53741496598639449</v>
      </c>
      <c r="BC47" s="8">
        <f t="shared" ref="BC47" si="59">AS12</f>
        <v>0.46258503401360546</v>
      </c>
      <c r="BD47" s="8">
        <f t="shared" ref="BD47" si="60">AT12</f>
        <v>1.47</v>
      </c>
      <c r="BI47" s="30"/>
      <c r="BJ47" s="30">
        <f>AVERAGE(BC17,BG17,BK17)</f>
        <v>1.4766666666666666</v>
      </c>
      <c r="BK47" s="30">
        <f>_xlfn.STDEV.S(BC17,BG17,BK17)</f>
        <v>1.527525231651948E-2</v>
      </c>
      <c r="BL47" s="30">
        <f>AVERAGE(BB17,BF17,BJ17)</f>
        <v>0.29913707492543568</v>
      </c>
      <c r="BM47" s="30">
        <f>_xlfn.STDEV.S(BB17,BF17,BJ17)</f>
        <v>0.18941786514809836</v>
      </c>
      <c r="BN47" s="30"/>
      <c r="BO47" s="30"/>
      <c r="BP47" s="30"/>
      <c r="BQ47" s="30"/>
      <c r="BR47" s="30"/>
      <c r="BS47" s="30"/>
      <c r="BT47" s="30"/>
    </row>
    <row r="48" spans="1:72" x14ac:dyDescent="0.25">
      <c r="A48" s="23" t="s">
        <v>65</v>
      </c>
      <c r="B48" s="23">
        <v>191</v>
      </c>
      <c r="C48" s="23">
        <v>23</v>
      </c>
      <c r="D48" s="23">
        <v>19</v>
      </c>
      <c r="E48" s="23">
        <f t="shared" si="36"/>
        <v>149</v>
      </c>
      <c r="F48" s="23">
        <v>0</v>
      </c>
      <c r="G48" s="23">
        <f>25-C48</f>
        <v>2</v>
      </c>
      <c r="H48" s="23"/>
      <c r="I48" s="23">
        <f>161-C48</f>
        <v>138</v>
      </c>
      <c r="J48" s="23">
        <f t="shared" si="37"/>
        <v>149</v>
      </c>
      <c r="K48" s="23">
        <f>(G48-F48)/J48</f>
        <v>1.3422818791946308E-2</v>
      </c>
      <c r="L48" s="23">
        <f>(J48-I48)/J48</f>
        <v>7.3825503355704702E-2</v>
      </c>
      <c r="M48" s="23">
        <f>(I48-G48)/J48</f>
        <v>0.91275167785234901</v>
      </c>
      <c r="N48" s="23"/>
      <c r="O48" s="23"/>
      <c r="P48" s="23">
        <f t="shared" si="3"/>
        <v>1</v>
      </c>
      <c r="Q48" s="23">
        <f t="shared" si="4"/>
        <v>8.7248322147651006E-2</v>
      </c>
      <c r="R48" s="23">
        <f t="shared" si="5"/>
        <v>0.91275167785234901</v>
      </c>
      <c r="V48" t="s">
        <v>65</v>
      </c>
      <c r="W48">
        <v>191</v>
      </c>
      <c r="X48">
        <v>13</v>
      </c>
      <c r="Y48">
        <v>10</v>
      </c>
      <c r="Z48">
        <f t="shared" si="48"/>
        <v>168</v>
      </c>
      <c r="AA48">
        <v>0</v>
      </c>
      <c r="AB48">
        <f>13-X48</f>
        <v>0</v>
      </c>
      <c r="AD48">
        <f>168-X48</f>
        <v>155</v>
      </c>
      <c r="AE48">
        <f t="shared" si="49"/>
        <v>168</v>
      </c>
      <c r="AF48">
        <f>AB48/AE48</f>
        <v>0</v>
      </c>
      <c r="AG48">
        <f>(AE48-AD48)/AE48</f>
        <v>7.7380952380952384E-2</v>
      </c>
      <c r="AH48">
        <f t="shared" si="58"/>
        <v>0.92261904761904767</v>
      </c>
      <c r="AK48">
        <f t="shared" si="7"/>
        <v>1</v>
      </c>
      <c r="AL48">
        <f>SUM($AF48:$AG48)</f>
        <v>7.7380952380952384E-2</v>
      </c>
      <c r="AM48">
        <f t="shared" si="9"/>
        <v>0.92261904761904767</v>
      </c>
      <c r="AR48" t="s">
        <v>58</v>
      </c>
      <c r="AS48">
        <v>42</v>
      </c>
      <c r="AT48" s="8">
        <v>0.63</v>
      </c>
      <c r="AU48">
        <f>($G40-$F40)*10^-2</f>
        <v>0.25</v>
      </c>
      <c r="AV48" s="1">
        <f>($I40-$G40)*10^-2</f>
        <v>0.2</v>
      </c>
      <c r="AW48">
        <f>($J40-$I40)*10^-2</f>
        <v>0.18</v>
      </c>
      <c r="AX48" s="8">
        <f t="shared" si="13"/>
        <v>0</v>
      </c>
      <c r="BI48" s="30"/>
      <c r="BJ48" s="30"/>
      <c r="BK48" s="30"/>
      <c r="BL48" s="30"/>
      <c r="BM48" s="30"/>
      <c r="BN48" s="30"/>
      <c r="BO48" s="30"/>
      <c r="BP48" s="30"/>
      <c r="BQ48" s="30"/>
      <c r="BR48" s="30"/>
      <c r="BS48" s="30"/>
      <c r="BT48" s="30"/>
    </row>
    <row r="49" spans="1:72" x14ac:dyDescent="0.25">
      <c r="A49" s="23" t="s">
        <v>66</v>
      </c>
      <c r="B49" s="23">
        <v>191</v>
      </c>
      <c r="C49" s="23">
        <v>24</v>
      </c>
      <c r="D49" s="23">
        <v>24</v>
      </c>
      <c r="E49" s="23">
        <f t="shared" si="36"/>
        <v>143</v>
      </c>
      <c r="F49" s="23">
        <f>0</f>
        <v>0</v>
      </c>
      <c r="G49" s="23">
        <f>134-C49</f>
        <v>110</v>
      </c>
      <c r="H49" s="23">
        <f>I49-G49</f>
        <v>14</v>
      </c>
      <c r="I49" s="23">
        <f>148-C49</f>
        <v>124</v>
      </c>
      <c r="J49" s="23">
        <f t="shared" si="37"/>
        <v>143</v>
      </c>
      <c r="K49" s="23">
        <f>(G49-F49)/J49</f>
        <v>0.76923076923076927</v>
      </c>
      <c r="L49" s="23">
        <f>(J49-I49)/J49</f>
        <v>0.13286713286713286</v>
      </c>
      <c r="M49" s="23">
        <f>(I49-G49)/J49</f>
        <v>9.7902097902097904E-2</v>
      </c>
      <c r="N49" s="23"/>
      <c r="O49" s="23"/>
      <c r="P49" s="23">
        <f>SUM($K49:$O49)</f>
        <v>1</v>
      </c>
      <c r="Q49" s="23">
        <f>SUM($K49:$L49)</f>
        <v>0.90209790209790208</v>
      </c>
      <c r="R49" s="23">
        <f>SUM($M49:$O49)</f>
        <v>9.7902097902097904E-2</v>
      </c>
      <c r="S49" s="3"/>
      <c r="V49" t="s">
        <v>66</v>
      </c>
      <c r="W49">
        <v>191</v>
      </c>
      <c r="X49">
        <v>9</v>
      </c>
      <c r="Y49">
        <v>10</v>
      </c>
      <c r="Z49">
        <f t="shared" si="48"/>
        <v>172</v>
      </c>
      <c r="AA49">
        <v>0</v>
      </c>
      <c r="AB49">
        <f>140-X49</f>
        <v>131</v>
      </c>
      <c r="AC49">
        <f>AD49-AB49</f>
        <v>17</v>
      </c>
      <c r="AD49">
        <f>157-X49</f>
        <v>148</v>
      </c>
      <c r="AE49">
        <f t="shared" si="49"/>
        <v>172</v>
      </c>
      <c r="AF49">
        <f>(AB49-AA49)/AE49</f>
        <v>0.76162790697674421</v>
      </c>
      <c r="AG49">
        <f>(AE49-AD49)/AE49</f>
        <v>0.13953488372093023</v>
      </c>
      <c r="AH49">
        <f>AC49/AE49</f>
        <v>9.8837209302325577E-2</v>
      </c>
      <c r="AK49">
        <f t="shared" si="7"/>
        <v>1</v>
      </c>
      <c r="AL49">
        <f t="shared" si="8"/>
        <v>0.90116279069767447</v>
      </c>
      <c r="AM49">
        <f>SUM($AH49:$AJ49)</f>
        <v>9.8837209302325577E-2</v>
      </c>
      <c r="AR49" t="s">
        <v>55</v>
      </c>
      <c r="AS49">
        <v>12</v>
      </c>
      <c r="AT49" s="8">
        <v>0.73</v>
      </c>
      <c r="AU49">
        <f>0.146/2</f>
        <v>7.2999999999999995E-2</v>
      </c>
      <c r="AV49" s="1">
        <f>AT49-AU49-AW49</f>
        <v>0.58400000000000007</v>
      </c>
      <c r="AW49">
        <f>0.146/2</f>
        <v>7.2999999999999995E-2</v>
      </c>
      <c r="AX49" s="8">
        <f t="shared" si="13"/>
        <v>0</v>
      </c>
      <c r="BA49">
        <v>60</v>
      </c>
      <c r="BB49">
        <f>AR4</f>
        <v>0.65384615384615385</v>
      </c>
      <c r="BC49" s="8">
        <f t="shared" ref="BC49:BD49" si="61">AS4</f>
        <v>0.34615384615384615</v>
      </c>
      <c r="BD49" s="8">
        <f t="shared" si="61"/>
        <v>0.78</v>
      </c>
      <c r="BI49" s="30"/>
      <c r="BJ49" s="30"/>
      <c r="BK49" s="30"/>
      <c r="BL49" s="30"/>
      <c r="BM49" s="30"/>
      <c r="BN49" s="30"/>
      <c r="BO49" s="30"/>
      <c r="BP49" s="30"/>
      <c r="BQ49" s="30"/>
      <c r="BR49" s="30"/>
      <c r="BS49" s="30"/>
      <c r="BT49" s="30"/>
    </row>
    <row r="50" spans="1:72" x14ac:dyDescent="0.25">
      <c r="AR50" t="s">
        <v>60</v>
      </c>
      <c r="AS50">
        <v>27</v>
      </c>
      <c r="AT50" s="8">
        <v>0.66</v>
      </c>
      <c r="AU50">
        <f>($G43-$F43)*10^-2</f>
        <v>0.2</v>
      </c>
      <c r="AV50" s="1">
        <f>($I43-$G43)*10^-2</f>
        <v>0.2</v>
      </c>
      <c r="AW50">
        <f>($J43-$I43)*10^-2</f>
        <v>0.26</v>
      </c>
      <c r="AX50" s="8">
        <f t="shared" si="13"/>
        <v>0</v>
      </c>
      <c r="BB50">
        <f>AR7</f>
        <v>0.64615384615384619</v>
      </c>
      <c r="BC50" s="8">
        <f t="shared" ref="BC50:BD50" si="62">AS7</f>
        <v>0.35384615384615387</v>
      </c>
      <c r="BD50" s="8">
        <f t="shared" si="62"/>
        <v>0.65</v>
      </c>
    </row>
    <row r="51" spans="1:72" x14ac:dyDescent="0.25">
      <c r="AR51" t="s">
        <v>61</v>
      </c>
      <c r="AS51">
        <v>42</v>
      </c>
      <c r="AT51" s="8">
        <v>0.55000000000000004</v>
      </c>
      <c r="AU51">
        <f>AW51</f>
        <v>0.27500000000000002</v>
      </c>
      <c r="AV51" s="1">
        <f>($I44-$G44)*10^-2</f>
        <v>0</v>
      </c>
      <c r="AW51">
        <f>($J44-$I44)*0.5*10^-2</f>
        <v>0.27500000000000002</v>
      </c>
      <c r="AX51" s="8">
        <f t="shared" si="13"/>
        <v>0</v>
      </c>
      <c r="BB51">
        <f>AR10</f>
        <v>0.8</v>
      </c>
      <c r="BC51" s="8">
        <f t="shared" ref="BC51:BD51" si="63">AS10</f>
        <v>0.2</v>
      </c>
      <c r="BD51" s="8">
        <f t="shared" si="63"/>
        <v>0.55000000000000004</v>
      </c>
    </row>
    <row r="52" spans="1:72" x14ac:dyDescent="0.25">
      <c r="AR52" t="s">
        <v>63</v>
      </c>
      <c r="AS52">
        <v>12</v>
      </c>
      <c r="AT52" s="8">
        <v>1.67</v>
      </c>
      <c r="AU52">
        <f>($G46-$F46)*10^-2</f>
        <v>0</v>
      </c>
      <c r="AV52" s="1">
        <f>($I46-$G46)*10^-2</f>
        <v>1.35</v>
      </c>
      <c r="AW52">
        <f>($J46-$I46)*10^-2</f>
        <v>0.32</v>
      </c>
      <c r="AX52" s="8">
        <f t="shared" si="13"/>
        <v>0</v>
      </c>
      <c r="BB52">
        <f>AR14</f>
        <v>9.7902097902097904E-2</v>
      </c>
      <c r="BC52" s="8">
        <f t="shared" ref="BC52:BD52" si="64">AS14</f>
        <v>0.90209790209790208</v>
      </c>
      <c r="BD52" s="8">
        <f t="shared" si="64"/>
        <v>1.43</v>
      </c>
    </row>
    <row r="53" spans="1:72" ht="21" x14ac:dyDescent="0.35">
      <c r="A53" s="5" t="s">
        <v>69</v>
      </c>
      <c r="AR53" t="s">
        <v>64</v>
      </c>
      <c r="AS53">
        <v>27</v>
      </c>
      <c r="AT53" s="8">
        <v>1.46</v>
      </c>
      <c r="AU53">
        <f>($G47-$F47)*10^-2</f>
        <v>0</v>
      </c>
      <c r="AV53" s="1">
        <f>($I47-$G47)*10^-2</f>
        <v>1.32</v>
      </c>
      <c r="AW53">
        <f>($J47-$I47)*10^-2</f>
        <v>0.14000000000000001</v>
      </c>
      <c r="AX53" s="8">
        <f t="shared" si="13"/>
        <v>0</v>
      </c>
    </row>
    <row r="54" spans="1:72" x14ac:dyDescent="0.25">
      <c r="AR54" t="s">
        <v>65</v>
      </c>
      <c r="AS54">
        <v>42</v>
      </c>
      <c r="AT54" s="8">
        <v>1.49</v>
      </c>
      <c r="AU54">
        <f>($G48-$F48)*10^-2</f>
        <v>0.02</v>
      </c>
      <c r="AV54" s="1">
        <f>($I48-$G48)*10^-2</f>
        <v>1.36</v>
      </c>
      <c r="AW54">
        <f>($J48-$I48)*10^-2</f>
        <v>0.11</v>
      </c>
      <c r="AX54" s="8">
        <f t="shared" si="13"/>
        <v>0</v>
      </c>
    </row>
    <row r="55" spans="1:72" ht="18.75" x14ac:dyDescent="0.3">
      <c r="A55" s="2" t="s">
        <v>88</v>
      </c>
      <c r="B55" s="4" t="s">
        <v>70</v>
      </c>
      <c r="C55" s="4" t="s">
        <v>71</v>
      </c>
      <c r="D55" s="4" t="s">
        <v>72</v>
      </c>
      <c r="E55" s="4" t="s">
        <v>73</v>
      </c>
      <c r="F55" s="4" t="s">
        <v>76</v>
      </c>
      <c r="H55" s="4" t="s">
        <v>74</v>
      </c>
      <c r="I55" s="4" t="s">
        <v>75</v>
      </c>
      <c r="J55" s="4" t="s">
        <v>72</v>
      </c>
      <c r="K55" s="4" t="s">
        <v>73</v>
      </c>
      <c r="L55" s="4" t="s">
        <v>76</v>
      </c>
      <c r="AU55" t="s">
        <v>277</v>
      </c>
      <c r="AV55" t="s">
        <v>276</v>
      </c>
      <c r="AW55" t="s">
        <v>277</v>
      </c>
    </row>
    <row r="56" spans="1:72" x14ac:dyDescent="0.25">
      <c r="A56" t="s">
        <v>14</v>
      </c>
      <c r="B56">
        <f>R2</f>
        <v>0.39285714285714285</v>
      </c>
      <c r="C56">
        <f>AM2</f>
        <v>0.36263736263736263</v>
      </c>
      <c r="D56">
        <f t="shared" ref="D56:D103" si="65">ABS(B56-C56)</f>
        <v>3.0219780219780223E-2</v>
      </c>
      <c r="E56">
        <f t="shared" ref="E56:E103" si="66">D56*100/AVERAGE(B56,C56)</f>
        <v>8.0000000000000018</v>
      </c>
      <c r="F56">
        <f>R2</f>
        <v>0.39285714285714285</v>
      </c>
      <c r="H56">
        <f>Q2</f>
        <v>0.60714285714285721</v>
      </c>
      <c r="I56">
        <f>AL2</f>
        <v>0.63736263736263732</v>
      </c>
      <c r="J56">
        <f>ABS(H56-I56)</f>
        <v>3.0219780219780112E-2</v>
      </c>
      <c r="K56">
        <f>J56*100/AVERAGE(H56,I56)</f>
        <v>4.8565121412803363</v>
      </c>
      <c r="L56">
        <f>Q2</f>
        <v>0.60714285714285721</v>
      </c>
      <c r="AV56" t="s">
        <v>278</v>
      </c>
    </row>
    <row r="57" spans="1:72" x14ac:dyDescent="0.25">
      <c r="A57" t="s">
        <v>15</v>
      </c>
      <c r="B57">
        <f t="shared" ref="B57:B101" si="67">R3</f>
        <v>0.40740740740740738</v>
      </c>
      <c r="C57">
        <f t="shared" ref="C57:C102" si="68">AM3</f>
        <v>0.3888888888888889</v>
      </c>
      <c r="D57">
        <f t="shared" si="65"/>
        <v>1.851851851851849E-2</v>
      </c>
      <c r="E57">
        <f t="shared" si="66"/>
        <v>4.6511627906976676</v>
      </c>
      <c r="F57" s="8">
        <f t="shared" ref="F57:F103" si="69">R3</f>
        <v>0.40740740740740738</v>
      </c>
      <c r="H57">
        <f t="shared" ref="H57:H103" si="70">Q3</f>
        <v>0.59259259259259256</v>
      </c>
      <c r="I57">
        <f t="shared" ref="I57:I103" si="71">AL3</f>
        <v>0.61111111111111116</v>
      </c>
      <c r="J57">
        <f t="shared" ref="J57:J103" si="72">ABS(H57-I57)</f>
        <v>1.8518518518518601E-2</v>
      </c>
      <c r="K57">
        <f t="shared" ref="K57:K103" si="73">J57*100/AVERAGE(H57,I57)</f>
        <v>3.0769230769230904</v>
      </c>
      <c r="L57" s="8">
        <f t="shared" ref="L57:L103" si="74">Q3</f>
        <v>0.59259259259259256</v>
      </c>
    </row>
    <row r="58" spans="1:72" x14ac:dyDescent="0.25">
      <c r="A58" t="s">
        <v>16</v>
      </c>
      <c r="B58">
        <f>R4</f>
        <v>0.41249999999999998</v>
      </c>
      <c r="C58">
        <f t="shared" si="68"/>
        <v>0.375</v>
      </c>
      <c r="D58">
        <f t="shared" si="65"/>
        <v>3.7499999999999978E-2</v>
      </c>
      <c r="E58">
        <f t="shared" si="66"/>
        <v>9.5238095238095184</v>
      </c>
      <c r="F58" s="8">
        <f t="shared" si="69"/>
        <v>0.41249999999999998</v>
      </c>
      <c r="H58">
        <f t="shared" si="70"/>
        <v>0.58749999999999991</v>
      </c>
      <c r="I58">
        <f t="shared" si="71"/>
        <v>0.625</v>
      </c>
      <c r="J58">
        <f t="shared" si="72"/>
        <v>3.7500000000000089E-2</v>
      </c>
      <c r="K58">
        <f t="shared" si="73"/>
        <v>6.1855670103092937</v>
      </c>
      <c r="L58" s="8">
        <f t="shared" si="74"/>
        <v>0.58749999999999991</v>
      </c>
    </row>
    <row r="59" spans="1:72" x14ac:dyDescent="0.25">
      <c r="A59" s="1" t="s">
        <v>17</v>
      </c>
      <c r="B59" s="1">
        <f>R5</f>
        <v>0.58536585365853666</v>
      </c>
      <c r="C59" s="1">
        <f t="shared" si="68"/>
        <v>0.62068965517241381</v>
      </c>
      <c r="D59" s="1">
        <f t="shared" si="65"/>
        <v>3.5323801513877151E-2</v>
      </c>
      <c r="E59" s="1">
        <f t="shared" si="66"/>
        <v>5.8577405857740494</v>
      </c>
      <c r="F59" s="8">
        <f t="shared" si="69"/>
        <v>0.58536585365853666</v>
      </c>
      <c r="G59" s="1"/>
      <c r="H59" s="1">
        <f t="shared" si="70"/>
        <v>0.41463414634146339</v>
      </c>
      <c r="I59" s="1">
        <f t="shared" si="71"/>
        <v>0.37931034482758619</v>
      </c>
      <c r="J59" s="1">
        <f t="shared" si="72"/>
        <v>3.5323801513877207E-2</v>
      </c>
      <c r="K59" s="1">
        <f t="shared" si="73"/>
        <v>8.898305084745763</v>
      </c>
      <c r="L59" s="8">
        <f t="shared" si="74"/>
        <v>0.41463414634146339</v>
      </c>
    </row>
    <row r="60" spans="1:72" ht="18.75" x14ac:dyDescent="0.3">
      <c r="A60" t="s">
        <v>18</v>
      </c>
      <c r="B60">
        <f t="shared" si="67"/>
        <v>0.59756097560975607</v>
      </c>
      <c r="C60">
        <f t="shared" si="68"/>
        <v>0.56382978723404253</v>
      </c>
      <c r="D60">
        <f t="shared" si="65"/>
        <v>3.3731188375713539E-2</v>
      </c>
      <c r="E60">
        <f t="shared" si="66"/>
        <v>5.8087578194816789</v>
      </c>
      <c r="F60" s="8">
        <f t="shared" si="69"/>
        <v>0.59756097560975607</v>
      </c>
      <c r="H60">
        <f t="shared" si="70"/>
        <v>0.40243902439024393</v>
      </c>
      <c r="I60">
        <f t="shared" si="71"/>
        <v>0.43617021276595747</v>
      </c>
      <c r="J60">
        <f t="shared" si="72"/>
        <v>3.3731188375713539E-2</v>
      </c>
      <c r="K60">
        <f t="shared" si="73"/>
        <v>8.0445544554455424</v>
      </c>
      <c r="L60" s="8">
        <f t="shared" si="74"/>
        <v>0.40243902439024393</v>
      </c>
      <c r="AR60" s="2" t="s">
        <v>108</v>
      </c>
      <c r="AS60" s="10" t="s">
        <v>109</v>
      </c>
      <c r="AT60" s="10" t="s">
        <v>92</v>
      </c>
      <c r="AU60" s="10" t="s">
        <v>106</v>
      </c>
      <c r="AV60" s="10" t="s">
        <v>107</v>
      </c>
      <c r="AW60" s="10" t="s">
        <v>98</v>
      </c>
      <c r="BD60" t="s">
        <v>297</v>
      </c>
      <c r="BE60" t="s">
        <v>296</v>
      </c>
    </row>
    <row r="61" spans="1:72" x14ac:dyDescent="0.25">
      <c r="A61" t="s">
        <v>19</v>
      </c>
      <c r="B61">
        <f t="shared" si="67"/>
        <v>0.44155844155844154</v>
      </c>
      <c r="C61">
        <f t="shared" si="68"/>
        <v>0.38947368421052631</v>
      </c>
      <c r="D61">
        <f t="shared" si="65"/>
        <v>5.2084757347915234E-2</v>
      </c>
      <c r="E61">
        <f t="shared" si="66"/>
        <v>12.534956407303831</v>
      </c>
      <c r="F61" s="8">
        <f t="shared" si="69"/>
        <v>0.44155844155844154</v>
      </c>
      <c r="H61">
        <f t="shared" si="70"/>
        <v>0.55844155844155841</v>
      </c>
      <c r="I61">
        <f t="shared" si="71"/>
        <v>0.61052631578947369</v>
      </c>
      <c r="J61">
        <f t="shared" si="72"/>
        <v>5.2084757347915289E-2</v>
      </c>
      <c r="K61">
        <f t="shared" si="73"/>
        <v>8.91123845164309</v>
      </c>
      <c r="L61" s="8">
        <f t="shared" si="74"/>
        <v>0.55844155844155841</v>
      </c>
      <c r="AR61" s="8" t="s">
        <v>14</v>
      </c>
      <c r="AS61">
        <f>2</f>
        <v>2</v>
      </c>
      <c r="AT61" s="8">
        <f>12</f>
        <v>12</v>
      </c>
      <c r="AU61">
        <f>F56</f>
        <v>0.39285714285714285</v>
      </c>
      <c r="AV61">
        <f>L56</f>
        <v>0.60714285714285721</v>
      </c>
      <c r="AW61">
        <v>0.84</v>
      </c>
      <c r="AY61">
        <f>AT19</f>
        <v>0.84</v>
      </c>
      <c r="AZ61" s="8">
        <f t="shared" ref="AZ61:BB61" si="75">AU19</f>
        <v>0.27</v>
      </c>
      <c r="BA61" s="8">
        <f t="shared" si="75"/>
        <v>0.33</v>
      </c>
      <c r="BB61" s="8">
        <f t="shared" si="75"/>
        <v>0.24</v>
      </c>
      <c r="BD61">
        <f>1.0177*AU19</f>
        <v>0.27477900000000005</v>
      </c>
      <c r="BE61">
        <f>BD61-AW19</f>
        <v>3.477900000000006E-2</v>
      </c>
      <c r="BF61" t="s">
        <v>298</v>
      </c>
      <c r="BG61" t="e" cm="1">
        <f t="array" ref="BG61">-VE</f>
        <v>#NAME?</v>
      </c>
    </row>
    <row r="62" spans="1:72" x14ac:dyDescent="0.25">
      <c r="A62" t="s">
        <v>20</v>
      </c>
      <c r="B62">
        <f t="shared" si="67"/>
        <v>0.35802469135802467</v>
      </c>
      <c r="C62">
        <f t="shared" si="68"/>
        <v>0.3595505617977528</v>
      </c>
      <c r="D62">
        <f t="shared" si="65"/>
        <v>1.5258704397281275E-3</v>
      </c>
      <c r="E62">
        <f t="shared" si="66"/>
        <v>0.42528513435144294</v>
      </c>
      <c r="F62" s="8">
        <f t="shared" si="69"/>
        <v>0.35802469135802467</v>
      </c>
      <c r="H62">
        <f t="shared" si="70"/>
        <v>0.64197530864197527</v>
      </c>
      <c r="I62">
        <f t="shared" si="71"/>
        <v>0.6404494382022472</v>
      </c>
      <c r="J62">
        <f t="shared" si="72"/>
        <v>1.525870439728072E-3</v>
      </c>
      <c r="K62">
        <f t="shared" si="73"/>
        <v>0.23796646836126925</v>
      </c>
      <c r="L62" s="8">
        <f t="shared" si="74"/>
        <v>0.64197530864197527</v>
      </c>
      <c r="AR62" s="8" t="s">
        <v>15</v>
      </c>
      <c r="AS62" s="8">
        <f>2</f>
        <v>2</v>
      </c>
      <c r="AT62" s="8">
        <v>27</v>
      </c>
      <c r="AU62" s="8">
        <f t="shared" ref="AU62:AU63" si="76">F57</f>
        <v>0.40740740740740738</v>
      </c>
      <c r="AV62" s="8">
        <f t="shared" ref="AV62:AV63" si="77">L57</f>
        <v>0.59259259259259256</v>
      </c>
      <c r="AW62" s="8">
        <v>0.81</v>
      </c>
      <c r="AY62" s="8">
        <f t="shared" ref="AY62:AY69" si="78">AT20</f>
        <v>0.81</v>
      </c>
      <c r="AZ62" s="8">
        <f t="shared" ref="AZ62:AZ69" si="79">AU20</f>
        <v>0.23</v>
      </c>
      <c r="BA62" s="8">
        <f t="shared" ref="BA62:BA69" si="80">AV20</f>
        <v>0.33</v>
      </c>
      <c r="BB62" s="8">
        <f t="shared" ref="BB62:BB68" si="81">AW20</f>
        <v>0.25</v>
      </c>
      <c r="BC62" s="8"/>
      <c r="BD62" s="8">
        <f t="shared" ref="BD62:BD96" si="82">1.0177*AU20</f>
        <v>0.23407100000000003</v>
      </c>
      <c r="BE62" s="8">
        <f t="shared" ref="BE62:BE96" si="83">BD62-AW20</f>
        <v>-1.5928999999999971E-2</v>
      </c>
      <c r="BF62">
        <f>SUM(BE61,BE63:BE69,BE72,BE74:BE75,BE77,BE79:BE81,BE88:BE91,BE93)</f>
        <v>0.81554410000000044</v>
      </c>
      <c r="BG62">
        <f>SUM(BE62,BE70:BE71,BE73,BE76,BE78,BE82:BE87,BE92,BE94:BE96)</f>
        <v>-1.6762809999999999</v>
      </c>
    </row>
    <row r="63" spans="1:72" x14ac:dyDescent="0.25">
      <c r="A63" s="1" t="s">
        <v>21</v>
      </c>
      <c r="B63" s="1">
        <f t="shared" si="67"/>
        <v>0.65384615384615385</v>
      </c>
      <c r="C63" s="1">
        <f t="shared" si="68"/>
        <v>0.73958333333333326</v>
      </c>
      <c r="D63" s="1">
        <f t="shared" si="65"/>
        <v>8.5737179487179405E-2</v>
      </c>
      <c r="E63" s="1">
        <f t="shared" si="66"/>
        <v>12.305922944220804</v>
      </c>
      <c r="F63" s="8">
        <f t="shared" si="69"/>
        <v>0.65384615384615385</v>
      </c>
      <c r="G63" s="1"/>
      <c r="H63" s="1">
        <f t="shared" si="70"/>
        <v>0.34615384615384615</v>
      </c>
      <c r="I63" s="1">
        <f t="shared" si="71"/>
        <v>0.26041666666666669</v>
      </c>
      <c r="J63" s="1">
        <f t="shared" si="72"/>
        <v>8.573717948717946E-2</v>
      </c>
      <c r="K63" s="1">
        <f t="shared" si="73"/>
        <v>28.269484808454415</v>
      </c>
      <c r="L63" s="8">
        <f t="shared" si="74"/>
        <v>0.34615384615384615</v>
      </c>
      <c r="AR63" s="8" t="s">
        <v>16</v>
      </c>
      <c r="AS63" s="8">
        <f>2</f>
        <v>2</v>
      </c>
      <c r="AT63" s="8">
        <v>42</v>
      </c>
      <c r="AU63" s="8">
        <f t="shared" si="76"/>
        <v>0.41249999999999998</v>
      </c>
      <c r="AV63" s="8">
        <f t="shared" si="77"/>
        <v>0.58749999999999991</v>
      </c>
      <c r="AW63" s="8">
        <v>0.8</v>
      </c>
      <c r="AY63" s="8">
        <f t="shared" si="78"/>
        <v>0.8</v>
      </c>
      <c r="AZ63" s="8">
        <f t="shared" si="79"/>
        <v>0.28000000000000003</v>
      </c>
      <c r="BA63" s="8">
        <f t="shared" si="80"/>
        <v>0.33</v>
      </c>
      <c r="BB63" s="8">
        <f t="shared" si="81"/>
        <v>0.19</v>
      </c>
      <c r="BC63" s="8"/>
      <c r="BD63" s="8">
        <f t="shared" si="82"/>
        <v>0.28495600000000004</v>
      </c>
      <c r="BE63" s="8">
        <f t="shared" si="83"/>
        <v>9.495600000000004E-2</v>
      </c>
    </row>
    <row r="64" spans="1:72" x14ac:dyDescent="0.25">
      <c r="A64" t="s">
        <v>22</v>
      </c>
      <c r="B64">
        <f t="shared" si="67"/>
        <v>0.5662650602409639</v>
      </c>
      <c r="C64">
        <f t="shared" si="68"/>
        <v>0.57471264367816088</v>
      </c>
      <c r="D64">
        <f t="shared" si="65"/>
        <v>8.4475834371969816E-3</v>
      </c>
      <c r="E64">
        <f t="shared" si="66"/>
        <v>1.4807622284257655</v>
      </c>
      <c r="F64" s="8">
        <f t="shared" si="69"/>
        <v>0.5662650602409639</v>
      </c>
      <c r="H64">
        <f t="shared" si="70"/>
        <v>0.43373493975903615</v>
      </c>
      <c r="I64">
        <f t="shared" si="71"/>
        <v>0.42528735632183912</v>
      </c>
      <c r="J64">
        <f t="shared" si="72"/>
        <v>8.4475834371970371E-3</v>
      </c>
      <c r="K64">
        <f t="shared" si="73"/>
        <v>1.9667902627760696</v>
      </c>
      <c r="L64" s="8">
        <f t="shared" si="74"/>
        <v>0.43373493975903615</v>
      </c>
      <c r="AR64" s="8" t="s">
        <v>18</v>
      </c>
      <c r="AS64">
        <f>3</f>
        <v>3</v>
      </c>
      <c r="AT64" s="8">
        <v>12</v>
      </c>
      <c r="AU64" s="8">
        <f>F60</f>
        <v>0.59756097560975607</v>
      </c>
      <c r="AV64">
        <f>L60</f>
        <v>0.40243902439024393</v>
      </c>
      <c r="AW64" s="8">
        <v>0.82</v>
      </c>
      <c r="AY64" s="8">
        <f t="shared" si="78"/>
        <v>0.82</v>
      </c>
      <c r="AZ64" s="8">
        <f t="shared" si="79"/>
        <v>0.18</v>
      </c>
      <c r="BA64" s="8">
        <f t="shared" si="80"/>
        <v>0.49</v>
      </c>
      <c r="BB64" s="8">
        <f t="shared" si="81"/>
        <v>0.15</v>
      </c>
      <c r="BC64" s="8"/>
      <c r="BD64" s="8">
        <f t="shared" si="82"/>
        <v>0.18318600000000002</v>
      </c>
      <c r="BE64" s="8">
        <f t="shared" si="83"/>
        <v>3.3186000000000021E-2</v>
      </c>
    </row>
    <row r="65" spans="1:102" x14ac:dyDescent="0.25">
      <c r="A65" t="s">
        <v>23</v>
      </c>
      <c r="B65">
        <f t="shared" si="67"/>
        <v>0.40963855421686746</v>
      </c>
      <c r="C65">
        <f t="shared" si="68"/>
        <v>0.4157303370786517</v>
      </c>
      <c r="D65">
        <f t="shared" si="65"/>
        <v>6.0917828617842451E-3</v>
      </c>
      <c r="E65">
        <f t="shared" si="66"/>
        <v>1.4761358044940207</v>
      </c>
      <c r="F65" s="8">
        <f t="shared" si="69"/>
        <v>0.40963855421686746</v>
      </c>
      <c r="H65">
        <f t="shared" si="70"/>
        <v>0.59036144578313254</v>
      </c>
      <c r="I65">
        <f t="shared" si="71"/>
        <v>0.58426966292134841</v>
      </c>
      <c r="J65">
        <f t="shared" si="72"/>
        <v>6.0917828617841341E-3</v>
      </c>
      <c r="K65">
        <f t="shared" si="73"/>
        <v>1.037224847297439</v>
      </c>
      <c r="L65" s="8">
        <f t="shared" si="74"/>
        <v>0.59036144578313254</v>
      </c>
      <c r="AR65" s="8" t="s">
        <v>19</v>
      </c>
      <c r="AS65" s="8">
        <f>3</f>
        <v>3</v>
      </c>
      <c r="AT65" s="8">
        <v>27</v>
      </c>
      <c r="AU65" s="8">
        <f t="shared" ref="AU65:AU66" si="84">F61</f>
        <v>0.44155844155844154</v>
      </c>
      <c r="AV65" s="8">
        <f t="shared" ref="AV65:AV66" si="85">L61</f>
        <v>0.55844155844155841</v>
      </c>
      <c r="AW65" s="8">
        <v>0.77</v>
      </c>
      <c r="AY65" s="8">
        <f t="shared" si="78"/>
        <v>0.77</v>
      </c>
      <c r="AZ65" s="8">
        <f t="shared" si="79"/>
        <v>0.25</v>
      </c>
      <c r="BA65" s="8">
        <f t="shared" si="80"/>
        <v>0.34</v>
      </c>
      <c r="BB65" s="8">
        <f t="shared" si="81"/>
        <v>0.18</v>
      </c>
      <c r="BC65" s="8"/>
      <c r="BD65" s="8">
        <f t="shared" si="82"/>
        <v>0.25442500000000001</v>
      </c>
      <c r="BE65" s="8">
        <f t="shared" si="83"/>
        <v>7.4425000000000019E-2</v>
      </c>
    </row>
    <row r="66" spans="1:102" x14ac:dyDescent="0.25">
      <c r="A66" t="s">
        <v>24</v>
      </c>
      <c r="B66">
        <f t="shared" si="67"/>
        <v>0.3125</v>
      </c>
      <c r="C66">
        <f t="shared" si="68"/>
        <v>0.30337078651685395</v>
      </c>
      <c r="D66">
        <f t="shared" si="65"/>
        <v>9.1292134831460481E-3</v>
      </c>
      <c r="E66">
        <f t="shared" si="66"/>
        <v>2.964652223489161</v>
      </c>
      <c r="F66" s="8">
        <f t="shared" si="69"/>
        <v>0.3125</v>
      </c>
      <c r="H66">
        <f t="shared" si="70"/>
        <v>0.6875</v>
      </c>
      <c r="I66">
        <f t="shared" si="71"/>
        <v>0.6966292134831461</v>
      </c>
      <c r="J66">
        <f t="shared" si="72"/>
        <v>9.1292134831461036E-3</v>
      </c>
      <c r="K66">
        <f t="shared" si="73"/>
        <v>1.3191273465246121</v>
      </c>
      <c r="L66" s="8">
        <f t="shared" si="74"/>
        <v>0.6875</v>
      </c>
      <c r="AR66" s="8" t="s">
        <v>20</v>
      </c>
      <c r="AS66" s="8">
        <f>3</f>
        <v>3</v>
      </c>
      <c r="AT66" s="8">
        <v>42</v>
      </c>
      <c r="AU66" s="8">
        <f t="shared" si="84"/>
        <v>0.35802469135802467</v>
      </c>
      <c r="AV66" s="8">
        <f t="shared" si="85"/>
        <v>0.64197530864197527</v>
      </c>
      <c r="AW66" s="8">
        <v>0.81</v>
      </c>
      <c r="AY66" s="8">
        <f t="shared" si="78"/>
        <v>0.81</v>
      </c>
      <c r="AZ66" s="8">
        <f t="shared" si="79"/>
        <v>0.28000000000000003</v>
      </c>
      <c r="BA66" s="8">
        <f t="shared" si="80"/>
        <v>0.28999999999999998</v>
      </c>
      <c r="BB66" s="8">
        <f t="shared" si="81"/>
        <v>0.24</v>
      </c>
      <c r="BC66" s="8"/>
      <c r="BD66" s="8">
        <f t="shared" si="82"/>
        <v>0.28495600000000004</v>
      </c>
      <c r="BE66" s="8">
        <f t="shared" si="83"/>
        <v>4.4956000000000051E-2</v>
      </c>
    </row>
    <row r="67" spans="1:102" ht="26.25" x14ac:dyDescent="0.4">
      <c r="A67" s="1" t="s">
        <v>26</v>
      </c>
      <c r="B67" s="1">
        <f t="shared" si="67"/>
        <v>0.7407407407407407</v>
      </c>
      <c r="C67" s="1">
        <f t="shared" si="68"/>
        <v>0.80219780219780223</v>
      </c>
      <c r="D67" s="1">
        <f t="shared" si="65"/>
        <v>6.1457061457061535E-2</v>
      </c>
      <c r="E67" s="1">
        <f t="shared" si="66"/>
        <v>7.9662358216829432</v>
      </c>
      <c r="F67" s="8">
        <f t="shared" si="69"/>
        <v>0.7407407407407407</v>
      </c>
      <c r="G67" s="1"/>
      <c r="H67" s="1">
        <f t="shared" si="70"/>
        <v>0.25925925925925924</v>
      </c>
      <c r="I67" s="1">
        <f t="shared" si="71"/>
        <v>0.19780219780219779</v>
      </c>
      <c r="J67" s="1">
        <f t="shared" si="72"/>
        <v>6.1457061457061452E-2</v>
      </c>
      <c r="K67" s="1">
        <f t="shared" si="73"/>
        <v>26.892252894033838</v>
      </c>
      <c r="L67" s="8">
        <f t="shared" si="74"/>
        <v>0.25925925925925924</v>
      </c>
      <c r="AR67" s="8" t="s">
        <v>22</v>
      </c>
      <c r="AS67">
        <f>4</f>
        <v>4</v>
      </c>
      <c r="AT67" s="8">
        <v>12</v>
      </c>
      <c r="AU67" s="8">
        <f>F64</f>
        <v>0.5662650602409639</v>
      </c>
      <c r="AV67">
        <f>L64</f>
        <v>0.43373493975903615</v>
      </c>
      <c r="AW67" s="8">
        <v>0.83</v>
      </c>
      <c r="AY67" s="8">
        <f t="shared" si="78"/>
        <v>0.83</v>
      </c>
      <c r="AZ67" s="8">
        <f t="shared" si="79"/>
        <v>0.2</v>
      </c>
      <c r="BA67" s="8">
        <f t="shared" si="80"/>
        <v>0.47000000000000003</v>
      </c>
      <c r="BB67" s="8">
        <f t="shared" si="81"/>
        <v>0.16</v>
      </c>
      <c r="BC67" s="8"/>
      <c r="BD67" s="8">
        <f t="shared" si="82"/>
        <v>0.20354000000000003</v>
      </c>
      <c r="BE67" s="8">
        <f t="shared" si="83"/>
        <v>4.3540000000000023E-2</v>
      </c>
      <c r="CX67" s="34" t="s">
        <v>340</v>
      </c>
    </row>
    <row r="68" spans="1:102" ht="26.25" x14ac:dyDescent="0.4">
      <c r="A68" s="22" t="s">
        <v>25</v>
      </c>
      <c r="B68">
        <f t="shared" si="67"/>
        <v>0.2978723404255319</v>
      </c>
      <c r="C68">
        <f t="shared" si="68"/>
        <v>0.43137254901960786</v>
      </c>
      <c r="D68">
        <f t="shared" si="65"/>
        <v>0.13350020859407596</v>
      </c>
      <c r="E68">
        <f t="shared" si="66"/>
        <v>36.613272311212825</v>
      </c>
      <c r="F68" s="8">
        <f t="shared" si="69"/>
        <v>0.2978723404255319</v>
      </c>
      <c r="H68">
        <f t="shared" si="70"/>
        <v>0.7021276595744681</v>
      </c>
      <c r="I68">
        <f t="shared" si="71"/>
        <v>0.56862745098039214</v>
      </c>
      <c r="J68">
        <f t="shared" si="72"/>
        <v>0.13350020859407596</v>
      </c>
      <c r="K68">
        <f t="shared" si="73"/>
        <v>21.011162179908084</v>
      </c>
      <c r="L68" s="8">
        <f t="shared" si="74"/>
        <v>0.7021276595744681</v>
      </c>
      <c r="AR68" s="8" t="s">
        <v>23</v>
      </c>
      <c r="AS68" s="8">
        <f>4</f>
        <v>4</v>
      </c>
      <c r="AT68" s="8">
        <v>27</v>
      </c>
      <c r="AU68" s="8">
        <f t="shared" ref="AU68:AU69" si="86">F65</f>
        <v>0.40963855421686746</v>
      </c>
      <c r="AV68" s="8">
        <f t="shared" ref="AV68:AV69" si="87">L65</f>
        <v>0.59036144578313254</v>
      </c>
      <c r="AW68" s="8">
        <v>0.83</v>
      </c>
      <c r="AY68" s="8">
        <f t="shared" si="78"/>
        <v>0.83</v>
      </c>
      <c r="AZ68" s="8">
        <f t="shared" si="79"/>
        <v>0.26</v>
      </c>
      <c r="BA68" s="8">
        <f t="shared" si="80"/>
        <v>0.34</v>
      </c>
      <c r="BB68" s="8">
        <f t="shared" si="81"/>
        <v>0.23</v>
      </c>
      <c r="BC68" s="8"/>
      <c r="BD68" s="8">
        <f t="shared" si="82"/>
        <v>0.264602</v>
      </c>
      <c r="BE68" s="8">
        <f t="shared" si="83"/>
        <v>3.4601999999999994E-2</v>
      </c>
      <c r="CH68" s="34" t="s">
        <v>339</v>
      </c>
    </row>
    <row r="69" spans="1:102" x14ac:dyDescent="0.25">
      <c r="A69" s="22" t="s">
        <v>27</v>
      </c>
      <c r="B69">
        <f t="shared" si="67"/>
        <v>0.11363636363636363</v>
      </c>
      <c r="C69">
        <f t="shared" si="68"/>
        <v>0.53061224489795922</v>
      </c>
      <c r="D69">
        <f t="shared" si="65"/>
        <v>0.41697588126159557</v>
      </c>
      <c r="E69">
        <f t="shared" si="66"/>
        <v>129.44564434845213</v>
      </c>
      <c r="F69" s="8">
        <f t="shared" si="69"/>
        <v>0.11363636363636363</v>
      </c>
      <c r="H69">
        <f t="shared" si="70"/>
        <v>0.88636363636363646</v>
      </c>
      <c r="I69">
        <f t="shared" si="71"/>
        <v>0.46938775510204078</v>
      </c>
      <c r="J69">
        <f t="shared" si="72"/>
        <v>0.41697588126159568</v>
      </c>
      <c r="K69">
        <f t="shared" si="73"/>
        <v>61.512145056448865</v>
      </c>
      <c r="L69" s="8">
        <f t="shared" si="74"/>
        <v>0.88636363636363646</v>
      </c>
      <c r="AR69" s="8" t="s">
        <v>24</v>
      </c>
      <c r="AS69" s="8">
        <f>4</f>
        <v>4</v>
      </c>
      <c r="AT69" s="8">
        <v>42</v>
      </c>
      <c r="AU69" s="8">
        <f t="shared" si="86"/>
        <v>0.3125</v>
      </c>
      <c r="AV69" s="8">
        <f t="shared" si="87"/>
        <v>0.6875</v>
      </c>
      <c r="AW69" s="8">
        <v>0.8</v>
      </c>
      <c r="AY69" s="8">
        <f t="shared" si="78"/>
        <v>0.8</v>
      </c>
      <c r="AZ69" s="8">
        <f t="shared" si="79"/>
        <v>0.28000000000000003</v>
      </c>
      <c r="BA69" s="8">
        <f t="shared" si="80"/>
        <v>0.25</v>
      </c>
      <c r="BB69" s="8">
        <f>AW27</f>
        <v>0.27</v>
      </c>
      <c r="BC69" s="8"/>
      <c r="BD69" s="8">
        <f t="shared" si="82"/>
        <v>0.28495600000000004</v>
      </c>
      <c r="BE69" s="8">
        <f t="shared" si="83"/>
        <v>1.4956000000000025E-2</v>
      </c>
    </row>
    <row r="70" spans="1:102" x14ac:dyDescent="0.25">
      <c r="A70" s="22" t="s">
        <v>28</v>
      </c>
      <c r="B70">
        <f t="shared" si="67"/>
        <v>0</v>
      </c>
      <c r="C70">
        <f t="shared" si="68"/>
        <v>0.53191489361702127</v>
      </c>
      <c r="D70">
        <f t="shared" si="65"/>
        <v>0.53191489361702127</v>
      </c>
      <c r="E70">
        <f t="shared" si="66"/>
        <v>200</v>
      </c>
      <c r="F70" s="8">
        <f t="shared" si="69"/>
        <v>0</v>
      </c>
      <c r="H70">
        <f t="shared" si="70"/>
        <v>1</v>
      </c>
      <c r="I70">
        <f t="shared" si="71"/>
        <v>0.46808510638297873</v>
      </c>
      <c r="J70">
        <f t="shared" si="72"/>
        <v>0.53191489361702127</v>
      </c>
      <c r="K70">
        <f t="shared" si="73"/>
        <v>72.463768115942031</v>
      </c>
      <c r="L70" s="8">
        <f t="shared" si="74"/>
        <v>1</v>
      </c>
      <c r="AR70" s="8" t="s">
        <v>25</v>
      </c>
      <c r="AS70">
        <f>5</f>
        <v>5</v>
      </c>
      <c r="AT70" s="8">
        <v>12</v>
      </c>
      <c r="AU70" s="8">
        <f>F68</f>
        <v>0.2978723404255319</v>
      </c>
      <c r="AV70">
        <f>L68</f>
        <v>0.7021276595744681</v>
      </c>
      <c r="AW70" s="8">
        <v>0.47</v>
      </c>
      <c r="AY70">
        <f>AVERAGE(AY61:AY69)</f>
        <v>0.81222222222222218</v>
      </c>
      <c r="AZ70" s="8">
        <f>_xlfn.STDEV.S(AY61:AY69)</f>
        <v>2.1081851067789165E-2</v>
      </c>
      <c r="BC70" s="8"/>
      <c r="BD70" s="8">
        <f t="shared" si="82"/>
        <v>0.14247800000000002</v>
      </c>
      <c r="BE70" s="8">
        <f t="shared" si="83"/>
        <v>-4.7521999999999981E-2</v>
      </c>
    </row>
    <row r="71" spans="1:102" x14ac:dyDescent="0.25">
      <c r="A71" s="22" t="s">
        <v>29</v>
      </c>
      <c r="B71" s="1">
        <f t="shared" si="67"/>
        <v>0.51162790697674421</v>
      </c>
      <c r="C71" s="1">
        <f t="shared" si="68"/>
        <v>0.63218390804597702</v>
      </c>
      <c r="D71" s="1">
        <f t="shared" si="65"/>
        <v>0.12055600106923281</v>
      </c>
      <c r="E71" s="1">
        <f t="shared" si="66"/>
        <v>21.079691516709509</v>
      </c>
      <c r="F71" s="8">
        <f t="shared" si="69"/>
        <v>0.51162790697674421</v>
      </c>
      <c r="G71" s="1"/>
      <c r="H71" s="1">
        <f t="shared" si="70"/>
        <v>0.48837209302325579</v>
      </c>
      <c r="I71" s="1">
        <f t="shared" si="71"/>
        <v>0.36781609195402298</v>
      </c>
      <c r="J71" s="1">
        <f t="shared" si="72"/>
        <v>0.12055600106923281</v>
      </c>
      <c r="K71" s="1">
        <f t="shared" si="73"/>
        <v>28.161098969715887</v>
      </c>
      <c r="L71" s="8">
        <f t="shared" si="74"/>
        <v>0.48837209302325579</v>
      </c>
      <c r="AR71" s="8" t="s">
        <v>27</v>
      </c>
      <c r="AS71" s="8">
        <f>5</f>
        <v>5</v>
      </c>
      <c r="AT71" s="8">
        <v>27</v>
      </c>
      <c r="AU71" s="8">
        <f t="shared" ref="AU71:AU72" si="88">F69</f>
        <v>0.11363636363636363</v>
      </c>
      <c r="AV71" s="8">
        <f t="shared" ref="AV71:AV72" si="89">L69</f>
        <v>0.88636363636363646</v>
      </c>
      <c r="AW71" s="8">
        <v>0.44</v>
      </c>
      <c r="AY71" s="8"/>
      <c r="AZ71" s="8"/>
      <c r="BB71" s="8"/>
      <c r="BC71" s="8"/>
      <c r="BD71" s="8">
        <f t="shared" si="82"/>
        <v>0.18318600000000002</v>
      </c>
      <c r="BE71" s="8">
        <f t="shared" si="83"/>
        <v>-2.6813999999999977E-2</v>
      </c>
    </row>
    <row r="72" spans="1:102" x14ac:dyDescent="0.25">
      <c r="A72" t="s">
        <v>30</v>
      </c>
      <c r="B72">
        <f t="shared" si="67"/>
        <v>0.36666666666666664</v>
      </c>
      <c r="C72">
        <f t="shared" si="68"/>
        <v>0.32876712328767121</v>
      </c>
      <c r="D72">
        <f t="shared" si="65"/>
        <v>3.7899543378995426E-2</v>
      </c>
      <c r="E72">
        <f t="shared" si="66"/>
        <v>10.899540380827313</v>
      </c>
      <c r="F72" s="8">
        <f t="shared" si="69"/>
        <v>0.36666666666666664</v>
      </c>
      <c r="H72">
        <f t="shared" si="70"/>
        <v>0.6333333333333333</v>
      </c>
      <c r="I72">
        <f t="shared" si="71"/>
        <v>0.67123287671232879</v>
      </c>
      <c r="J72">
        <f t="shared" si="72"/>
        <v>3.7899543378995482E-2</v>
      </c>
      <c r="K72">
        <f t="shared" si="73"/>
        <v>5.8102905145257333</v>
      </c>
      <c r="L72" s="8">
        <f t="shared" si="74"/>
        <v>0.6333333333333333</v>
      </c>
      <c r="AR72" s="8" t="s">
        <v>28</v>
      </c>
      <c r="AS72" s="8">
        <f>5</f>
        <v>5</v>
      </c>
      <c r="AT72" s="8">
        <v>42</v>
      </c>
      <c r="AU72" s="8">
        <f t="shared" si="88"/>
        <v>0</v>
      </c>
      <c r="AV72" s="8">
        <f t="shared" si="89"/>
        <v>1</v>
      </c>
      <c r="AW72" s="8">
        <v>0.41</v>
      </c>
      <c r="AY72" s="8">
        <f>AT28</f>
        <v>0.47</v>
      </c>
      <c r="AZ72" s="8">
        <f t="shared" ref="AZ72:BB72" si="90">AU28</f>
        <v>0.14000000000000001</v>
      </c>
      <c r="BA72" s="8">
        <f t="shared" si="90"/>
        <v>0.14000000000000001</v>
      </c>
      <c r="BB72" s="8">
        <f t="shared" si="90"/>
        <v>0.19</v>
      </c>
      <c r="BC72" s="8"/>
      <c r="BD72" s="8">
        <f t="shared" si="82"/>
        <v>0.20862850000000002</v>
      </c>
      <c r="BE72" s="8">
        <f t="shared" si="83"/>
        <v>3.6285000000000067E-3</v>
      </c>
    </row>
    <row r="73" spans="1:102" x14ac:dyDescent="0.25">
      <c r="A73" t="s">
        <v>31</v>
      </c>
      <c r="B73">
        <f t="shared" si="67"/>
        <v>0.31578947368421051</v>
      </c>
      <c r="C73">
        <f t="shared" si="68"/>
        <v>0.27272727272727271</v>
      </c>
      <c r="D73">
        <f t="shared" si="65"/>
        <v>4.3062200956937802E-2</v>
      </c>
      <c r="E73">
        <f t="shared" si="66"/>
        <v>14.634146341463415</v>
      </c>
      <c r="F73" s="8">
        <f t="shared" si="69"/>
        <v>0.31578947368421051</v>
      </c>
      <c r="H73">
        <f t="shared" si="70"/>
        <v>0.68421052631578938</v>
      </c>
      <c r="I73">
        <f t="shared" si="71"/>
        <v>0.72727272727272729</v>
      </c>
      <c r="J73">
        <f t="shared" si="72"/>
        <v>4.3062200956937913E-2</v>
      </c>
      <c r="K73">
        <f t="shared" si="73"/>
        <v>6.1016949152542539</v>
      </c>
      <c r="L73" s="8">
        <f t="shared" si="74"/>
        <v>0.68421052631578938</v>
      </c>
      <c r="AR73" s="8" t="s">
        <v>30</v>
      </c>
      <c r="AS73">
        <f>8</f>
        <v>8</v>
      </c>
      <c r="AT73" s="8">
        <v>12</v>
      </c>
      <c r="AU73" s="8">
        <f>F72</f>
        <v>0.36666666666666664</v>
      </c>
      <c r="AV73">
        <f>L72</f>
        <v>0.6333333333333333</v>
      </c>
      <c r="AW73">
        <v>0.6</v>
      </c>
      <c r="AY73" s="8">
        <f t="shared" ref="AY73" si="91">AT29</f>
        <v>0.44</v>
      </c>
      <c r="AZ73" s="8">
        <f t="shared" ref="AZ73:AZ74" si="92">AU29</f>
        <v>0.18</v>
      </c>
      <c r="BA73" s="8">
        <f t="shared" ref="BA73:BA74" si="93">AV29</f>
        <v>0.05</v>
      </c>
      <c r="BB73" s="8">
        <f t="shared" ref="BB73:BB74" si="94">AW29</f>
        <v>0.21</v>
      </c>
      <c r="BC73" s="8"/>
      <c r="BD73" s="8">
        <f t="shared" si="82"/>
        <v>0.17300900000000002</v>
      </c>
      <c r="BE73" s="8">
        <f t="shared" si="83"/>
        <v>-3.6990999999999968E-2</v>
      </c>
    </row>
    <row r="74" spans="1:102" x14ac:dyDescent="0.25">
      <c r="A74" t="s">
        <v>32</v>
      </c>
      <c r="B74">
        <f t="shared" si="67"/>
        <v>5.5555555555555552E-2</v>
      </c>
      <c r="C74">
        <f t="shared" si="68"/>
        <v>4.6875E-2</v>
      </c>
      <c r="D74">
        <f t="shared" si="65"/>
        <v>8.6805555555555525E-3</v>
      </c>
      <c r="E74">
        <f t="shared" si="66"/>
        <v>16.949152542372875</v>
      </c>
      <c r="F74" s="8">
        <f t="shared" si="69"/>
        <v>5.5555555555555552E-2</v>
      </c>
      <c r="H74">
        <f t="shared" si="70"/>
        <v>0.94444444444444442</v>
      </c>
      <c r="I74">
        <f t="shared" si="71"/>
        <v>0.953125</v>
      </c>
      <c r="J74">
        <f t="shared" si="72"/>
        <v>8.6805555555555802E-3</v>
      </c>
      <c r="K74">
        <f t="shared" si="73"/>
        <v>0.9149130832570932</v>
      </c>
      <c r="L74" s="8">
        <f t="shared" si="74"/>
        <v>0.94444444444444442</v>
      </c>
      <c r="AR74" s="8" t="s">
        <v>31</v>
      </c>
      <c r="AS74" s="8">
        <f>8</f>
        <v>8</v>
      </c>
      <c r="AT74" s="8">
        <v>27</v>
      </c>
      <c r="AU74" s="8">
        <f t="shared" ref="AU74:AU75" si="95">F73</f>
        <v>0.31578947368421051</v>
      </c>
      <c r="AV74" s="8">
        <f t="shared" ref="AV74:AV75" si="96">L73</f>
        <v>0.68421052631578938</v>
      </c>
      <c r="AW74" s="8">
        <v>0.56999999999999995</v>
      </c>
      <c r="AY74" s="8">
        <f>AT30</f>
        <v>0.41</v>
      </c>
      <c r="AZ74" s="8">
        <f t="shared" si="92"/>
        <v>0.20500000000000002</v>
      </c>
      <c r="BA74" s="8">
        <f t="shared" si="93"/>
        <v>0</v>
      </c>
      <c r="BB74" s="8">
        <f t="shared" si="94"/>
        <v>0.20500000000000002</v>
      </c>
      <c r="BC74" s="8"/>
      <c r="BD74" s="8">
        <f t="shared" si="82"/>
        <v>0.22389400000000001</v>
      </c>
      <c r="BE74" s="8">
        <f t="shared" si="83"/>
        <v>5.3893999999999997E-2</v>
      </c>
    </row>
    <row r="75" spans="1:102" x14ac:dyDescent="0.25">
      <c r="A75" s="1" t="s">
        <v>33</v>
      </c>
      <c r="B75" s="1">
        <f t="shared" si="67"/>
        <v>0.76271186440677963</v>
      </c>
      <c r="C75" s="1">
        <f t="shared" si="68"/>
        <v>0.80263157894736836</v>
      </c>
      <c r="D75" s="1">
        <f t="shared" si="65"/>
        <v>3.9919714540588735E-2</v>
      </c>
      <c r="E75" s="1">
        <f t="shared" si="66"/>
        <v>5.100441658355888</v>
      </c>
      <c r="F75" s="8">
        <f t="shared" si="69"/>
        <v>0.76271186440677963</v>
      </c>
      <c r="G75" s="1"/>
      <c r="H75" s="1">
        <f t="shared" si="70"/>
        <v>0.23728813559322035</v>
      </c>
      <c r="I75" s="1">
        <f t="shared" si="71"/>
        <v>0.19736842105263158</v>
      </c>
      <c r="J75" s="1">
        <f t="shared" si="72"/>
        <v>3.9919714540588763E-2</v>
      </c>
      <c r="K75" s="1">
        <f t="shared" si="73"/>
        <v>18.368394048229863</v>
      </c>
      <c r="L75" s="8">
        <f t="shared" si="74"/>
        <v>0.23728813559322035</v>
      </c>
      <c r="AR75" s="8" t="s">
        <v>32</v>
      </c>
      <c r="AS75" s="8">
        <f>8</f>
        <v>8</v>
      </c>
      <c r="AT75" s="8">
        <v>42</v>
      </c>
      <c r="AU75" s="8">
        <f t="shared" si="95"/>
        <v>5.5555555555555552E-2</v>
      </c>
      <c r="AV75" s="8">
        <f t="shared" si="96"/>
        <v>0.94444444444444442</v>
      </c>
      <c r="AW75" s="8">
        <v>0.54</v>
      </c>
      <c r="AY75" s="8">
        <f>AVERAGE(AY72:AY74)</f>
        <v>0.43999999999999995</v>
      </c>
      <c r="AZ75" s="8">
        <f>_xlfn.STDEV.S(AY72:AY74)</f>
        <v>0.03</v>
      </c>
      <c r="BA75" s="8"/>
      <c r="BB75" s="8"/>
      <c r="BC75" s="8"/>
      <c r="BD75" s="8">
        <f t="shared" si="82"/>
        <v>0.31548700000000002</v>
      </c>
      <c r="BE75" s="8">
        <f t="shared" si="83"/>
        <v>0.11548700000000001</v>
      </c>
    </row>
    <row r="76" spans="1:102" x14ac:dyDescent="0.25">
      <c r="A76" t="s">
        <v>34</v>
      </c>
      <c r="B76">
        <f t="shared" si="67"/>
        <v>0.56666666666666665</v>
      </c>
      <c r="C76">
        <f t="shared" si="68"/>
        <v>0.41095890410958902</v>
      </c>
      <c r="D76">
        <f t="shared" si="65"/>
        <v>0.15570776255707763</v>
      </c>
      <c r="E76">
        <f t="shared" si="66"/>
        <v>31.854273703876697</v>
      </c>
      <c r="F76" s="8">
        <f t="shared" si="69"/>
        <v>0.56666666666666665</v>
      </c>
      <c r="H76">
        <f t="shared" si="70"/>
        <v>0.43333333333333335</v>
      </c>
      <c r="I76">
        <f t="shared" si="71"/>
        <v>0.58904109589041087</v>
      </c>
      <c r="J76">
        <f t="shared" si="72"/>
        <v>0.15570776255707752</v>
      </c>
      <c r="K76">
        <f t="shared" si="73"/>
        <v>30.460026797677518</v>
      </c>
      <c r="L76" s="8">
        <f t="shared" si="74"/>
        <v>0.43333333333333335</v>
      </c>
      <c r="AR76" s="1" t="s">
        <v>34</v>
      </c>
      <c r="AS76">
        <f>9</f>
        <v>9</v>
      </c>
      <c r="AT76" s="8">
        <v>12</v>
      </c>
      <c r="AU76" s="8">
        <f>F76</f>
        <v>0.56666666666666665</v>
      </c>
      <c r="AV76">
        <f>L76</f>
        <v>0.43333333333333335</v>
      </c>
      <c r="AW76" s="8">
        <v>0.6</v>
      </c>
      <c r="AZ76" s="8"/>
      <c r="BC76" s="8"/>
      <c r="BD76" s="8">
        <f t="shared" si="82"/>
        <v>0.111947</v>
      </c>
      <c r="BE76" s="8">
        <f t="shared" si="83"/>
        <v>-3.805299999999999E-2</v>
      </c>
    </row>
    <row r="77" spans="1:102" x14ac:dyDescent="0.25">
      <c r="A77" t="s">
        <v>35</v>
      </c>
      <c r="B77">
        <f t="shared" si="67"/>
        <v>0.48275862068965519</v>
      </c>
      <c r="C77">
        <f t="shared" si="68"/>
        <v>9.0909090909090912E-2</v>
      </c>
      <c r="D77">
        <f t="shared" si="65"/>
        <v>0.39184952978056431</v>
      </c>
      <c r="E77">
        <f t="shared" si="66"/>
        <v>136.61202185792351</v>
      </c>
      <c r="F77" s="8">
        <f t="shared" si="69"/>
        <v>0.48275862068965519</v>
      </c>
      <c r="H77">
        <f t="shared" si="70"/>
        <v>0.51724137931034486</v>
      </c>
      <c r="I77">
        <f t="shared" si="71"/>
        <v>0.90909090909090906</v>
      </c>
      <c r="J77">
        <f t="shared" si="72"/>
        <v>0.3918495297805642</v>
      </c>
      <c r="K77">
        <f t="shared" si="73"/>
        <v>54.945054945054942</v>
      </c>
      <c r="L77" s="8">
        <f t="shared" si="74"/>
        <v>0.51724137931034486</v>
      </c>
      <c r="AR77" s="8" t="s">
        <v>35</v>
      </c>
      <c r="AS77" s="8">
        <f>9</f>
        <v>9</v>
      </c>
      <c r="AT77" s="8">
        <v>27</v>
      </c>
      <c r="AU77" s="8">
        <f t="shared" ref="AU77:AU78" si="97">F77</f>
        <v>0.48275862068965519</v>
      </c>
      <c r="AV77" s="8">
        <f t="shared" ref="AV77:AV78" si="98">L77</f>
        <v>0.51724137931034486</v>
      </c>
      <c r="AW77" s="8">
        <v>0.57999999999999996</v>
      </c>
      <c r="AY77" s="8">
        <f>AT31</f>
        <v>0.6</v>
      </c>
      <c r="AZ77" s="8">
        <f t="shared" ref="AZ77:BB77" si="99">AU31</f>
        <v>0.17</v>
      </c>
      <c r="BA77" s="8">
        <f t="shared" si="99"/>
        <v>0.22</v>
      </c>
      <c r="BB77" s="8">
        <f t="shared" si="99"/>
        <v>0.21</v>
      </c>
      <c r="BC77" s="8"/>
      <c r="BD77" s="8">
        <f t="shared" si="82"/>
        <v>0.15265500000000001</v>
      </c>
      <c r="BE77" s="8">
        <f t="shared" si="83"/>
        <v>2.6550000000000185E-3</v>
      </c>
    </row>
    <row r="78" spans="1:102" x14ac:dyDescent="0.25">
      <c r="A78" t="s">
        <v>36</v>
      </c>
      <c r="B78">
        <f t="shared" si="67"/>
        <v>0.27272727272727271</v>
      </c>
      <c r="C78">
        <f t="shared" si="68"/>
        <v>0.26153846153846155</v>
      </c>
      <c r="D78">
        <f t="shared" si="65"/>
        <v>1.1188811188811154E-2</v>
      </c>
      <c r="E78">
        <f t="shared" si="66"/>
        <v>4.1884816753926577</v>
      </c>
      <c r="F78" s="8">
        <f t="shared" si="69"/>
        <v>0.27272727272727271</v>
      </c>
      <c r="H78">
        <f t="shared" si="70"/>
        <v>0.72727272727272729</v>
      </c>
      <c r="I78">
        <f t="shared" si="71"/>
        <v>0.7384615384615385</v>
      </c>
      <c r="J78">
        <f t="shared" si="72"/>
        <v>1.118881118881121E-2</v>
      </c>
      <c r="K78">
        <f t="shared" si="73"/>
        <v>1.5267175572519112</v>
      </c>
      <c r="L78" s="8">
        <f t="shared" si="74"/>
        <v>0.72727272727272729</v>
      </c>
      <c r="AR78" s="8" t="s">
        <v>36</v>
      </c>
      <c r="AS78" s="8">
        <f>9</f>
        <v>9</v>
      </c>
      <c r="AT78" s="8">
        <v>42</v>
      </c>
      <c r="AU78" s="8">
        <f t="shared" si="97"/>
        <v>0.27272727272727271</v>
      </c>
      <c r="AV78" s="8">
        <f t="shared" si="98"/>
        <v>0.72727272727272729</v>
      </c>
      <c r="AW78" s="8">
        <v>0.55000000000000004</v>
      </c>
      <c r="AY78" s="8">
        <f t="shared" ref="AY78:AY80" si="100">AT32</f>
        <v>0.56999999999999995</v>
      </c>
      <c r="AZ78" s="8">
        <f t="shared" ref="AZ78:AZ80" si="101">AU32</f>
        <v>0.22</v>
      </c>
      <c r="BA78" s="8">
        <f t="shared" ref="BA78:BA80" si="102">AV32</f>
        <v>0.18</v>
      </c>
      <c r="BB78" s="8">
        <f t="shared" ref="BB78:BB80" si="103">AW32</f>
        <v>0.17</v>
      </c>
      <c r="BC78" s="8"/>
      <c r="BD78" s="8">
        <f t="shared" si="82"/>
        <v>0.15265500000000001</v>
      </c>
      <c r="BE78" s="8">
        <f t="shared" si="83"/>
        <v>-9.7344999999999987E-2</v>
      </c>
    </row>
    <row r="79" spans="1:102" x14ac:dyDescent="0.25">
      <c r="A79" s="1" t="s">
        <v>37</v>
      </c>
      <c r="B79" s="1">
        <f t="shared" si="67"/>
        <v>0.8</v>
      </c>
      <c r="C79" s="1">
        <f t="shared" si="68"/>
        <v>0.85526315789473684</v>
      </c>
      <c r="D79" s="1">
        <f t="shared" si="65"/>
        <v>5.5263157894736792E-2</v>
      </c>
      <c r="E79" s="1">
        <f t="shared" si="66"/>
        <v>6.6772655007949062</v>
      </c>
      <c r="F79" s="8">
        <f t="shared" si="69"/>
        <v>0.8</v>
      </c>
      <c r="G79" s="1"/>
      <c r="H79" s="1">
        <f t="shared" si="70"/>
        <v>0.2</v>
      </c>
      <c r="I79" s="1">
        <f t="shared" si="71"/>
        <v>0.14473684210526316</v>
      </c>
      <c r="J79" s="1">
        <f t="shared" si="72"/>
        <v>5.5263157894736847E-2</v>
      </c>
      <c r="K79" s="1">
        <f t="shared" si="73"/>
        <v>32.061068702290079</v>
      </c>
      <c r="L79" s="8">
        <f t="shared" si="74"/>
        <v>0.2</v>
      </c>
      <c r="AR79" s="8" t="s">
        <v>38</v>
      </c>
      <c r="AS79">
        <f>10</f>
        <v>10</v>
      </c>
      <c r="AT79" s="8">
        <v>12</v>
      </c>
      <c r="AU79" s="8">
        <f>F80</f>
        <v>0.41176470588235292</v>
      </c>
      <c r="AV79">
        <f>L80</f>
        <v>0.58823529411764708</v>
      </c>
      <c r="AW79" s="8">
        <v>0.68</v>
      </c>
      <c r="AY79" s="8">
        <f t="shared" si="100"/>
        <v>0.54</v>
      </c>
      <c r="AZ79" s="8">
        <f t="shared" si="101"/>
        <v>0.31</v>
      </c>
      <c r="BA79" s="8">
        <f t="shared" si="102"/>
        <v>0.03</v>
      </c>
      <c r="BB79" s="8">
        <f t="shared" si="103"/>
        <v>0.2</v>
      </c>
      <c r="BC79" s="8"/>
      <c r="BD79" s="8">
        <f t="shared" si="82"/>
        <v>0.21371699999999999</v>
      </c>
      <c r="BE79" s="8">
        <f t="shared" si="83"/>
        <v>2.3716999999999988E-2</v>
      </c>
    </row>
    <row r="80" spans="1:102" x14ac:dyDescent="0.25">
      <c r="A80" t="s">
        <v>38</v>
      </c>
      <c r="B80">
        <f t="shared" si="67"/>
        <v>0.41176470588235292</v>
      </c>
      <c r="C80">
        <f t="shared" si="68"/>
        <v>0.41095890410958902</v>
      </c>
      <c r="D80">
        <f t="shared" si="65"/>
        <v>8.058017727639033E-4</v>
      </c>
      <c r="E80">
        <f t="shared" si="66"/>
        <v>0.19588638589618101</v>
      </c>
      <c r="F80" s="8">
        <f t="shared" si="69"/>
        <v>0.41176470588235292</v>
      </c>
      <c r="H80">
        <f t="shared" si="70"/>
        <v>0.58823529411764708</v>
      </c>
      <c r="I80">
        <f t="shared" si="71"/>
        <v>0.58904109589041087</v>
      </c>
      <c r="J80">
        <f t="shared" si="72"/>
        <v>8.0580177276379228E-4</v>
      </c>
      <c r="K80">
        <f t="shared" si="73"/>
        <v>0.13689253935658677</v>
      </c>
      <c r="L80" s="8">
        <f t="shared" si="74"/>
        <v>0.58823529411764708</v>
      </c>
      <c r="AR80" s="8" t="s">
        <v>39</v>
      </c>
      <c r="AS80" s="8">
        <f>10</f>
        <v>10</v>
      </c>
      <c r="AT80" s="8">
        <v>27</v>
      </c>
      <c r="AU80" s="8">
        <f t="shared" ref="AU80:AU81" si="104">F81</f>
        <v>0.31147540983606559</v>
      </c>
      <c r="AV80" s="8">
        <f t="shared" ref="AV80:AV81" si="105">L81</f>
        <v>0.68852459016393441</v>
      </c>
      <c r="AW80" s="8">
        <v>0.61</v>
      </c>
      <c r="AY80" s="8">
        <f t="shared" si="100"/>
        <v>0.6</v>
      </c>
      <c r="AZ80" s="8">
        <f t="shared" si="101"/>
        <v>0.11</v>
      </c>
      <c r="BA80" s="8">
        <f t="shared" si="102"/>
        <v>0.34</v>
      </c>
      <c r="BB80" s="8">
        <f t="shared" si="103"/>
        <v>0.15</v>
      </c>
      <c r="BC80" s="8"/>
      <c r="BD80" s="8">
        <f t="shared" si="82"/>
        <v>0.21371699999999999</v>
      </c>
      <c r="BE80" s="8">
        <f t="shared" si="83"/>
        <v>3.7169999999999981E-3</v>
      </c>
    </row>
    <row r="81" spans="1:57" x14ac:dyDescent="0.25">
      <c r="A81" t="s">
        <v>39</v>
      </c>
      <c r="B81">
        <f t="shared" si="67"/>
        <v>0.31147540983606559</v>
      </c>
      <c r="C81">
        <f t="shared" si="68"/>
        <v>0.29166666666666669</v>
      </c>
      <c r="D81">
        <f t="shared" si="65"/>
        <v>1.9808743169398901E-2</v>
      </c>
      <c r="E81">
        <f t="shared" si="66"/>
        <v>6.5685164212910516</v>
      </c>
      <c r="F81" s="8">
        <f t="shared" si="69"/>
        <v>0.31147540983606559</v>
      </c>
      <c r="H81">
        <f t="shared" si="70"/>
        <v>0.68852459016393441</v>
      </c>
      <c r="I81">
        <f t="shared" si="71"/>
        <v>0.70833333333333326</v>
      </c>
      <c r="J81">
        <f t="shared" si="72"/>
        <v>1.9808743169398846E-2</v>
      </c>
      <c r="K81">
        <f t="shared" si="73"/>
        <v>2.836185819070896</v>
      </c>
      <c r="L81" s="8">
        <f t="shared" si="74"/>
        <v>0.68852459016393441</v>
      </c>
      <c r="AR81" s="8" t="s">
        <v>40</v>
      </c>
      <c r="AS81" s="8">
        <f>10</f>
        <v>10</v>
      </c>
      <c r="AT81" s="8">
        <v>42</v>
      </c>
      <c r="AU81" s="8">
        <f t="shared" si="104"/>
        <v>0.29090909090909089</v>
      </c>
      <c r="AV81" s="8">
        <f t="shared" si="105"/>
        <v>0.70909090909090899</v>
      </c>
      <c r="AW81" s="8">
        <v>0.55000000000000004</v>
      </c>
      <c r="AY81" s="8">
        <f t="shared" ref="AY81:AY82" si="106">AT35</f>
        <v>0.57999999999999996</v>
      </c>
      <c r="AZ81" s="8">
        <f t="shared" ref="AZ81:AZ82" si="107">AU35</f>
        <v>0.15</v>
      </c>
      <c r="BA81" s="8">
        <f t="shared" ref="BA81:BA82" si="108">AV35</f>
        <v>0.28000000000000003</v>
      </c>
      <c r="BB81" s="8">
        <f t="shared" ref="BB81:BB82" si="109">AW35</f>
        <v>0.15</v>
      </c>
      <c r="BC81" s="8"/>
      <c r="BD81" s="8">
        <f t="shared" si="82"/>
        <v>0.24424799999999999</v>
      </c>
      <c r="BE81" s="8">
        <f t="shared" si="83"/>
        <v>9.4247999999999998E-2</v>
      </c>
    </row>
    <row r="82" spans="1:57" x14ac:dyDescent="0.25">
      <c r="A82" t="s">
        <v>40</v>
      </c>
      <c r="B82">
        <f t="shared" si="67"/>
        <v>0.29090909090909089</v>
      </c>
      <c r="C82">
        <f t="shared" si="68"/>
        <v>0.25757575757575757</v>
      </c>
      <c r="D82">
        <f t="shared" si="65"/>
        <v>3.3333333333333326E-2</v>
      </c>
      <c r="E82">
        <f t="shared" si="66"/>
        <v>12.154696132596683</v>
      </c>
      <c r="F82" s="8">
        <f t="shared" si="69"/>
        <v>0.29090909090909089</v>
      </c>
      <c r="H82">
        <f t="shared" si="70"/>
        <v>0.70909090909090899</v>
      </c>
      <c r="I82">
        <f t="shared" si="71"/>
        <v>0.74242424242424243</v>
      </c>
      <c r="J82">
        <f t="shared" si="72"/>
        <v>3.3333333333333437E-2</v>
      </c>
      <c r="K82">
        <f t="shared" si="73"/>
        <v>4.5929018789144198</v>
      </c>
      <c r="L82" s="8">
        <f t="shared" si="74"/>
        <v>0.70909090909090899</v>
      </c>
      <c r="AR82" s="8" t="s">
        <v>42</v>
      </c>
      <c r="AS82">
        <f>11</f>
        <v>11</v>
      </c>
      <c r="AT82" s="8">
        <v>12</v>
      </c>
      <c r="AU82" s="8">
        <f>F84</f>
        <v>0.74149659863945583</v>
      </c>
      <c r="AV82">
        <f>L84</f>
        <v>0.25850340136054423</v>
      </c>
      <c r="AW82">
        <v>1.47</v>
      </c>
      <c r="AY82" s="8">
        <f t="shared" si="106"/>
        <v>0.55000000000000004</v>
      </c>
      <c r="AZ82" s="8">
        <f t="shared" si="107"/>
        <v>0.15</v>
      </c>
      <c r="BA82" s="8">
        <f t="shared" si="108"/>
        <v>0.15</v>
      </c>
      <c r="BB82" s="8">
        <f t="shared" si="109"/>
        <v>0.25</v>
      </c>
      <c r="BC82" s="8"/>
      <c r="BD82" s="8">
        <f t="shared" si="82"/>
        <v>9.1593000000000008E-2</v>
      </c>
      <c r="BE82" s="8">
        <f t="shared" si="83"/>
        <v>-0.19840699999999997</v>
      </c>
    </row>
    <row r="83" spans="1:57" x14ac:dyDescent="0.25">
      <c r="A83" s="1" t="s">
        <v>41</v>
      </c>
      <c r="B83" s="1">
        <f t="shared" si="67"/>
        <v>0.68333333333333335</v>
      </c>
      <c r="C83" s="1">
        <f t="shared" si="68"/>
        <v>0.76623376623376627</v>
      </c>
      <c r="D83" s="1">
        <f t="shared" si="65"/>
        <v>8.2900432900432919E-2</v>
      </c>
      <c r="E83" s="1">
        <f t="shared" si="66"/>
        <v>11.437957294310888</v>
      </c>
      <c r="F83" s="8">
        <f t="shared" si="69"/>
        <v>0.68333333333333335</v>
      </c>
      <c r="G83" s="1"/>
      <c r="H83" s="1">
        <f t="shared" si="70"/>
        <v>0.31666666666666665</v>
      </c>
      <c r="I83" s="1">
        <f t="shared" si="71"/>
        <v>0.23376623376623376</v>
      </c>
      <c r="J83" s="1">
        <f t="shared" si="72"/>
        <v>8.2900432900432891E-2</v>
      </c>
      <c r="K83" s="1">
        <f t="shared" si="73"/>
        <v>30.121903263861583</v>
      </c>
      <c r="L83" s="8">
        <f t="shared" si="74"/>
        <v>0.31666666666666665</v>
      </c>
      <c r="AR83" s="8" t="s">
        <v>43</v>
      </c>
      <c r="AS83" s="8">
        <f>11</f>
        <v>11</v>
      </c>
      <c r="AT83" s="8">
        <v>27</v>
      </c>
      <c r="AU83" s="8">
        <f t="shared" ref="AU83:AU84" si="110">F85</f>
        <v>0.58278145695364236</v>
      </c>
      <c r="AV83" s="8">
        <f t="shared" ref="AV83:AV84" si="111">L85</f>
        <v>0.41721854304635764</v>
      </c>
      <c r="AW83" s="8">
        <v>1.51</v>
      </c>
      <c r="AY83" s="8">
        <f>AT38</f>
        <v>0.61</v>
      </c>
      <c r="AZ83" s="8">
        <f t="shared" ref="AZ83:BB83" si="112">AU38</f>
        <v>0.21</v>
      </c>
      <c r="BA83" s="8">
        <f t="shared" si="112"/>
        <v>0.19</v>
      </c>
      <c r="BB83" s="8">
        <f t="shared" si="112"/>
        <v>0.21</v>
      </c>
      <c r="BC83" s="8"/>
      <c r="BD83" s="8">
        <f t="shared" si="82"/>
        <v>0.28495600000000004</v>
      </c>
      <c r="BE83" s="8">
        <f t="shared" si="83"/>
        <v>-6.5043999999999991E-2</v>
      </c>
    </row>
    <row r="84" spans="1:57" x14ac:dyDescent="0.25">
      <c r="A84" t="s">
        <v>42</v>
      </c>
      <c r="B84">
        <f t="shared" si="67"/>
        <v>0.74149659863945583</v>
      </c>
      <c r="C84">
        <f t="shared" si="68"/>
        <v>0.67701863354037262</v>
      </c>
      <c r="D84">
        <f t="shared" si="65"/>
        <v>6.4477965099083212E-2</v>
      </c>
      <c r="E84">
        <f t="shared" si="66"/>
        <v>9.0909090909091059</v>
      </c>
      <c r="F84" s="8">
        <f t="shared" si="69"/>
        <v>0.74149659863945583</v>
      </c>
      <c r="H84">
        <f t="shared" si="70"/>
        <v>0.25850340136054423</v>
      </c>
      <c r="I84">
        <f t="shared" si="71"/>
        <v>0.32298136645962733</v>
      </c>
      <c r="J84">
        <f t="shared" si="72"/>
        <v>6.4477965099083101E-2</v>
      </c>
      <c r="K84">
        <f t="shared" si="73"/>
        <v>22.177009155645976</v>
      </c>
      <c r="L84" s="8">
        <f t="shared" si="74"/>
        <v>0.25850340136054423</v>
      </c>
      <c r="AR84" s="8" t="s">
        <v>44</v>
      </c>
      <c r="AS84" s="8">
        <f>11</f>
        <v>11</v>
      </c>
      <c r="AT84" s="8">
        <v>42</v>
      </c>
      <c r="AU84" s="8">
        <f t="shared" si="110"/>
        <v>0.54794520547945202</v>
      </c>
      <c r="AV84" s="8">
        <f t="shared" si="111"/>
        <v>0.45205479452054792</v>
      </c>
      <c r="AW84" s="8">
        <v>1.46</v>
      </c>
      <c r="AY84" s="8">
        <f t="shared" ref="AY84" si="113">AT39</f>
        <v>0.55000000000000004</v>
      </c>
      <c r="AZ84" s="8">
        <f t="shared" ref="AZ84" si="114">AU39</f>
        <v>0.24</v>
      </c>
      <c r="BA84" s="8">
        <f t="shared" ref="BA84" si="115">AV39</f>
        <v>0.16</v>
      </c>
      <c r="BB84" s="8">
        <f t="shared" ref="BB84" si="116">AW39</f>
        <v>0.15</v>
      </c>
      <c r="BC84" s="8"/>
      <c r="BD84" s="8">
        <f t="shared" si="82"/>
        <v>0.24424799999999999</v>
      </c>
      <c r="BE84" s="8">
        <f t="shared" si="83"/>
        <v>-0.17575199999999999</v>
      </c>
    </row>
    <row r="85" spans="1:57" x14ac:dyDescent="0.25">
      <c r="A85" t="s">
        <v>43</v>
      </c>
      <c r="B85">
        <f t="shared" si="67"/>
        <v>0.58278145695364236</v>
      </c>
      <c r="C85">
        <f t="shared" si="68"/>
        <v>0.56725146198830412</v>
      </c>
      <c r="D85">
        <f t="shared" si="65"/>
        <v>1.5529994965338245E-2</v>
      </c>
      <c r="E85">
        <f t="shared" si="66"/>
        <v>2.7007913790200293</v>
      </c>
      <c r="F85" s="8">
        <f t="shared" si="69"/>
        <v>0.58278145695364236</v>
      </c>
      <c r="H85">
        <f t="shared" si="70"/>
        <v>0.41721854304635764</v>
      </c>
      <c r="I85">
        <f t="shared" si="71"/>
        <v>0.43274853801169588</v>
      </c>
      <c r="J85">
        <f t="shared" si="72"/>
        <v>1.5529994965338245E-2</v>
      </c>
      <c r="K85">
        <f t="shared" si="73"/>
        <v>3.6542579851460228</v>
      </c>
      <c r="L85" s="8">
        <f t="shared" si="74"/>
        <v>0.41721854304635764</v>
      </c>
      <c r="AR85" s="1" t="s">
        <v>46</v>
      </c>
      <c r="AS85">
        <f>12</f>
        <v>12</v>
      </c>
      <c r="AT85" s="8">
        <v>12</v>
      </c>
      <c r="AU85" s="8">
        <f>F88</f>
        <v>0.57823129251700678</v>
      </c>
      <c r="AV85">
        <f>L88</f>
        <v>0.42176870748299322</v>
      </c>
      <c r="AW85" s="8">
        <v>1.47</v>
      </c>
      <c r="AY85" s="8">
        <f>AT48</f>
        <v>0.63</v>
      </c>
      <c r="AZ85" s="8">
        <f t="shared" ref="AZ85:BB85" si="117">AU48</f>
        <v>0.25</v>
      </c>
      <c r="BA85" s="8">
        <f t="shared" si="117"/>
        <v>0.2</v>
      </c>
      <c r="BB85" s="8">
        <f t="shared" si="117"/>
        <v>0.18</v>
      </c>
      <c r="BC85" s="8"/>
      <c r="BD85" s="8">
        <f t="shared" si="82"/>
        <v>0.23407100000000003</v>
      </c>
      <c r="BE85" s="8">
        <f t="shared" si="83"/>
        <v>-0.15592899999999998</v>
      </c>
    </row>
    <row r="86" spans="1:57" x14ac:dyDescent="0.25">
      <c r="A86" t="s">
        <v>44</v>
      </c>
      <c r="B86">
        <f t="shared" si="67"/>
        <v>0.54794520547945202</v>
      </c>
      <c r="C86">
        <f t="shared" si="68"/>
        <v>0.52601156069364163</v>
      </c>
      <c r="D86">
        <f t="shared" si="65"/>
        <v>2.1933644785810391E-2</v>
      </c>
      <c r="E86">
        <f t="shared" si="66"/>
        <v>4.0846420408464112</v>
      </c>
      <c r="F86" s="8">
        <f t="shared" si="69"/>
        <v>0.54794520547945202</v>
      </c>
      <c r="H86">
        <f t="shared" si="70"/>
        <v>0.45205479452054792</v>
      </c>
      <c r="I86">
        <f t="shared" si="71"/>
        <v>0.47398843930635837</v>
      </c>
      <c r="J86">
        <f t="shared" si="72"/>
        <v>2.1933644785810447E-2</v>
      </c>
      <c r="K86">
        <f t="shared" si="73"/>
        <v>4.7370671227020127</v>
      </c>
      <c r="L86" s="8">
        <f t="shared" si="74"/>
        <v>0.45205479452054792</v>
      </c>
      <c r="AR86" s="8" t="s">
        <v>47</v>
      </c>
      <c r="AS86" s="8">
        <f>12</f>
        <v>12</v>
      </c>
      <c r="AT86" s="8">
        <v>27</v>
      </c>
      <c r="AU86" s="8">
        <f t="shared" ref="AU86:AU87" si="118">F89</f>
        <v>0.6333333333333333</v>
      </c>
      <c r="AV86" s="8">
        <f t="shared" ref="AV86:AV87" si="119">L89</f>
        <v>0.3666666666666667</v>
      </c>
      <c r="AW86" s="8">
        <v>1.5</v>
      </c>
      <c r="AY86" s="8">
        <f>AT51</f>
        <v>0.55000000000000004</v>
      </c>
      <c r="AZ86" s="8">
        <f t="shared" ref="AZ86:BB86" si="120">AU51</f>
        <v>0.27500000000000002</v>
      </c>
      <c r="BA86" s="8">
        <f t="shared" si="120"/>
        <v>0</v>
      </c>
      <c r="BB86" s="8">
        <f t="shared" si="120"/>
        <v>0.27500000000000002</v>
      </c>
      <c r="BC86" s="8"/>
      <c r="BD86" s="8">
        <f t="shared" si="82"/>
        <v>0.23407100000000003</v>
      </c>
      <c r="BE86" s="8">
        <f t="shared" si="83"/>
        <v>-8.5928999999999978E-2</v>
      </c>
    </row>
    <row r="87" spans="1:57" x14ac:dyDescent="0.25">
      <c r="A87" s="1" t="s">
        <v>45</v>
      </c>
      <c r="B87" s="1">
        <f t="shared" si="67"/>
        <v>0.53741496598639449</v>
      </c>
      <c r="C87" s="1">
        <f t="shared" si="68"/>
        <v>0.59883720930232553</v>
      </c>
      <c r="D87" s="1">
        <f t="shared" si="65"/>
        <v>6.1422243315931047E-2</v>
      </c>
      <c r="E87" s="1">
        <f t="shared" si="66"/>
        <v>10.811375265411263</v>
      </c>
      <c r="F87" s="8">
        <f t="shared" si="69"/>
        <v>0.53741496598639449</v>
      </c>
      <c r="G87" s="1"/>
      <c r="H87" s="1">
        <f t="shared" si="70"/>
        <v>0.46258503401360546</v>
      </c>
      <c r="I87" s="1">
        <f t="shared" si="71"/>
        <v>0.40116279069767441</v>
      </c>
      <c r="J87" s="1">
        <f t="shared" si="72"/>
        <v>6.1422243315931047E-2</v>
      </c>
      <c r="K87" s="1">
        <f t="shared" si="73"/>
        <v>14.222262924126568</v>
      </c>
      <c r="L87" s="8">
        <f t="shared" si="74"/>
        <v>0.46258503401360546</v>
      </c>
      <c r="AR87" s="8" t="s">
        <v>48</v>
      </c>
      <c r="AS87" s="8">
        <f>12</f>
        <v>12</v>
      </c>
      <c r="AT87" s="8">
        <v>42</v>
      </c>
      <c r="AU87" s="8">
        <f t="shared" si="118"/>
        <v>0.64189189189189189</v>
      </c>
      <c r="AV87" s="8">
        <f t="shared" si="119"/>
        <v>0.35810810810810811</v>
      </c>
      <c r="AW87" s="8">
        <v>1.48</v>
      </c>
      <c r="AY87" s="8">
        <f>AVERAGE(AY77:AY86)</f>
        <v>0.57800000000000007</v>
      </c>
      <c r="AZ87" s="8">
        <f>_xlfn.STDEV.S(AZ77:AZ86)</f>
        <v>6.2895415837192187E-2</v>
      </c>
      <c r="BB87" s="8"/>
      <c r="BC87" s="8"/>
      <c r="BD87" s="8">
        <f t="shared" si="82"/>
        <v>0.20354000000000003</v>
      </c>
      <c r="BE87" s="8">
        <f t="shared" si="83"/>
        <v>-0.12645999999999999</v>
      </c>
    </row>
    <row r="88" spans="1:57" x14ac:dyDescent="0.25">
      <c r="A88" t="s">
        <v>46</v>
      </c>
      <c r="B88">
        <f t="shared" si="67"/>
        <v>0.57823129251700678</v>
      </c>
      <c r="C88">
        <f t="shared" si="68"/>
        <v>0.5662650602409639</v>
      </c>
      <c r="D88">
        <f t="shared" si="65"/>
        <v>1.1966232276042876E-2</v>
      </c>
      <c r="E88">
        <f t="shared" si="66"/>
        <v>2.0910913778286901</v>
      </c>
      <c r="F88" s="8">
        <f>R34</f>
        <v>0.57823129251700678</v>
      </c>
      <c r="H88">
        <f t="shared" si="70"/>
        <v>0.42176870748299322</v>
      </c>
      <c r="I88">
        <f t="shared" si="71"/>
        <v>0.4337349397590361</v>
      </c>
      <c r="J88">
        <f t="shared" si="72"/>
        <v>1.1966232276042876E-2</v>
      </c>
      <c r="K88">
        <f t="shared" si="73"/>
        <v>2.7974707798428651</v>
      </c>
      <c r="L88" s="8">
        <f t="shared" si="74"/>
        <v>0.42176870748299322</v>
      </c>
      <c r="AR88" t="s">
        <v>56</v>
      </c>
      <c r="AS88">
        <v>6</v>
      </c>
      <c r="AT88">
        <v>12</v>
      </c>
      <c r="AU88">
        <f>F92</f>
        <v>0</v>
      </c>
      <c r="AV88">
        <f>L92</f>
        <v>1</v>
      </c>
      <c r="AW88">
        <v>0.84</v>
      </c>
      <c r="AZ88" s="8"/>
      <c r="BC88" s="8"/>
      <c r="BD88" s="8">
        <f t="shared" si="82"/>
        <v>0.42743399999999998</v>
      </c>
      <c r="BE88" s="8">
        <f t="shared" si="83"/>
        <v>7.4339999999999962E-3</v>
      </c>
    </row>
    <row r="89" spans="1:57" x14ac:dyDescent="0.25">
      <c r="A89" t="s">
        <v>47</v>
      </c>
      <c r="B89">
        <f t="shared" si="67"/>
        <v>0.6333333333333333</v>
      </c>
      <c r="C89">
        <f t="shared" si="68"/>
        <v>0.66463414634146345</v>
      </c>
      <c r="D89">
        <f t="shared" si="65"/>
        <v>3.1300813008130146E-2</v>
      </c>
      <c r="E89">
        <f t="shared" si="66"/>
        <v>4.8230504227998852</v>
      </c>
      <c r="F89" s="8">
        <f t="shared" si="69"/>
        <v>0.6333333333333333</v>
      </c>
      <c r="H89">
        <f t="shared" si="70"/>
        <v>0.3666666666666667</v>
      </c>
      <c r="I89">
        <f t="shared" si="71"/>
        <v>0.33536585365853655</v>
      </c>
      <c r="J89">
        <f t="shared" si="72"/>
        <v>3.1300813008130146E-2</v>
      </c>
      <c r="K89">
        <f t="shared" si="73"/>
        <v>8.9171974522293187</v>
      </c>
      <c r="L89" s="8">
        <f t="shared" si="74"/>
        <v>0.3666666666666667</v>
      </c>
      <c r="AR89" s="8" t="s">
        <v>57</v>
      </c>
      <c r="AS89">
        <f>6</f>
        <v>6</v>
      </c>
      <c r="AT89" s="8">
        <v>27</v>
      </c>
      <c r="AU89" s="8">
        <f>F93</f>
        <v>0.3</v>
      </c>
      <c r="AV89">
        <f>L93</f>
        <v>0.7</v>
      </c>
      <c r="AW89">
        <v>0.7</v>
      </c>
      <c r="AY89" s="8">
        <f>AT37</f>
        <v>0.68</v>
      </c>
      <c r="AZ89" s="8">
        <f t="shared" ref="AZ89:BB89" si="121">AU37</f>
        <v>0.21</v>
      </c>
      <c r="BA89" s="8">
        <f t="shared" si="121"/>
        <v>0.28000000000000003</v>
      </c>
      <c r="BB89" s="8">
        <f t="shared" si="121"/>
        <v>0.19</v>
      </c>
      <c r="BC89" s="8"/>
      <c r="BD89" s="8">
        <f t="shared" si="82"/>
        <v>0.27477900000000005</v>
      </c>
      <c r="BE89" s="8">
        <f t="shared" si="83"/>
        <v>5.477900000000005E-2</v>
      </c>
    </row>
    <row r="90" spans="1:57" x14ac:dyDescent="0.25">
      <c r="A90" t="s">
        <v>48</v>
      </c>
      <c r="B90">
        <f t="shared" si="67"/>
        <v>0.64189189189189189</v>
      </c>
      <c r="C90">
        <f t="shared" si="68"/>
        <v>0.62420382165605093</v>
      </c>
      <c r="D90">
        <f t="shared" si="65"/>
        <v>1.7688070235840958E-2</v>
      </c>
      <c r="E90">
        <f t="shared" si="66"/>
        <v>2.7941126482885243</v>
      </c>
      <c r="F90" s="8">
        <f t="shared" si="69"/>
        <v>0.64189189189189189</v>
      </c>
      <c r="H90">
        <f t="shared" si="70"/>
        <v>0.35810810810810811</v>
      </c>
      <c r="I90">
        <f t="shared" si="71"/>
        <v>0.37579617834394907</v>
      </c>
      <c r="J90">
        <f t="shared" si="72"/>
        <v>1.7688070235840958E-2</v>
      </c>
      <c r="K90">
        <f t="shared" si="73"/>
        <v>4.8202662288160498</v>
      </c>
      <c r="L90" s="8">
        <f t="shared" si="74"/>
        <v>0.35810810810810811</v>
      </c>
      <c r="AR90" s="8" t="s">
        <v>58</v>
      </c>
      <c r="AS90">
        <v>6</v>
      </c>
      <c r="AT90" s="8">
        <v>42</v>
      </c>
      <c r="AU90" s="8">
        <f>F94</f>
        <v>0.31746031746031744</v>
      </c>
      <c r="AV90" s="8">
        <f>L94</f>
        <v>0.68253968253968256</v>
      </c>
      <c r="AW90" s="8">
        <v>0.63</v>
      </c>
      <c r="AY90" s="8">
        <f>AT47</f>
        <v>0.7</v>
      </c>
      <c r="AZ90" s="8">
        <f t="shared" ref="AZ90:BB90" si="122">AU47</f>
        <v>0.27</v>
      </c>
      <c r="BA90" s="8">
        <f t="shared" si="122"/>
        <v>0.21</v>
      </c>
      <c r="BB90" s="8">
        <f t="shared" si="122"/>
        <v>0.22</v>
      </c>
      <c r="BC90" s="8"/>
      <c r="BD90" s="8">
        <f t="shared" si="82"/>
        <v>0.25442500000000001</v>
      </c>
      <c r="BE90" s="8">
        <f t="shared" si="83"/>
        <v>7.4425000000000019E-2</v>
      </c>
    </row>
    <row r="91" spans="1:57" x14ac:dyDescent="0.25">
      <c r="A91" s="1" t="s">
        <v>49</v>
      </c>
      <c r="B91" s="1">
        <f t="shared" si="67"/>
        <v>0.37241379310344824</v>
      </c>
      <c r="C91" s="1">
        <f t="shared" si="68"/>
        <v>0.39759036144578314</v>
      </c>
      <c r="D91" s="1">
        <f t="shared" si="65"/>
        <v>2.5176568342334893E-2</v>
      </c>
      <c r="E91" s="1">
        <f t="shared" si="66"/>
        <v>6.5393331175137677</v>
      </c>
      <c r="F91" s="8">
        <f t="shared" si="69"/>
        <v>0.37241379310344824</v>
      </c>
      <c r="G91" s="1"/>
      <c r="H91" s="1">
        <f t="shared" si="70"/>
        <v>0.62758620689655176</v>
      </c>
      <c r="I91" s="1">
        <f t="shared" si="71"/>
        <v>0.60240963855421692</v>
      </c>
      <c r="J91" s="1">
        <f t="shared" si="72"/>
        <v>2.5176568342334837E-2</v>
      </c>
      <c r="K91" s="1">
        <f t="shared" si="73"/>
        <v>4.093764777409981</v>
      </c>
      <c r="L91" s="8">
        <f t="shared" si="74"/>
        <v>0.62758620689655176</v>
      </c>
      <c r="AR91" s="8" t="s">
        <v>55</v>
      </c>
      <c r="AS91">
        <f>7</f>
        <v>7</v>
      </c>
      <c r="AT91" s="8">
        <v>12</v>
      </c>
      <c r="AU91" s="8">
        <f>F96</f>
        <v>0.8</v>
      </c>
      <c r="AV91">
        <f>L96</f>
        <v>0.2</v>
      </c>
      <c r="AW91" s="8">
        <v>0.73</v>
      </c>
      <c r="AY91">
        <f>AT49</f>
        <v>0.73</v>
      </c>
      <c r="AZ91" s="8">
        <f t="shared" ref="AZ91:BB91" si="123">AU49</f>
        <v>7.2999999999999995E-2</v>
      </c>
      <c r="BA91" s="8">
        <f t="shared" si="123"/>
        <v>0.58400000000000007</v>
      </c>
      <c r="BB91" s="8">
        <f t="shared" si="123"/>
        <v>7.2999999999999995E-2</v>
      </c>
      <c r="BC91" s="8"/>
      <c r="BD91" s="8">
        <f t="shared" si="82"/>
        <v>7.42921E-2</v>
      </c>
      <c r="BE91" s="8">
        <f t="shared" si="83"/>
        <v>1.2921000000000044E-3</v>
      </c>
    </row>
    <row r="92" spans="1:57" x14ac:dyDescent="0.25">
      <c r="A92" t="s">
        <v>56</v>
      </c>
      <c r="B92">
        <f t="shared" si="67"/>
        <v>0</v>
      </c>
      <c r="C92">
        <f t="shared" si="68"/>
        <v>0</v>
      </c>
      <c r="D92">
        <f t="shared" si="65"/>
        <v>0</v>
      </c>
      <c r="E92" t="e">
        <f t="shared" si="66"/>
        <v>#DIV/0!</v>
      </c>
      <c r="F92" s="8">
        <f t="shared" si="69"/>
        <v>0</v>
      </c>
      <c r="H92">
        <f t="shared" si="70"/>
        <v>1</v>
      </c>
      <c r="I92">
        <f t="shared" si="71"/>
        <v>0</v>
      </c>
      <c r="J92">
        <f t="shared" si="72"/>
        <v>1</v>
      </c>
      <c r="K92">
        <f t="shared" si="73"/>
        <v>200</v>
      </c>
      <c r="L92" s="8">
        <f t="shared" si="74"/>
        <v>1</v>
      </c>
      <c r="AR92" s="8" t="s">
        <v>60</v>
      </c>
      <c r="AS92">
        <f>7</f>
        <v>7</v>
      </c>
      <c r="AT92" s="8">
        <v>27</v>
      </c>
      <c r="AU92" s="8">
        <f>F97</f>
        <v>0.30303030303030304</v>
      </c>
      <c r="AV92" s="8">
        <f>L97</f>
        <v>0.69696969696969702</v>
      </c>
      <c r="AW92" s="8">
        <v>0.66</v>
      </c>
      <c r="AY92" s="8">
        <f>AT50</f>
        <v>0.66</v>
      </c>
      <c r="AZ92" s="8">
        <f t="shared" ref="AZ92:BB92" si="124">AU50</f>
        <v>0.2</v>
      </c>
      <c r="BA92" s="8">
        <f t="shared" si="124"/>
        <v>0.2</v>
      </c>
      <c r="BB92" s="8">
        <f t="shared" si="124"/>
        <v>0.26</v>
      </c>
      <c r="BC92" s="8"/>
      <c r="BD92" s="8">
        <f t="shared" si="82"/>
        <v>0.20354000000000003</v>
      </c>
      <c r="BE92" s="8">
        <f t="shared" si="83"/>
        <v>-5.6459999999999982E-2</v>
      </c>
    </row>
    <row r="93" spans="1:57" x14ac:dyDescent="0.25">
      <c r="A93" t="s">
        <v>57</v>
      </c>
      <c r="B93">
        <f t="shared" si="67"/>
        <v>0.3</v>
      </c>
      <c r="C93">
        <f t="shared" si="68"/>
        <v>0.27500000000000002</v>
      </c>
      <c r="D93">
        <f t="shared" si="65"/>
        <v>2.4999999999999967E-2</v>
      </c>
      <c r="E93">
        <f t="shared" si="66"/>
        <v>8.6956521739130324</v>
      </c>
      <c r="F93" s="8">
        <f t="shared" si="69"/>
        <v>0.3</v>
      </c>
      <c r="H93">
        <f t="shared" si="70"/>
        <v>0.7</v>
      </c>
      <c r="I93">
        <f t="shared" si="71"/>
        <v>0.72500000000000009</v>
      </c>
      <c r="J93">
        <f t="shared" si="72"/>
        <v>2.5000000000000133E-2</v>
      </c>
      <c r="K93">
        <f t="shared" si="73"/>
        <v>3.5087719298245799</v>
      </c>
      <c r="L93" s="8">
        <f t="shared" si="74"/>
        <v>0.7</v>
      </c>
      <c r="AR93" t="s">
        <v>61</v>
      </c>
      <c r="AS93">
        <v>7</v>
      </c>
      <c r="AT93">
        <v>42</v>
      </c>
      <c r="AU93">
        <f>F98</f>
        <v>0</v>
      </c>
      <c r="AV93">
        <f>L98</f>
        <v>1</v>
      </c>
      <c r="AW93">
        <v>0.55000000000000004</v>
      </c>
      <c r="AY93" s="8">
        <f>AVERAGE(AY89:AY92)</f>
        <v>0.6925</v>
      </c>
      <c r="AZ93" s="8">
        <f>_xlfn.STDEV.S(AY89:AY92)</f>
        <v>2.9860788111948165E-2</v>
      </c>
      <c r="BB93" s="8"/>
      <c r="BC93" s="8"/>
      <c r="BD93" s="8">
        <f t="shared" si="82"/>
        <v>0.27986750000000005</v>
      </c>
      <c r="BE93" s="8">
        <f t="shared" si="83"/>
        <v>4.8675000000000246E-3</v>
      </c>
    </row>
    <row r="94" spans="1:57" x14ac:dyDescent="0.25">
      <c r="A94" t="s">
        <v>58</v>
      </c>
      <c r="B94">
        <f t="shared" si="67"/>
        <v>0.31746031746031744</v>
      </c>
      <c r="C94">
        <f t="shared" si="68"/>
        <v>0.30666666666666664</v>
      </c>
      <c r="D94">
        <f t="shared" si="65"/>
        <v>1.07936507936508E-2</v>
      </c>
      <c r="E94">
        <f t="shared" si="66"/>
        <v>3.4587995930824031</v>
      </c>
      <c r="F94" s="8">
        <f t="shared" si="69"/>
        <v>0.31746031746031744</v>
      </c>
      <c r="H94">
        <f t="shared" si="70"/>
        <v>0.68253968253968256</v>
      </c>
      <c r="I94">
        <f t="shared" si="71"/>
        <v>0.69333333333333336</v>
      </c>
      <c r="J94">
        <f t="shared" si="72"/>
        <v>1.07936507936508E-2</v>
      </c>
      <c r="K94">
        <f t="shared" si="73"/>
        <v>1.5689893862482702</v>
      </c>
      <c r="L94" s="8">
        <f t="shared" si="74"/>
        <v>0.68253968253968256</v>
      </c>
      <c r="AR94" s="8" t="s">
        <v>63</v>
      </c>
      <c r="AS94">
        <f>14</f>
        <v>14</v>
      </c>
      <c r="AT94" s="8">
        <v>12</v>
      </c>
      <c r="AU94" s="8">
        <f>F100</f>
        <v>0.80838323353293418</v>
      </c>
      <c r="AV94">
        <f>L100</f>
        <v>0.19161676646706588</v>
      </c>
      <c r="AW94">
        <v>1.67</v>
      </c>
      <c r="AY94" s="8"/>
      <c r="AZ94" s="8"/>
      <c r="BC94" s="8"/>
      <c r="BD94" s="8">
        <f t="shared" si="82"/>
        <v>0</v>
      </c>
      <c r="BE94" s="8">
        <f t="shared" si="83"/>
        <v>-0.32</v>
      </c>
    </row>
    <row r="95" spans="1:57" x14ac:dyDescent="0.25">
      <c r="A95" s="1" t="s">
        <v>59</v>
      </c>
      <c r="B95" s="1">
        <f t="shared" si="67"/>
        <v>0.64615384615384619</v>
      </c>
      <c r="C95" s="1">
        <f t="shared" si="68"/>
        <v>0.9780219780219781</v>
      </c>
      <c r="D95" s="1">
        <f t="shared" si="65"/>
        <v>0.33186813186813191</v>
      </c>
      <c r="E95" s="1">
        <f t="shared" si="66"/>
        <v>40.866035182679298</v>
      </c>
      <c r="F95" s="8">
        <f t="shared" si="69"/>
        <v>0.64615384615384619</v>
      </c>
      <c r="G95" s="1"/>
      <c r="H95" s="1">
        <f t="shared" si="70"/>
        <v>0.35384615384615387</v>
      </c>
      <c r="I95" s="1">
        <f t="shared" si="71"/>
        <v>2.197802197802198E-2</v>
      </c>
      <c r="J95" s="1">
        <f t="shared" si="72"/>
        <v>0.33186813186813191</v>
      </c>
      <c r="K95" s="1">
        <f t="shared" si="73"/>
        <v>176.60818713450294</v>
      </c>
      <c r="L95" s="8">
        <f t="shared" si="74"/>
        <v>0.35384615384615387</v>
      </c>
      <c r="AR95" s="8" t="s">
        <v>64</v>
      </c>
      <c r="AS95">
        <f>14</f>
        <v>14</v>
      </c>
      <c r="AT95" s="8">
        <v>27</v>
      </c>
      <c r="AU95" s="8">
        <f>F101</f>
        <v>0.90410958904109584</v>
      </c>
      <c r="AV95" s="8">
        <f>L101</f>
        <v>9.5890410958904104E-2</v>
      </c>
      <c r="AW95" s="8">
        <v>1.46</v>
      </c>
      <c r="AY95" s="8">
        <f>AT40</f>
        <v>1.47</v>
      </c>
      <c r="AZ95" s="8">
        <f t="shared" ref="AZ95:BB95" si="125">AU40</f>
        <v>0.09</v>
      </c>
      <c r="BA95" s="8">
        <f t="shared" si="125"/>
        <v>1.0900000000000001</v>
      </c>
      <c r="BB95" s="8">
        <f t="shared" si="125"/>
        <v>0.28999999999999998</v>
      </c>
      <c r="BC95" s="8"/>
      <c r="BD95" s="8">
        <f t="shared" si="82"/>
        <v>0</v>
      </c>
      <c r="BE95" s="8">
        <f t="shared" si="83"/>
        <v>-0.14000000000000001</v>
      </c>
    </row>
    <row r="96" spans="1:57" x14ac:dyDescent="0.25">
      <c r="A96" t="s">
        <v>55</v>
      </c>
      <c r="B96">
        <f t="shared" si="67"/>
        <v>0.8</v>
      </c>
      <c r="C96">
        <f t="shared" si="68"/>
        <v>0.42499999999999999</v>
      </c>
      <c r="D96">
        <f t="shared" si="65"/>
        <v>0.37500000000000006</v>
      </c>
      <c r="E96">
        <f t="shared" si="66"/>
        <v>61.224489795918373</v>
      </c>
      <c r="F96" s="8">
        <f t="shared" si="69"/>
        <v>0.8</v>
      </c>
      <c r="H96">
        <f t="shared" si="70"/>
        <v>0.2</v>
      </c>
      <c r="I96">
        <f t="shared" si="71"/>
        <v>0.57499999999999996</v>
      </c>
      <c r="J96">
        <f t="shared" si="72"/>
        <v>0.37499999999999994</v>
      </c>
      <c r="K96">
        <f t="shared" si="73"/>
        <v>96.774193548387089</v>
      </c>
      <c r="L96" s="8">
        <f t="shared" si="74"/>
        <v>0.2</v>
      </c>
      <c r="AR96" s="8" t="s">
        <v>65</v>
      </c>
      <c r="AS96">
        <f>14</f>
        <v>14</v>
      </c>
      <c r="AT96" s="8">
        <v>42</v>
      </c>
      <c r="AU96" s="8">
        <f>F102</f>
        <v>0.91275167785234901</v>
      </c>
      <c r="AV96" s="8">
        <f>L102</f>
        <v>8.7248322147651006E-2</v>
      </c>
      <c r="AW96" s="8">
        <v>1.49</v>
      </c>
      <c r="AY96" s="8">
        <f t="shared" ref="AY96:AY99" si="126">AT41</f>
        <v>1.51</v>
      </c>
      <c r="AZ96" s="8">
        <f t="shared" ref="AZ96:AZ100" si="127">AU41</f>
        <v>0.28000000000000003</v>
      </c>
      <c r="BA96" s="8">
        <f t="shared" ref="BA96:BA100" si="128">AV41</f>
        <v>0.88</v>
      </c>
      <c r="BB96" s="8">
        <f t="shared" ref="BB96:BB100" si="129">AW41</f>
        <v>0.35000000000000003</v>
      </c>
      <c r="BC96" s="8"/>
      <c r="BD96" s="8">
        <f t="shared" si="82"/>
        <v>2.0354000000000001E-2</v>
      </c>
      <c r="BE96" s="8">
        <f t="shared" si="83"/>
        <v>-8.9646000000000003E-2</v>
      </c>
    </row>
    <row r="97" spans="1:57" x14ac:dyDescent="0.25">
      <c r="A97" t="s">
        <v>60</v>
      </c>
      <c r="B97">
        <f t="shared" si="67"/>
        <v>0.30303030303030304</v>
      </c>
      <c r="C97">
        <f t="shared" si="68"/>
        <v>0.32307692307692309</v>
      </c>
      <c r="D97">
        <f t="shared" si="65"/>
        <v>2.0046620046620056E-2</v>
      </c>
      <c r="E97">
        <f t="shared" si="66"/>
        <v>6.4035740878629959</v>
      </c>
      <c r="F97" s="8">
        <f t="shared" si="69"/>
        <v>0.30303030303030304</v>
      </c>
      <c r="H97">
        <f t="shared" si="70"/>
        <v>0.69696969696969702</v>
      </c>
      <c r="I97">
        <f t="shared" si="71"/>
        <v>0.67692307692307696</v>
      </c>
      <c r="J97">
        <f t="shared" si="72"/>
        <v>2.0046620046620056E-2</v>
      </c>
      <c r="K97">
        <f t="shared" si="73"/>
        <v>2.9182219205972189</v>
      </c>
      <c r="L97" s="8">
        <f t="shared" si="74"/>
        <v>0.69696969696969702</v>
      </c>
      <c r="AU97" s="8"/>
      <c r="AY97" s="8">
        <f t="shared" si="126"/>
        <v>1.46</v>
      </c>
      <c r="AZ97" s="8">
        <f t="shared" si="127"/>
        <v>0.24</v>
      </c>
      <c r="BA97" s="8">
        <f t="shared" si="128"/>
        <v>0.8</v>
      </c>
      <c r="BB97" s="8">
        <f t="shared" si="129"/>
        <v>0.42</v>
      </c>
      <c r="BD97" s="8"/>
    </row>
    <row r="98" spans="1:57" x14ac:dyDescent="0.25">
      <c r="A98" t="s">
        <v>61</v>
      </c>
      <c r="B98" s="8">
        <f t="shared" si="67"/>
        <v>0</v>
      </c>
      <c r="C98">
        <f t="shared" si="68"/>
        <v>0</v>
      </c>
      <c r="D98">
        <f t="shared" si="65"/>
        <v>0</v>
      </c>
      <c r="E98" t="e">
        <f t="shared" si="66"/>
        <v>#DIV/0!</v>
      </c>
      <c r="F98" s="8">
        <f t="shared" si="69"/>
        <v>0</v>
      </c>
      <c r="H98">
        <f t="shared" si="70"/>
        <v>1</v>
      </c>
      <c r="I98">
        <f t="shared" si="71"/>
        <v>0</v>
      </c>
      <c r="J98">
        <f t="shared" si="72"/>
        <v>1</v>
      </c>
      <c r="K98">
        <f t="shared" si="73"/>
        <v>200</v>
      </c>
      <c r="L98" s="8">
        <f t="shared" si="74"/>
        <v>1</v>
      </c>
      <c r="AU98" s="8"/>
      <c r="AY98" s="8">
        <f t="shared" si="126"/>
        <v>1.47</v>
      </c>
      <c r="AZ98" s="8">
        <f t="shared" si="127"/>
        <v>0.23</v>
      </c>
      <c r="BA98" s="8">
        <f t="shared" si="128"/>
        <v>0.85</v>
      </c>
      <c r="BB98" s="8">
        <f t="shared" si="129"/>
        <v>0.39</v>
      </c>
      <c r="BE98">
        <f>_xlfn.STDEV.S(BE61:BE96)</f>
        <v>9.3638878624073288E-2</v>
      </c>
    </row>
    <row r="99" spans="1:57" x14ac:dyDescent="0.25">
      <c r="A99" s="1" t="s">
        <v>62</v>
      </c>
      <c r="B99" s="1">
        <f t="shared" si="67"/>
        <v>0.72727272727272729</v>
      </c>
      <c r="C99" s="1">
        <f t="shared" si="68"/>
        <v>0.80769230769230771</v>
      </c>
      <c r="D99" s="1">
        <f t="shared" si="65"/>
        <v>8.0419580419580416E-2</v>
      </c>
      <c r="E99" s="1">
        <f t="shared" si="66"/>
        <v>10.478359908883826</v>
      </c>
      <c r="F99" s="8">
        <f t="shared" si="69"/>
        <v>0.72727272727272729</v>
      </c>
      <c r="G99" s="1"/>
      <c r="H99" s="1">
        <f t="shared" si="70"/>
        <v>0.27272727272727271</v>
      </c>
      <c r="I99" s="1">
        <f t="shared" si="71"/>
        <v>0.19230769230769232</v>
      </c>
      <c r="J99" s="1">
        <f t="shared" si="72"/>
        <v>8.0419580419580389E-2</v>
      </c>
      <c r="K99" s="1">
        <f t="shared" si="73"/>
        <v>34.586466165413519</v>
      </c>
      <c r="L99" s="8">
        <f>Q45</f>
        <v>0.27272727272727271</v>
      </c>
      <c r="AU99" s="8"/>
      <c r="AY99" s="8">
        <f t="shared" si="126"/>
        <v>1.5</v>
      </c>
      <c r="AZ99" s="8">
        <f t="shared" si="127"/>
        <v>0.23</v>
      </c>
      <c r="BA99" s="8">
        <f t="shared" si="128"/>
        <v>0.95000000000000007</v>
      </c>
      <c r="BB99" s="8">
        <f t="shared" si="129"/>
        <v>0.32</v>
      </c>
    </row>
    <row r="100" spans="1:57" x14ac:dyDescent="0.25">
      <c r="A100" t="s">
        <v>63</v>
      </c>
      <c r="B100">
        <f t="shared" si="67"/>
        <v>0.80838323353293418</v>
      </c>
      <c r="C100">
        <f t="shared" si="68"/>
        <v>0.79365079365079361</v>
      </c>
      <c r="D100">
        <f t="shared" si="65"/>
        <v>1.4732439882140569E-2</v>
      </c>
      <c r="E100">
        <f t="shared" si="66"/>
        <v>1.8392168495995362</v>
      </c>
      <c r="F100" s="8">
        <f t="shared" si="69"/>
        <v>0.80838323353293418</v>
      </c>
      <c r="H100">
        <f t="shared" si="70"/>
        <v>0.19161676646706588</v>
      </c>
      <c r="I100">
        <f t="shared" si="71"/>
        <v>0.20634920634920634</v>
      </c>
      <c r="J100">
        <f t="shared" si="72"/>
        <v>1.4732439882140458E-2</v>
      </c>
      <c r="K100">
        <f t="shared" si="73"/>
        <v>7.4038691187007286</v>
      </c>
      <c r="L100" s="8">
        <f t="shared" si="74"/>
        <v>0.19161676646706588</v>
      </c>
      <c r="AU100" s="8"/>
      <c r="AY100" s="8">
        <f>AT45</f>
        <v>1.48</v>
      </c>
      <c r="AZ100" s="8">
        <f t="shared" si="127"/>
        <v>0.2</v>
      </c>
      <c r="BA100" s="8">
        <f t="shared" si="128"/>
        <v>0.95000000000000007</v>
      </c>
      <c r="BB100" s="8">
        <f t="shared" si="129"/>
        <v>0.33</v>
      </c>
    </row>
    <row r="101" spans="1:57" x14ac:dyDescent="0.25">
      <c r="A101" t="s">
        <v>64</v>
      </c>
      <c r="B101">
        <f t="shared" si="67"/>
        <v>0.90410958904109584</v>
      </c>
      <c r="C101">
        <f t="shared" si="68"/>
        <v>0.8597560975609756</v>
      </c>
      <c r="D101">
        <f t="shared" si="65"/>
        <v>4.4353491480120244E-2</v>
      </c>
      <c r="E101">
        <f t="shared" si="66"/>
        <v>5.0291234550362232</v>
      </c>
      <c r="F101" s="8">
        <f>R47</f>
        <v>0.90410958904109584</v>
      </c>
      <c r="H101">
        <f t="shared" si="70"/>
        <v>9.5890410958904104E-2</v>
      </c>
      <c r="I101">
        <f t="shared" si="71"/>
        <v>0.1402439024390244</v>
      </c>
      <c r="J101">
        <f t="shared" si="72"/>
        <v>4.43534914801203E-2</v>
      </c>
      <c r="K101">
        <f t="shared" si="73"/>
        <v>37.566324725857811</v>
      </c>
      <c r="L101" s="8">
        <f t="shared" si="74"/>
        <v>9.5890410958904104E-2</v>
      </c>
      <c r="AU101" s="8"/>
      <c r="AY101" s="8">
        <f>AT52</f>
        <v>1.67</v>
      </c>
      <c r="AZ101" s="8">
        <f t="shared" ref="AZ101:BB101" si="130">AU52</f>
        <v>0</v>
      </c>
      <c r="BA101" s="8">
        <f t="shared" si="130"/>
        <v>1.35</v>
      </c>
      <c r="BB101" s="8">
        <f t="shared" si="130"/>
        <v>0.32</v>
      </c>
    </row>
    <row r="102" spans="1:57" x14ac:dyDescent="0.25">
      <c r="A102" t="s">
        <v>65</v>
      </c>
      <c r="B102">
        <f>R48</f>
        <v>0.91275167785234901</v>
      </c>
      <c r="C102">
        <f t="shared" si="68"/>
        <v>0.92261904761904767</v>
      </c>
      <c r="D102">
        <f t="shared" si="65"/>
        <v>9.8673697666986637E-3</v>
      </c>
      <c r="E102">
        <f t="shared" si="66"/>
        <v>1.0752454127941184</v>
      </c>
      <c r="F102" s="8">
        <f t="shared" si="69"/>
        <v>0.91275167785234901</v>
      </c>
      <c r="H102">
        <f t="shared" si="70"/>
        <v>8.7248322147651006E-2</v>
      </c>
      <c r="I102">
        <f t="shared" si="71"/>
        <v>7.7380952380952384E-2</v>
      </c>
      <c r="J102">
        <f t="shared" si="72"/>
        <v>9.8673697666986221E-3</v>
      </c>
      <c r="K102">
        <f t="shared" si="73"/>
        <v>11.987381703470028</v>
      </c>
      <c r="L102" s="8">
        <f t="shared" si="74"/>
        <v>8.7248322147651006E-2</v>
      </c>
      <c r="AU102" s="8"/>
      <c r="AY102" s="8">
        <f t="shared" ref="AY102:AY103" si="131">AT53</f>
        <v>1.46</v>
      </c>
      <c r="AZ102" s="8">
        <f t="shared" ref="AZ102:AZ103" si="132">AU53</f>
        <v>0</v>
      </c>
      <c r="BA102" s="8">
        <f t="shared" ref="BA102:BA103" si="133">AV53</f>
        <v>1.32</v>
      </c>
      <c r="BB102" s="8">
        <f t="shared" ref="BB102:BB103" si="134">AW53</f>
        <v>0.14000000000000001</v>
      </c>
    </row>
    <row r="103" spans="1:57" x14ac:dyDescent="0.25">
      <c r="A103" t="s">
        <v>66</v>
      </c>
      <c r="B103">
        <f>R49</f>
        <v>9.7902097902097904E-2</v>
      </c>
      <c r="C103">
        <f>AM49</f>
        <v>9.8837209302325577E-2</v>
      </c>
      <c r="D103">
        <f t="shared" si="65"/>
        <v>9.3511140022767281E-4</v>
      </c>
      <c r="E103">
        <f t="shared" si="66"/>
        <v>0.9506096300888548</v>
      </c>
      <c r="F103" s="8">
        <f t="shared" si="69"/>
        <v>9.7902097902097904E-2</v>
      </c>
      <c r="H103">
        <f t="shared" si="70"/>
        <v>0.90209790209790208</v>
      </c>
      <c r="I103">
        <f t="shared" si="71"/>
        <v>0.90116279069767447</v>
      </c>
      <c r="J103">
        <f t="shared" si="72"/>
        <v>9.351114002276173E-4</v>
      </c>
      <c r="K103">
        <f t="shared" si="73"/>
        <v>0.10371339030053649</v>
      </c>
      <c r="L103" s="8">
        <f t="shared" si="74"/>
        <v>0.90209790209790208</v>
      </c>
      <c r="AU103" s="8"/>
      <c r="AY103" s="8">
        <f t="shared" si="131"/>
        <v>1.49</v>
      </c>
      <c r="AZ103" s="8">
        <f t="shared" si="132"/>
        <v>0.02</v>
      </c>
      <c r="BA103" s="8">
        <f t="shared" si="133"/>
        <v>1.36</v>
      </c>
      <c r="BB103" s="8">
        <f t="shared" si="134"/>
        <v>0.11</v>
      </c>
    </row>
    <row r="104" spans="1:57" x14ac:dyDescent="0.25">
      <c r="AU104" s="8"/>
      <c r="AY104">
        <f>AVERAGE(AY95:AY103)</f>
        <v>1.5011111111111111</v>
      </c>
      <c r="AZ104">
        <f>_xlfn.STDEV.S(AY95:AY103)</f>
        <v>6.5659052011974015E-2</v>
      </c>
    </row>
    <row r="105" spans="1:57" x14ac:dyDescent="0.25">
      <c r="AU105" s="8"/>
    </row>
    <row r="106" spans="1:57" x14ac:dyDescent="0.25">
      <c r="A106" t="s">
        <v>86</v>
      </c>
      <c r="AU106" s="8"/>
    </row>
    <row r="107" spans="1:57" x14ac:dyDescent="0.25">
      <c r="A107" s="6" t="s">
        <v>77</v>
      </c>
      <c r="B107" s="6" t="s">
        <v>78</v>
      </c>
      <c r="C107" s="6" t="s">
        <v>79</v>
      </c>
      <c r="D107" s="6" t="s">
        <v>80</v>
      </c>
      <c r="E107" s="6" t="s">
        <v>81</v>
      </c>
      <c r="AU107" s="8"/>
    </row>
    <row r="108" spans="1:57" x14ac:dyDescent="0.25">
      <c r="A108" s="7">
        <v>2</v>
      </c>
      <c r="B108" s="7">
        <v>2</v>
      </c>
      <c r="C108" s="7">
        <v>1</v>
      </c>
      <c r="D108" s="7">
        <f>180</f>
        <v>180</v>
      </c>
      <c r="E108" s="7" t="s">
        <v>82</v>
      </c>
    </row>
    <row r="109" spans="1:57" x14ac:dyDescent="0.25">
      <c r="A109" s="7">
        <v>3</v>
      </c>
      <c r="B109" s="7">
        <v>2</v>
      </c>
      <c r="C109" s="7">
        <v>1</v>
      </c>
      <c r="D109" s="7">
        <v>180</v>
      </c>
      <c r="E109" s="7" t="s">
        <v>113</v>
      </c>
    </row>
    <row r="110" spans="1:57" x14ac:dyDescent="0.25">
      <c r="A110" s="7">
        <v>4</v>
      </c>
      <c r="B110" s="7">
        <v>2</v>
      </c>
      <c r="C110" s="7">
        <v>1</v>
      </c>
      <c r="D110" s="7">
        <v>180</v>
      </c>
      <c r="E110" s="7" t="s">
        <v>114</v>
      </c>
    </row>
    <row r="111" spans="1:57" x14ac:dyDescent="0.25">
      <c r="A111" s="7">
        <v>5</v>
      </c>
      <c r="B111" s="7">
        <v>2</v>
      </c>
      <c r="C111" s="7">
        <v>0.3</v>
      </c>
      <c r="D111" s="7">
        <v>180</v>
      </c>
      <c r="E111" s="7" t="s">
        <v>82</v>
      </c>
    </row>
    <row r="112" spans="1:57" x14ac:dyDescent="0.25">
      <c r="A112" s="7">
        <v>6</v>
      </c>
      <c r="B112" s="7">
        <v>2</v>
      </c>
      <c r="C112" s="7">
        <v>0.3</v>
      </c>
      <c r="D112" s="7">
        <v>180</v>
      </c>
      <c r="E112" s="7" t="s">
        <v>113</v>
      </c>
    </row>
    <row r="113" spans="1:36" x14ac:dyDescent="0.25">
      <c r="A113" s="7">
        <v>7</v>
      </c>
      <c r="B113" s="7">
        <v>2</v>
      </c>
      <c r="C113" s="7">
        <v>0.3</v>
      </c>
      <c r="D113" s="7">
        <v>180</v>
      </c>
      <c r="E113" s="7" t="s">
        <v>114</v>
      </c>
    </row>
    <row r="114" spans="1:36" x14ac:dyDescent="0.25">
      <c r="A114" s="7">
        <v>8</v>
      </c>
      <c r="B114" s="7">
        <v>2</v>
      </c>
      <c r="C114" s="7">
        <v>0.5</v>
      </c>
      <c r="D114" s="7">
        <v>180</v>
      </c>
      <c r="E114" s="7" t="s">
        <v>82</v>
      </c>
    </row>
    <row r="115" spans="1:36" x14ac:dyDescent="0.25">
      <c r="A115" s="7">
        <v>9</v>
      </c>
      <c r="B115" s="7">
        <v>2</v>
      </c>
      <c r="C115" s="7">
        <v>0.5</v>
      </c>
      <c r="D115" s="7">
        <v>180</v>
      </c>
      <c r="E115" s="7" t="s">
        <v>115</v>
      </c>
    </row>
    <row r="116" spans="1:36" x14ac:dyDescent="0.25">
      <c r="A116" s="7">
        <v>10</v>
      </c>
      <c r="B116" s="7">
        <v>2</v>
      </c>
      <c r="C116" s="7">
        <v>0.5</v>
      </c>
      <c r="D116" s="7">
        <v>180</v>
      </c>
      <c r="E116" s="7" t="s">
        <v>83</v>
      </c>
    </row>
    <row r="117" spans="1:36" x14ac:dyDescent="0.25">
      <c r="A117" s="7">
        <v>11</v>
      </c>
      <c r="B117" s="7">
        <v>2</v>
      </c>
      <c r="C117" s="7">
        <v>1.6</v>
      </c>
      <c r="D117" s="7">
        <v>180</v>
      </c>
      <c r="E117" s="7" t="s">
        <v>83</v>
      </c>
    </row>
    <row r="118" spans="1:36" x14ac:dyDescent="0.25">
      <c r="A118" s="7">
        <v>12</v>
      </c>
      <c r="B118" s="7">
        <v>2</v>
      </c>
      <c r="C118" s="7">
        <v>1.6</v>
      </c>
      <c r="D118" s="7">
        <v>180</v>
      </c>
      <c r="E118" s="7" t="s">
        <v>84</v>
      </c>
    </row>
    <row r="119" spans="1:36" x14ac:dyDescent="0.25">
      <c r="A119" s="7">
        <v>14</v>
      </c>
      <c r="B119" s="7">
        <v>2</v>
      </c>
      <c r="C119" s="7">
        <v>1.6</v>
      </c>
      <c r="D119" s="7">
        <v>180</v>
      </c>
      <c r="E119" s="7" t="s">
        <v>85</v>
      </c>
    </row>
    <row r="121" spans="1:36" x14ac:dyDescent="0.25">
      <c r="A121" s="8"/>
      <c r="B121" s="11" t="s">
        <v>94</v>
      </c>
      <c r="C121" s="11" t="s">
        <v>95</v>
      </c>
      <c r="D121" s="11" t="s">
        <v>96</v>
      </c>
      <c r="E121" s="8"/>
      <c r="F121" s="8"/>
      <c r="G121" s="8"/>
      <c r="H121" s="8"/>
      <c r="I121" s="8"/>
      <c r="J121" s="8"/>
    </row>
    <row r="122" spans="1:36" x14ac:dyDescent="0.25">
      <c r="A122" s="8"/>
      <c r="B122" s="12" t="s">
        <v>97</v>
      </c>
      <c r="C122" s="13"/>
      <c r="D122" s="13"/>
      <c r="E122" s="8"/>
      <c r="F122" s="8"/>
      <c r="G122" s="8"/>
      <c r="H122" s="16" t="s">
        <v>98</v>
      </c>
      <c r="I122" s="10"/>
      <c r="J122" s="10" t="s">
        <v>99</v>
      </c>
    </row>
    <row r="123" spans="1:36" x14ac:dyDescent="0.25">
      <c r="A123" s="14" t="s">
        <v>100</v>
      </c>
      <c r="B123" s="13">
        <v>1</v>
      </c>
      <c r="C123" s="13">
        <v>2</v>
      </c>
      <c r="D123" s="13">
        <v>3</v>
      </c>
      <c r="E123" s="8"/>
      <c r="F123" s="15" t="s">
        <v>101</v>
      </c>
      <c r="G123" s="8"/>
      <c r="H123" s="16" t="s">
        <v>102</v>
      </c>
      <c r="I123" s="10"/>
      <c r="J123" s="10" t="s">
        <v>103</v>
      </c>
    </row>
    <row r="124" spans="1:36" x14ac:dyDescent="0.25">
      <c r="A124" s="14"/>
      <c r="B124" s="8"/>
      <c r="C124" s="8"/>
      <c r="D124" s="8"/>
      <c r="E124" s="8"/>
      <c r="F124" s="8"/>
      <c r="G124" s="8"/>
      <c r="H124" s="8"/>
      <c r="I124" s="8"/>
      <c r="J124" s="8"/>
    </row>
    <row r="125" spans="1:36" x14ac:dyDescent="0.25">
      <c r="A125" s="14"/>
      <c r="B125" s="8"/>
      <c r="C125" s="8"/>
      <c r="D125" s="8"/>
      <c r="E125" s="8"/>
      <c r="F125" s="8"/>
      <c r="G125" s="8"/>
      <c r="H125" s="8"/>
      <c r="I125" s="8"/>
      <c r="J125" s="8"/>
    </row>
    <row r="126" spans="1:36" x14ac:dyDescent="0.25">
      <c r="A126" s="14">
        <v>2</v>
      </c>
      <c r="B126" s="8">
        <v>462</v>
      </c>
      <c r="C126" s="8">
        <v>510</v>
      </c>
      <c r="D126" s="8">
        <v>503</v>
      </c>
      <c r="E126" s="8"/>
      <c r="F126" s="8">
        <v>496</v>
      </c>
      <c r="G126" s="8"/>
      <c r="H126" s="8">
        <v>1</v>
      </c>
      <c r="I126" s="8"/>
      <c r="J126" s="8">
        <v>0</v>
      </c>
    </row>
    <row r="127" spans="1:36" x14ac:dyDescent="0.25">
      <c r="A127" s="14">
        <v>3</v>
      </c>
      <c r="B127" s="8">
        <v>442</v>
      </c>
      <c r="C127" s="8">
        <v>505</v>
      </c>
      <c r="D127" s="8">
        <v>499</v>
      </c>
      <c r="E127" s="8"/>
      <c r="F127" s="8">
        <v>472</v>
      </c>
      <c r="G127" s="8"/>
      <c r="H127" s="8">
        <v>1</v>
      </c>
      <c r="I127" s="8"/>
      <c r="J127" s="8">
        <v>60</v>
      </c>
    </row>
    <row r="128" spans="1:36" x14ac:dyDescent="0.25">
      <c r="A128" s="14">
        <v>4</v>
      </c>
      <c r="B128" s="8">
        <v>453</v>
      </c>
      <c r="C128" s="8">
        <v>508</v>
      </c>
      <c r="D128" s="8">
        <v>501</v>
      </c>
      <c r="E128" s="8"/>
      <c r="F128" s="8">
        <v>484</v>
      </c>
      <c r="G128" s="8"/>
      <c r="H128" s="8">
        <v>1</v>
      </c>
      <c r="I128" s="8"/>
      <c r="J128" s="8">
        <v>30</v>
      </c>
      <c r="AJ128" t="s">
        <v>118</v>
      </c>
    </row>
    <row r="129" spans="1:65" ht="26.25" x14ac:dyDescent="0.4">
      <c r="A129" s="14">
        <v>5</v>
      </c>
      <c r="B129" s="8">
        <v>639</v>
      </c>
      <c r="C129" s="8">
        <v>650</v>
      </c>
      <c r="D129" s="8">
        <v>661</v>
      </c>
      <c r="E129" s="8"/>
      <c r="F129" s="8">
        <v>685</v>
      </c>
      <c r="G129" s="8"/>
      <c r="H129" s="8">
        <v>0.3</v>
      </c>
      <c r="I129" s="8"/>
      <c r="J129" s="8">
        <v>0</v>
      </c>
      <c r="BM129" s="34" t="s">
        <v>341</v>
      </c>
    </row>
    <row r="130" spans="1:65" x14ac:dyDescent="0.25">
      <c r="A130" s="14">
        <v>6</v>
      </c>
      <c r="B130" s="8">
        <v>642</v>
      </c>
      <c r="C130" s="8">
        <v>654</v>
      </c>
      <c r="D130" s="8">
        <v>666</v>
      </c>
      <c r="E130" s="8"/>
      <c r="F130" s="8">
        <v>689</v>
      </c>
      <c r="G130" s="8"/>
      <c r="H130" s="8">
        <v>0.3</v>
      </c>
      <c r="I130" s="8"/>
      <c r="J130" s="8">
        <v>60</v>
      </c>
    </row>
    <row r="131" spans="1:65" x14ac:dyDescent="0.25">
      <c r="A131" s="14">
        <v>7</v>
      </c>
      <c r="B131" s="8">
        <v>635</v>
      </c>
      <c r="C131" s="8">
        <v>646</v>
      </c>
      <c r="D131" s="8">
        <v>657</v>
      </c>
      <c r="E131" s="8"/>
      <c r="F131" s="8">
        <v>672</v>
      </c>
      <c r="G131" s="8"/>
      <c r="H131" s="8">
        <v>0.3</v>
      </c>
      <c r="I131" s="8"/>
      <c r="J131" s="8">
        <v>30</v>
      </c>
    </row>
    <row r="132" spans="1:65" x14ac:dyDescent="0.25">
      <c r="A132" s="14">
        <v>8</v>
      </c>
      <c r="B132" s="8">
        <v>514</v>
      </c>
      <c r="C132" s="8">
        <v>523</v>
      </c>
      <c r="D132" s="8">
        <v>532</v>
      </c>
      <c r="E132" s="8"/>
      <c r="F132" s="8">
        <v>542</v>
      </c>
      <c r="G132" s="8"/>
      <c r="H132" s="8">
        <v>0.5</v>
      </c>
      <c r="I132" s="8"/>
      <c r="J132" s="8">
        <v>0</v>
      </c>
    </row>
    <row r="133" spans="1:65" x14ac:dyDescent="0.25">
      <c r="A133" s="14">
        <v>9</v>
      </c>
      <c r="B133" s="8">
        <v>517</v>
      </c>
      <c r="C133" s="8">
        <v>525</v>
      </c>
      <c r="D133" s="8">
        <v>534</v>
      </c>
      <c r="E133" s="8"/>
      <c r="F133" s="8">
        <v>546</v>
      </c>
      <c r="G133" s="8"/>
      <c r="H133" s="8">
        <v>0.5</v>
      </c>
      <c r="I133" s="8"/>
      <c r="J133" s="8">
        <v>60</v>
      </c>
    </row>
    <row r="134" spans="1:65" x14ac:dyDescent="0.25">
      <c r="A134" s="14">
        <v>10</v>
      </c>
      <c r="B134" s="8">
        <v>520</v>
      </c>
      <c r="C134" s="8">
        <v>530</v>
      </c>
      <c r="D134" s="8">
        <v>536</v>
      </c>
      <c r="E134" s="8"/>
      <c r="F134" s="8">
        <v>553</v>
      </c>
      <c r="G134" s="8"/>
      <c r="H134" s="8">
        <v>0.5</v>
      </c>
      <c r="I134" s="8"/>
      <c r="J134" s="8">
        <v>30</v>
      </c>
    </row>
    <row r="135" spans="1:65" x14ac:dyDescent="0.25">
      <c r="A135" s="14">
        <v>11</v>
      </c>
      <c r="B135" s="8">
        <v>584</v>
      </c>
      <c r="C135" s="8">
        <v>602</v>
      </c>
      <c r="D135" s="8">
        <v>614</v>
      </c>
      <c r="E135" s="8"/>
      <c r="F135" s="8">
        <v>560</v>
      </c>
      <c r="G135" s="8"/>
      <c r="H135" s="8">
        <v>1.6</v>
      </c>
      <c r="I135" s="8"/>
      <c r="J135" s="8">
        <v>30</v>
      </c>
    </row>
    <row r="136" spans="1:65" x14ac:dyDescent="0.25">
      <c r="A136" s="14">
        <v>12</v>
      </c>
      <c r="B136" s="8">
        <v>588</v>
      </c>
      <c r="C136" s="8">
        <v>607</v>
      </c>
      <c r="D136" s="8">
        <v>617</v>
      </c>
      <c r="E136" s="8"/>
      <c r="F136" s="8" t="s">
        <v>104</v>
      </c>
      <c r="G136" s="8"/>
      <c r="H136" s="8">
        <v>1.6</v>
      </c>
      <c r="I136" s="8"/>
      <c r="J136" s="8">
        <v>0</v>
      </c>
    </row>
    <row r="137" spans="1:65" x14ac:dyDescent="0.25">
      <c r="A137" s="14">
        <v>13</v>
      </c>
      <c r="B137" s="9" t="s">
        <v>0</v>
      </c>
      <c r="C137" s="9" t="s">
        <v>0</v>
      </c>
      <c r="D137" s="9" t="s">
        <v>0</v>
      </c>
      <c r="E137" s="9" t="s">
        <v>0</v>
      </c>
      <c r="F137" s="9" t="s">
        <v>0</v>
      </c>
      <c r="G137" s="9"/>
      <c r="H137" s="9" t="s">
        <v>0</v>
      </c>
      <c r="I137" s="9"/>
      <c r="J137" s="9" t="s">
        <v>0</v>
      </c>
    </row>
    <row r="138" spans="1:65" x14ac:dyDescent="0.25">
      <c r="A138" s="14">
        <v>14</v>
      </c>
      <c r="B138" s="9" t="s">
        <v>105</v>
      </c>
      <c r="C138" s="8">
        <v>610</v>
      </c>
      <c r="D138" s="8">
        <v>631</v>
      </c>
      <c r="E138" s="8"/>
      <c r="F138" s="8">
        <v>577</v>
      </c>
      <c r="G138" s="8"/>
      <c r="H138" s="8">
        <v>1.6</v>
      </c>
      <c r="I138" s="8"/>
      <c r="J138" s="8">
        <v>60</v>
      </c>
    </row>
    <row r="145" spans="1:15" ht="18.75" x14ac:dyDescent="0.3">
      <c r="A145" s="2" t="s">
        <v>50</v>
      </c>
      <c r="B145" s="2" t="s">
        <v>1</v>
      </c>
      <c r="C145" s="2" t="s">
        <v>52</v>
      </c>
      <c r="D145" s="2" t="s">
        <v>3</v>
      </c>
      <c r="E145" s="2" t="s">
        <v>4</v>
      </c>
      <c r="F145" s="2" t="s">
        <v>5</v>
      </c>
      <c r="G145" s="2" t="s">
        <v>6</v>
      </c>
      <c r="H145" s="2" t="s">
        <v>7</v>
      </c>
      <c r="I145" s="2" t="s">
        <v>8</v>
      </c>
      <c r="J145" s="2" t="s">
        <v>9</v>
      </c>
      <c r="K145" s="2" t="s">
        <v>10</v>
      </c>
      <c r="L145" s="2" t="s">
        <v>11</v>
      </c>
      <c r="M145" s="2" t="s">
        <v>12</v>
      </c>
      <c r="N145" s="2" t="s">
        <v>13</v>
      </c>
      <c r="O145" s="2" t="s">
        <v>67</v>
      </c>
    </row>
    <row r="146" spans="1:15" x14ac:dyDescent="0.25">
      <c r="A146" s="8" t="s">
        <v>14</v>
      </c>
      <c r="B146" s="8">
        <v>100</v>
      </c>
      <c r="C146" s="8">
        <v>10</v>
      </c>
      <c r="D146" s="8">
        <v>3</v>
      </c>
      <c r="E146" s="8">
        <f t="shared" ref="E146:E169" si="135">B146-SUM(C146:D146)</f>
        <v>87</v>
      </c>
      <c r="F146" s="8">
        <f>0</f>
        <v>0</v>
      </c>
      <c r="G146" s="8">
        <f>36-C146</f>
        <v>26</v>
      </c>
      <c r="H146" s="8"/>
      <c r="I146" s="8">
        <f>71-C146</f>
        <v>61</v>
      </c>
      <c r="J146" s="8">
        <f>100-(SUM(C146:D146))</f>
        <v>87</v>
      </c>
      <c r="K146" s="8">
        <f t="shared" ref="K146:K151" si="136">(G146-F146)/E146</f>
        <v>0.2988505747126437</v>
      </c>
      <c r="L146" s="8">
        <f t="shared" ref="L146:L154" si="137">(J146-I146)/E146</f>
        <v>0.2988505747126437</v>
      </c>
      <c r="M146" s="8">
        <f t="shared" ref="M146:M151" si="138">(I146-G146)/E146</f>
        <v>0.40229885057471265</v>
      </c>
      <c r="N146" s="8"/>
      <c r="O146" s="8"/>
    </row>
    <row r="147" spans="1:15" x14ac:dyDescent="0.25">
      <c r="A147" s="8" t="s">
        <v>15</v>
      </c>
      <c r="B147" s="8">
        <v>100</v>
      </c>
      <c r="C147" s="8">
        <v>0</v>
      </c>
      <c r="D147" s="8">
        <v>10</v>
      </c>
      <c r="E147" s="8">
        <f t="shared" si="135"/>
        <v>90</v>
      </c>
      <c r="F147" s="8">
        <f>0</f>
        <v>0</v>
      </c>
      <c r="G147" s="8">
        <f>28-C147</f>
        <v>28</v>
      </c>
      <c r="H147" s="8"/>
      <c r="I147" s="8">
        <f>65-C147</f>
        <v>65</v>
      </c>
      <c r="J147" s="8">
        <f t="shared" ref="J147:J172" si="139">E147</f>
        <v>90</v>
      </c>
      <c r="K147" s="8">
        <f t="shared" si="136"/>
        <v>0.31111111111111112</v>
      </c>
      <c r="L147" s="8">
        <f t="shared" si="137"/>
        <v>0.27777777777777779</v>
      </c>
      <c r="M147" s="8">
        <f t="shared" si="138"/>
        <v>0.41111111111111109</v>
      </c>
      <c r="N147" s="8"/>
      <c r="O147" s="8"/>
    </row>
    <row r="148" spans="1:15" x14ac:dyDescent="0.25">
      <c r="A148" s="8" t="s">
        <v>16</v>
      </c>
      <c r="B148" s="8">
        <v>100</v>
      </c>
      <c r="C148" s="8">
        <v>10</v>
      </c>
      <c r="D148" s="8">
        <v>3</v>
      </c>
      <c r="E148" s="8">
        <f t="shared" si="135"/>
        <v>87</v>
      </c>
      <c r="F148" s="8">
        <f>0</f>
        <v>0</v>
      </c>
      <c r="G148" s="8">
        <f>41-C148</f>
        <v>31</v>
      </c>
      <c r="H148" s="8"/>
      <c r="I148" s="8">
        <f>75-C148</f>
        <v>65</v>
      </c>
      <c r="J148" s="8">
        <f t="shared" si="139"/>
        <v>87</v>
      </c>
      <c r="K148" s="8">
        <f t="shared" si="136"/>
        <v>0.35632183908045978</v>
      </c>
      <c r="L148" s="8">
        <f t="shared" si="137"/>
        <v>0.25287356321839083</v>
      </c>
      <c r="M148" s="8">
        <f t="shared" si="138"/>
        <v>0.39080459770114945</v>
      </c>
      <c r="N148" s="8"/>
      <c r="O148" s="8"/>
    </row>
    <row r="149" spans="1:15" x14ac:dyDescent="0.25">
      <c r="A149" s="8" t="s">
        <v>18</v>
      </c>
      <c r="B149" s="8">
        <v>100</v>
      </c>
      <c r="C149" s="8">
        <v>5</v>
      </c>
      <c r="D149" s="8">
        <v>7</v>
      </c>
      <c r="E149" s="8">
        <f t="shared" si="135"/>
        <v>88</v>
      </c>
      <c r="F149" s="8">
        <v>0</v>
      </c>
      <c r="G149" s="8">
        <f>24-C149</f>
        <v>19</v>
      </c>
      <c r="H149" s="8"/>
      <c r="I149" s="8">
        <f>74-C149</f>
        <v>69</v>
      </c>
      <c r="J149" s="8">
        <f t="shared" si="139"/>
        <v>88</v>
      </c>
      <c r="K149" s="8">
        <f t="shared" si="136"/>
        <v>0.21590909090909091</v>
      </c>
      <c r="L149" s="8">
        <f t="shared" si="137"/>
        <v>0.21590909090909091</v>
      </c>
      <c r="M149" s="8">
        <f t="shared" si="138"/>
        <v>0.56818181818181823</v>
      </c>
      <c r="N149" s="8"/>
      <c r="O149" s="8"/>
    </row>
    <row r="150" spans="1:15" x14ac:dyDescent="0.25">
      <c r="A150" s="8" t="s">
        <v>19</v>
      </c>
      <c r="B150" s="8">
        <v>100</v>
      </c>
      <c r="C150" s="8">
        <v>5</v>
      </c>
      <c r="D150" s="8">
        <v>5</v>
      </c>
      <c r="E150" s="8">
        <f t="shared" si="135"/>
        <v>90</v>
      </c>
      <c r="F150" s="8">
        <f>0</f>
        <v>0</v>
      </c>
      <c r="G150" s="8">
        <f>34-C150</f>
        <v>29</v>
      </c>
      <c r="H150" s="8"/>
      <c r="I150" s="8">
        <f>68-C150</f>
        <v>63</v>
      </c>
      <c r="J150" s="8">
        <f t="shared" si="139"/>
        <v>90</v>
      </c>
      <c r="K150" s="8">
        <f t="shared" si="136"/>
        <v>0.32222222222222224</v>
      </c>
      <c r="L150" s="8">
        <f t="shared" si="137"/>
        <v>0.3</v>
      </c>
      <c r="M150" s="8">
        <f t="shared" si="138"/>
        <v>0.37777777777777777</v>
      </c>
      <c r="N150" s="8"/>
      <c r="O150" s="8"/>
    </row>
    <row r="151" spans="1:15" x14ac:dyDescent="0.25">
      <c r="A151" s="8" t="s">
        <v>20</v>
      </c>
      <c r="B151" s="8">
        <v>100</v>
      </c>
      <c r="C151" s="8">
        <v>5</v>
      </c>
      <c r="D151" s="8">
        <v>6</v>
      </c>
      <c r="E151" s="8">
        <f t="shared" si="135"/>
        <v>89</v>
      </c>
      <c r="F151" s="8">
        <f>0</f>
        <v>0</v>
      </c>
      <c r="G151" s="8">
        <f>36-C151</f>
        <v>31</v>
      </c>
      <c r="H151" s="8"/>
      <c r="I151" s="8">
        <f>66-C151</f>
        <v>61</v>
      </c>
      <c r="J151" s="8">
        <f t="shared" si="139"/>
        <v>89</v>
      </c>
      <c r="K151" s="8">
        <f t="shared" si="136"/>
        <v>0.34831460674157305</v>
      </c>
      <c r="L151" s="8">
        <f t="shared" si="137"/>
        <v>0.3146067415730337</v>
      </c>
      <c r="M151" s="8">
        <f t="shared" si="138"/>
        <v>0.33707865168539325</v>
      </c>
      <c r="N151" s="8"/>
      <c r="O151" s="8"/>
    </row>
    <row r="152" spans="1:15" x14ac:dyDescent="0.25">
      <c r="A152" s="8" t="s">
        <v>22</v>
      </c>
      <c r="B152" s="8">
        <v>100</v>
      </c>
      <c r="C152" s="8">
        <v>5</v>
      </c>
      <c r="D152" s="8">
        <v>6</v>
      </c>
      <c r="E152" s="8">
        <f t="shared" si="135"/>
        <v>89</v>
      </c>
      <c r="F152" s="8">
        <f>0</f>
        <v>0</v>
      </c>
      <c r="G152" s="8">
        <f>16-C152</f>
        <v>11</v>
      </c>
      <c r="H152" s="8"/>
      <c r="I152" s="8">
        <f>79-C152</f>
        <v>74</v>
      </c>
      <c r="J152" s="8">
        <f t="shared" si="139"/>
        <v>89</v>
      </c>
      <c r="K152" s="8">
        <f t="shared" ref="K152:K179" si="140">(G152-F152)/J152</f>
        <v>0.12359550561797752</v>
      </c>
      <c r="L152" s="8">
        <f t="shared" si="137"/>
        <v>0.16853932584269662</v>
      </c>
      <c r="M152" s="8">
        <f t="shared" ref="M152:M179" si="141">(I152-G152)/J152</f>
        <v>0.7078651685393258</v>
      </c>
      <c r="N152" s="8"/>
      <c r="O152" s="8"/>
    </row>
    <row r="153" spans="1:15" x14ac:dyDescent="0.25">
      <c r="A153" s="8" t="s">
        <v>23</v>
      </c>
      <c r="B153" s="8">
        <v>100</v>
      </c>
      <c r="C153" s="8">
        <v>6</v>
      </c>
      <c r="D153" s="8">
        <f>5</f>
        <v>5</v>
      </c>
      <c r="E153" s="8">
        <f t="shared" si="135"/>
        <v>89</v>
      </c>
      <c r="F153" s="8">
        <f>0</f>
        <v>0</v>
      </c>
      <c r="G153" s="8">
        <f>33-C153</f>
        <v>27</v>
      </c>
      <c r="H153" s="8"/>
      <c r="I153" s="8">
        <f>68-C153</f>
        <v>62</v>
      </c>
      <c r="J153" s="8">
        <f t="shared" si="139"/>
        <v>89</v>
      </c>
      <c r="K153" s="8">
        <f t="shared" si="140"/>
        <v>0.30337078651685395</v>
      </c>
      <c r="L153" s="8">
        <f t="shared" si="137"/>
        <v>0.30337078651685395</v>
      </c>
      <c r="M153" s="8">
        <f t="shared" si="141"/>
        <v>0.39325842696629215</v>
      </c>
      <c r="N153" s="8"/>
      <c r="O153" s="8"/>
    </row>
    <row r="154" spans="1:15" x14ac:dyDescent="0.25">
      <c r="A154" s="8" t="s">
        <v>24</v>
      </c>
      <c r="B154" s="8">
        <v>100</v>
      </c>
      <c r="C154" s="8">
        <f>0</f>
        <v>0</v>
      </c>
      <c r="D154" s="8">
        <v>10</v>
      </c>
      <c r="E154" s="8">
        <f t="shared" si="135"/>
        <v>90</v>
      </c>
      <c r="F154" s="8">
        <f>0</f>
        <v>0</v>
      </c>
      <c r="G154" s="8">
        <f>33-C154</f>
        <v>33</v>
      </c>
      <c r="H154" s="8"/>
      <c r="I154" s="8">
        <f>62-C154</f>
        <v>62</v>
      </c>
      <c r="J154" s="8">
        <f t="shared" si="139"/>
        <v>90</v>
      </c>
      <c r="K154" s="8">
        <f t="shared" si="140"/>
        <v>0.36666666666666664</v>
      </c>
      <c r="L154" s="8">
        <f t="shared" si="137"/>
        <v>0.31111111111111112</v>
      </c>
      <c r="M154" s="8">
        <f t="shared" si="141"/>
        <v>0.32222222222222224</v>
      </c>
      <c r="N154" s="8"/>
      <c r="O154" s="8"/>
    </row>
    <row r="155" spans="1:15" x14ac:dyDescent="0.25">
      <c r="A155" s="8" t="s">
        <v>25</v>
      </c>
      <c r="B155" s="8">
        <v>54</v>
      </c>
      <c r="C155" s="8">
        <v>2</v>
      </c>
      <c r="D155" s="8">
        <v>2</v>
      </c>
      <c r="E155" s="8">
        <f t="shared" si="135"/>
        <v>50</v>
      </c>
      <c r="F155" s="8">
        <v>0</v>
      </c>
      <c r="G155" s="8">
        <f>13-C155</f>
        <v>11</v>
      </c>
      <c r="H155" s="8"/>
      <c r="I155" s="8">
        <f>33-C155</f>
        <v>31</v>
      </c>
      <c r="J155" s="8">
        <f t="shared" si="139"/>
        <v>50</v>
      </c>
      <c r="K155" s="8">
        <f t="shared" si="140"/>
        <v>0.22</v>
      </c>
      <c r="L155" s="8">
        <f t="shared" ref="L155:L179" si="142">(J155-I155)/J155</f>
        <v>0.38</v>
      </c>
      <c r="M155" s="8">
        <f t="shared" si="141"/>
        <v>0.4</v>
      </c>
      <c r="N155" s="8"/>
      <c r="O155" s="8"/>
    </row>
    <row r="156" spans="1:15" x14ac:dyDescent="0.25">
      <c r="A156" s="8" t="s">
        <v>27</v>
      </c>
      <c r="B156" s="8">
        <v>52</v>
      </c>
      <c r="C156" s="8">
        <v>2</v>
      </c>
      <c r="D156" s="8">
        <v>1</v>
      </c>
      <c r="E156" s="8">
        <f t="shared" si="135"/>
        <v>49</v>
      </c>
      <c r="F156" s="8">
        <f>0</f>
        <v>0</v>
      </c>
      <c r="G156" s="8">
        <f>17-C156</f>
        <v>15</v>
      </c>
      <c r="H156" s="8"/>
      <c r="I156" s="8">
        <f>42-C156</f>
        <v>40</v>
      </c>
      <c r="J156" s="8">
        <f t="shared" si="139"/>
        <v>49</v>
      </c>
      <c r="K156" s="8">
        <f t="shared" si="140"/>
        <v>0.30612244897959184</v>
      </c>
      <c r="L156" s="8">
        <f t="shared" si="142"/>
        <v>0.18367346938775511</v>
      </c>
      <c r="M156" s="8">
        <f t="shared" si="141"/>
        <v>0.51020408163265307</v>
      </c>
      <c r="N156" s="8"/>
      <c r="O156" s="8"/>
    </row>
    <row r="157" spans="1:15" x14ac:dyDescent="0.25">
      <c r="A157" s="8" t="s">
        <v>28</v>
      </c>
      <c r="B157" s="3">
        <v>49</v>
      </c>
      <c r="C157" s="3">
        <v>1</v>
      </c>
      <c r="D157" s="3">
        <v>0</v>
      </c>
      <c r="E157" s="3">
        <f t="shared" si="135"/>
        <v>48</v>
      </c>
      <c r="F157" s="3">
        <v>0</v>
      </c>
      <c r="G157" s="3">
        <f>8-C157</f>
        <v>7</v>
      </c>
      <c r="H157" s="3"/>
      <c r="I157" s="3">
        <f>33-C157</f>
        <v>32</v>
      </c>
      <c r="J157" s="3">
        <f t="shared" si="139"/>
        <v>48</v>
      </c>
      <c r="K157" s="3">
        <f t="shared" si="140"/>
        <v>0.14583333333333334</v>
      </c>
      <c r="L157" s="3">
        <f t="shared" si="142"/>
        <v>0.33333333333333331</v>
      </c>
      <c r="M157" s="3">
        <f t="shared" si="141"/>
        <v>0.52083333333333337</v>
      </c>
      <c r="N157" s="3"/>
      <c r="O157" s="8"/>
    </row>
    <row r="158" spans="1:15" x14ac:dyDescent="0.25">
      <c r="A158" s="8" t="s">
        <v>30</v>
      </c>
      <c r="B158" s="8">
        <v>76</v>
      </c>
      <c r="C158" s="8">
        <v>0</v>
      </c>
      <c r="D158" s="8">
        <v>0</v>
      </c>
      <c r="E158" s="8">
        <f t="shared" si="135"/>
        <v>76</v>
      </c>
      <c r="F158" s="8">
        <v>0</v>
      </c>
      <c r="G158" s="8">
        <f>23-C158</f>
        <v>23</v>
      </c>
      <c r="H158" s="8"/>
      <c r="I158" s="8">
        <f>50-C158</f>
        <v>50</v>
      </c>
      <c r="J158" s="8">
        <f t="shared" si="139"/>
        <v>76</v>
      </c>
      <c r="K158" s="8">
        <f t="shared" si="140"/>
        <v>0.30263157894736842</v>
      </c>
      <c r="L158" s="8">
        <f t="shared" si="142"/>
        <v>0.34210526315789475</v>
      </c>
      <c r="M158" s="8">
        <f t="shared" si="141"/>
        <v>0.35526315789473684</v>
      </c>
      <c r="N158" s="8"/>
      <c r="O158" s="8"/>
    </row>
    <row r="159" spans="1:15" x14ac:dyDescent="0.25">
      <c r="A159" s="8" t="s">
        <v>31</v>
      </c>
      <c r="B159" s="8">
        <v>72</v>
      </c>
      <c r="C159" s="8">
        <v>1</v>
      </c>
      <c r="D159" s="8">
        <v>5</v>
      </c>
      <c r="E159" s="8">
        <f t="shared" si="135"/>
        <v>66</v>
      </c>
      <c r="F159" s="8">
        <v>0</v>
      </c>
      <c r="G159" s="8">
        <f>24-C159</f>
        <v>23</v>
      </c>
      <c r="H159" s="8"/>
      <c r="I159" s="8">
        <f>44-C159</f>
        <v>43</v>
      </c>
      <c r="J159" s="8">
        <f t="shared" si="139"/>
        <v>66</v>
      </c>
      <c r="K159" s="8">
        <f t="shared" si="140"/>
        <v>0.34848484848484851</v>
      </c>
      <c r="L159" s="8">
        <f t="shared" si="142"/>
        <v>0.34848484848484851</v>
      </c>
      <c r="M159" s="8">
        <f t="shared" si="141"/>
        <v>0.30303030303030304</v>
      </c>
      <c r="N159" s="8"/>
      <c r="O159" s="8"/>
    </row>
    <row r="160" spans="1:15" x14ac:dyDescent="0.25">
      <c r="A160" s="8" t="s">
        <v>32</v>
      </c>
      <c r="B160" s="8">
        <v>65</v>
      </c>
      <c r="C160" s="8">
        <v>0</v>
      </c>
      <c r="D160" s="8">
        <v>0</v>
      </c>
      <c r="E160" s="8">
        <f t="shared" si="135"/>
        <v>65</v>
      </c>
      <c r="F160" s="8">
        <v>0</v>
      </c>
      <c r="G160" s="8">
        <f>28-C160</f>
        <v>28</v>
      </c>
      <c r="H160" s="8"/>
      <c r="I160" s="8">
        <f>50-C160</f>
        <v>50</v>
      </c>
      <c r="J160" s="8">
        <f t="shared" si="139"/>
        <v>65</v>
      </c>
      <c r="K160" s="8">
        <f t="shared" si="140"/>
        <v>0.43076923076923079</v>
      </c>
      <c r="L160" s="8">
        <f t="shared" si="142"/>
        <v>0.23076923076923078</v>
      </c>
      <c r="M160" s="8">
        <f t="shared" si="141"/>
        <v>0.33846153846153848</v>
      </c>
      <c r="N160" s="8"/>
      <c r="O160" s="8"/>
    </row>
    <row r="161" spans="1:15" x14ac:dyDescent="0.25">
      <c r="A161" s="8" t="s">
        <v>34</v>
      </c>
      <c r="B161" s="8">
        <v>73</v>
      </c>
      <c r="C161" s="8">
        <v>0</v>
      </c>
      <c r="D161" s="8">
        <v>0</v>
      </c>
      <c r="E161" s="8">
        <f t="shared" si="135"/>
        <v>73</v>
      </c>
      <c r="F161" s="8">
        <v>0</v>
      </c>
      <c r="G161" s="8">
        <f>14-C161</f>
        <v>14</v>
      </c>
      <c r="H161" s="8"/>
      <c r="I161" s="8">
        <f>47-C161</f>
        <v>47</v>
      </c>
      <c r="J161" s="8">
        <f t="shared" si="139"/>
        <v>73</v>
      </c>
      <c r="K161" s="8">
        <f t="shared" si="140"/>
        <v>0.19178082191780821</v>
      </c>
      <c r="L161" s="8">
        <f t="shared" si="142"/>
        <v>0.35616438356164382</v>
      </c>
      <c r="M161" s="8">
        <f t="shared" si="141"/>
        <v>0.45205479452054792</v>
      </c>
      <c r="N161" s="8"/>
      <c r="O161" s="8"/>
    </row>
    <row r="162" spans="1:15" x14ac:dyDescent="0.25">
      <c r="A162" s="8" t="s">
        <v>35</v>
      </c>
      <c r="B162" s="8">
        <v>68</v>
      </c>
      <c r="C162" s="8">
        <v>0</v>
      </c>
      <c r="D162" s="8">
        <v>0</v>
      </c>
      <c r="E162" s="8">
        <f t="shared" si="135"/>
        <v>68</v>
      </c>
      <c r="F162" s="8">
        <v>0</v>
      </c>
      <c r="G162" s="8">
        <f>30-C162</f>
        <v>30</v>
      </c>
      <c r="H162" s="8"/>
      <c r="I162" s="8">
        <f>50-C162</f>
        <v>50</v>
      </c>
      <c r="J162" s="8">
        <f t="shared" si="139"/>
        <v>68</v>
      </c>
      <c r="K162" s="8">
        <f t="shared" si="140"/>
        <v>0.44117647058823528</v>
      </c>
      <c r="L162" s="8">
        <f t="shared" si="142"/>
        <v>0.26470588235294118</v>
      </c>
      <c r="M162" s="8">
        <f t="shared" si="141"/>
        <v>0.29411764705882354</v>
      </c>
      <c r="N162" s="8"/>
      <c r="O162" s="8"/>
    </row>
    <row r="163" spans="1:15" x14ac:dyDescent="0.25">
      <c r="A163" s="8" t="s">
        <v>36</v>
      </c>
      <c r="B163" s="8">
        <v>67</v>
      </c>
      <c r="C163" s="8">
        <v>0</v>
      </c>
      <c r="D163" s="8">
        <v>0</v>
      </c>
      <c r="E163" s="8">
        <f t="shared" si="135"/>
        <v>67</v>
      </c>
      <c r="F163" s="8">
        <v>0</v>
      </c>
      <c r="G163" s="8">
        <f>23-C163</f>
        <v>23</v>
      </c>
      <c r="H163" s="8"/>
      <c r="I163" s="8">
        <f>40-C163</f>
        <v>40</v>
      </c>
      <c r="J163" s="8">
        <f t="shared" si="139"/>
        <v>67</v>
      </c>
      <c r="K163" s="8">
        <f t="shared" si="140"/>
        <v>0.34328358208955223</v>
      </c>
      <c r="L163" s="8">
        <f t="shared" si="142"/>
        <v>0.40298507462686567</v>
      </c>
      <c r="M163" s="8">
        <f t="shared" si="141"/>
        <v>0.2537313432835821</v>
      </c>
      <c r="N163" s="8"/>
      <c r="O163" s="8"/>
    </row>
    <row r="164" spans="1:15" x14ac:dyDescent="0.25">
      <c r="A164" s="8" t="s">
        <v>38</v>
      </c>
      <c r="B164" s="8">
        <v>76</v>
      </c>
      <c r="C164" s="8">
        <v>0</v>
      </c>
      <c r="D164" s="8">
        <v>0</v>
      </c>
      <c r="E164" s="8">
        <f t="shared" si="135"/>
        <v>76</v>
      </c>
      <c r="F164" s="8">
        <v>0</v>
      </c>
      <c r="G164" s="8">
        <f>26-C164</f>
        <v>26</v>
      </c>
      <c r="H164" s="8"/>
      <c r="I164" s="8">
        <f>56-C164</f>
        <v>56</v>
      </c>
      <c r="J164" s="8">
        <f t="shared" si="139"/>
        <v>76</v>
      </c>
      <c r="K164" s="8">
        <f t="shared" si="140"/>
        <v>0.34210526315789475</v>
      </c>
      <c r="L164" s="8">
        <f t="shared" si="142"/>
        <v>0.26315789473684209</v>
      </c>
      <c r="M164" s="8">
        <f t="shared" si="141"/>
        <v>0.39473684210526316</v>
      </c>
      <c r="N164" s="8"/>
      <c r="O164" s="8"/>
    </row>
    <row r="165" spans="1:15" x14ac:dyDescent="0.25">
      <c r="A165" s="8" t="s">
        <v>39</v>
      </c>
      <c r="B165" s="8">
        <v>76</v>
      </c>
      <c r="C165" s="8">
        <v>0</v>
      </c>
      <c r="D165" s="8">
        <v>0</v>
      </c>
      <c r="E165" s="8">
        <f t="shared" si="135"/>
        <v>76</v>
      </c>
      <c r="F165" s="8">
        <v>0</v>
      </c>
      <c r="G165" s="8">
        <f>26-C165</f>
        <v>26</v>
      </c>
      <c r="H165" s="8"/>
      <c r="I165" s="8">
        <f>50-C165</f>
        <v>50</v>
      </c>
      <c r="J165" s="8">
        <f t="shared" si="139"/>
        <v>76</v>
      </c>
      <c r="K165" s="8">
        <f t="shared" si="140"/>
        <v>0.34210526315789475</v>
      </c>
      <c r="L165" s="8">
        <f t="shared" si="142"/>
        <v>0.34210526315789475</v>
      </c>
      <c r="M165" s="8">
        <f t="shared" si="141"/>
        <v>0.31578947368421051</v>
      </c>
      <c r="N165" s="8"/>
      <c r="O165" s="8"/>
    </row>
    <row r="166" spans="1:15" x14ac:dyDescent="0.25">
      <c r="A166" s="8" t="s">
        <v>40</v>
      </c>
      <c r="B166" s="8">
        <v>67</v>
      </c>
      <c r="C166" s="8">
        <v>0</v>
      </c>
      <c r="D166" s="8">
        <v>0</v>
      </c>
      <c r="E166" s="8">
        <f t="shared" si="135"/>
        <v>67</v>
      </c>
      <c r="F166" s="8">
        <v>0</v>
      </c>
      <c r="G166" s="8">
        <f>27-C166</f>
        <v>27</v>
      </c>
      <c r="H166" s="8"/>
      <c r="I166" s="8">
        <f>46-C166</f>
        <v>46</v>
      </c>
      <c r="J166" s="8">
        <f t="shared" si="139"/>
        <v>67</v>
      </c>
      <c r="K166" s="8">
        <f t="shared" si="140"/>
        <v>0.40298507462686567</v>
      </c>
      <c r="L166" s="8">
        <f t="shared" si="142"/>
        <v>0.31343283582089554</v>
      </c>
      <c r="M166" s="8">
        <f t="shared" si="141"/>
        <v>0.28358208955223879</v>
      </c>
      <c r="N166" s="8"/>
      <c r="O166" s="8"/>
    </row>
    <row r="167" spans="1:15" x14ac:dyDescent="0.25">
      <c r="A167" s="8" t="s">
        <v>42</v>
      </c>
      <c r="B167" s="8">
        <v>161</v>
      </c>
      <c r="C167" s="8">
        <v>0</v>
      </c>
      <c r="D167" s="8">
        <v>0</v>
      </c>
      <c r="E167" s="8">
        <f t="shared" si="135"/>
        <v>161</v>
      </c>
      <c r="F167" s="8">
        <v>0</v>
      </c>
      <c r="G167" s="8">
        <f>9-C167</f>
        <v>9</v>
      </c>
      <c r="H167" s="8"/>
      <c r="I167" s="8">
        <f>115-C167</f>
        <v>115</v>
      </c>
      <c r="J167" s="8">
        <f t="shared" si="139"/>
        <v>161</v>
      </c>
      <c r="K167" s="8">
        <f t="shared" si="140"/>
        <v>5.5900621118012424E-2</v>
      </c>
      <c r="L167" s="8">
        <f t="shared" si="142"/>
        <v>0.2857142857142857</v>
      </c>
      <c r="M167" s="8">
        <f t="shared" si="141"/>
        <v>0.65838509316770188</v>
      </c>
      <c r="N167" s="8"/>
      <c r="O167" s="8"/>
    </row>
    <row r="168" spans="1:15" x14ac:dyDescent="0.25">
      <c r="A168" s="8" t="s">
        <v>43</v>
      </c>
      <c r="B168" s="8">
        <v>171</v>
      </c>
      <c r="C168" s="8">
        <v>0</v>
      </c>
      <c r="D168" s="8">
        <v>0</v>
      </c>
      <c r="E168" s="8">
        <f t="shared" si="135"/>
        <v>171</v>
      </c>
      <c r="F168" s="8">
        <f>0</f>
        <v>0</v>
      </c>
      <c r="G168" s="8">
        <f>31-C168</f>
        <v>31</v>
      </c>
      <c r="H168" s="8"/>
      <c r="I168" s="8">
        <f>129-C168</f>
        <v>129</v>
      </c>
      <c r="J168" s="8">
        <f t="shared" si="139"/>
        <v>171</v>
      </c>
      <c r="K168" s="8">
        <f t="shared" si="140"/>
        <v>0.18128654970760233</v>
      </c>
      <c r="L168" s="8">
        <f t="shared" si="142"/>
        <v>0.24561403508771928</v>
      </c>
      <c r="M168" s="8">
        <f t="shared" si="141"/>
        <v>0.57309941520467833</v>
      </c>
      <c r="N168" s="8"/>
      <c r="O168" s="8"/>
    </row>
    <row r="169" spans="1:15" x14ac:dyDescent="0.25">
      <c r="A169" s="8" t="s">
        <v>44</v>
      </c>
      <c r="B169" s="8">
        <v>177</v>
      </c>
      <c r="C169" s="8">
        <v>5</v>
      </c>
      <c r="D169" s="8">
        <v>0</v>
      </c>
      <c r="E169" s="8">
        <f t="shared" si="135"/>
        <v>172</v>
      </c>
      <c r="F169" s="8">
        <f>0</f>
        <v>0</v>
      </c>
      <c r="G169" s="8">
        <f>34-C169</f>
        <v>29</v>
      </c>
      <c r="H169" s="8"/>
      <c r="I169" s="8">
        <f>128-C169</f>
        <v>123</v>
      </c>
      <c r="J169" s="8">
        <f t="shared" si="139"/>
        <v>172</v>
      </c>
      <c r="K169" s="8">
        <f t="shared" si="140"/>
        <v>0.16860465116279069</v>
      </c>
      <c r="L169" s="8">
        <f t="shared" si="142"/>
        <v>0.28488372093023256</v>
      </c>
      <c r="M169" s="8">
        <f t="shared" si="141"/>
        <v>0.54651162790697672</v>
      </c>
      <c r="N169" s="8"/>
      <c r="O169" s="8"/>
    </row>
    <row r="170" spans="1:15" x14ac:dyDescent="0.25">
      <c r="A170" s="8" t="s">
        <v>46</v>
      </c>
      <c r="B170" s="8">
        <v>191</v>
      </c>
      <c r="C170" s="8">
        <f>5</f>
        <v>5</v>
      </c>
      <c r="D170" s="8">
        <v>11</v>
      </c>
      <c r="E170" s="8">
        <f t="shared" ref="E170:E172" si="143">B170-SUM(C170:D170)</f>
        <v>175</v>
      </c>
      <c r="F170" s="8">
        <f>0</f>
        <v>0</v>
      </c>
      <c r="G170" s="8">
        <f>31-C170</f>
        <v>26</v>
      </c>
      <c r="H170" s="8"/>
      <c r="I170" s="8">
        <f>136-C170</f>
        <v>131</v>
      </c>
      <c r="J170" s="8">
        <f t="shared" si="139"/>
        <v>175</v>
      </c>
      <c r="K170" s="8">
        <f t="shared" si="140"/>
        <v>0.14857142857142858</v>
      </c>
      <c r="L170" s="8">
        <f t="shared" si="142"/>
        <v>0.25142857142857145</v>
      </c>
      <c r="M170" s="8">
        <f t="shared" si="141"/>
        <v>0.6</v>
      </c>
      <c r="N170" s="8"/>
      <c r="O170" s="8"/>
    </row>
    <row r="171" spans="1:15" x14ac:dyDescent="0.25">
      <c r="A171" s="8" t="s">
        <v>47</v>
      </c>
      <c r="B171" s="8">
        <v>180</v>
      </c>
      <c r="C171" s="8">
        <v>5</v>
      </c>
      <c r="D171" s="8">
        <v>13</v>
      </c>
      <c r="E171" s="8">
        <f t="shared" si="143"/>
        <v>162</v>
      </c>
      <c r="F171" s="8">
        <v>0</v>
      </c>
      <c r="G171" s="8">
        <f>30-C171</f>
        <v>25</v>
      </c>
      <c r="H171" s="8"/>
      <c r="I171" s="8">
        <f>140-C171</f>
        <v>135</v>
      </c>
      <c r="J171" s="8">
        <f t="shared" si="139"/>
        <v>162</v>
      </c>
      <c r="K171" s="8">
        <f t="shared" si="140"/>
        <v>0.15432098765432098</v>
      </c>
      <c r="L171" s="8">
        <f t="shared" si="142"/>
        <v>0.16666666666666666</v>
      </c>
      <c r="M171" s="8">
        <f t="shared" si="141"/>
        <v>0.67901234567901236</v>
      </c>
      <c r="N171" s="8"/>
      <c r="O171" s="8"/>
    </row>
    <row r="172" spans="1:15" x14ac:dyDescent="0.25">
      <c r="A172" s="8" t="s">
        <v>48</v>
      </c>
      <c r="B172" s="8">
        <v>166</v>
      </c>
      <c r="C172" s="8">
        <v>4</v>
      </c>
      <c r="D172" s="8">
        <v>5</v>
      </c>
      <c r="E172" s="8">
        <f t="shared" si="143"/>
        <v>157</v>
      </c>
      <c r="F172" s="8">
        <v>0</v>
      </c>
      <c r="G172" s="8">
        <f>31-C172</f>
        <v>27</v>
      </c>
      <c r="H172" s="8"/>
      <c r="I172" s="8">
        <f>124-C172</f>
        <v>120</v>
      </c>
      <c r="J172" s="8">
        <f t="shared" si="139"/>
        <v>157</v>
      </c>
      <c r="K172" s="8">
        <f t="shared" si="140"/>
        <v>0.17197452229299362</v>
      </c>
      <c r="L172" s="8">
        <f t="shared" si="142"/>
        <v>0.2356687898089172</v>
      </c>
      <c r="M172" s="8">
        <f t="shared" si="141"/>
        <v>0.59235668789808915</v>
      </c>
      <c r="N172" s="8"/>
      <c r="O172" s="8"/>
    </row>
    <row r="173" spans="1:15" x14ac:dyDescent="0.25">
      <c r="A173" s="8" t="s">
        <v>57</v>
      </c>
      <c r="B173" s="8">
        <v>81</v>
      </c>
      <c r="C173" s="8">
        <v>0</v>
      </c>
      <c r="D173" s="8">
        <v>0</v>
      </c>
      <c r="E173" s="8">
        <f t="shared" ref="E173:E176" si="144">B173-SUM(C173:D173)</f>
        <v>81</v>
      </c>
      <c r="F173" s="8">
        <v>0</v>
      </c>
      <c r="G173" s="8">
        <f>31-C173</f>
        <v>31</v>
      </c>
      <c r="H173" s="8"/>
      <c r="I173" s="8">
        <f>55-C173</f>
        <v>55</v>
      </c>
      <c r="J173" s="8">
        <f t="shared" ref="J173:J176" si="145">E173</f>
        <v>81</v>
      </c>
      <c r="K173" s="8">
        <f t="shared" si="140"/>
        <v>0.38271604938271603</v>
      </c>
      <c r="L173" s="8">
        <f t="shared" si="142"/>
        <v>0.32098765432098764</v>
      </c>
      <c r="M173" s="8">
        <f t="shared" si="141"/>
        <v>0.29629629629629628</v>
      </c>
      <c r="N173" s="8"/>
      <c r="O173" s="8"/>
    </row>
    <row r="174" spans="1:15" x14ac:dyDescent="0.25">
      <c r="A174" s="8" t="s">
        <v>58</v>
      </c>
      <c r="B174" s="8">
        <v>81</v>
      </c>
      <c r="C174" s="8">
        <v>0</v>
      </c>
      <c r="D174" s="8">
        <f>0</f>
        <v>0</v>
      </c>
      <c r="E174" s="8">
        <f t="shared" si="144"/>
        <v>81</v>
      </c>
      <c r="F174" s="8">
        <v>0</v>
      </c>
      <c r="G174" s="8">
        <f>25-C174</f>
        <v>25</v>
      </c>
      <c r="H174" s="8"/>
      <c r="I174" s="8">
        <f>55-C174</f>
        <v>55</v>
      </c>
      <c r="J174" s="8">
        <f t="shared" si="145"/>
        <v>81</v>
      </c>
      <c r="K174" s="8">
        <f t="shared" si="140"/>
        <v>0.30864197530864196</v>
      </c>
      <c r="L174" s="8">
        <f t="shared" si="142"/>
        <v>0.32098765432098764</v>
      </c>
      <c r="M174" s="8">
        <f t="shared" si="141"/>
        <v>0.37037037037037035</v>
      </c>
      <c r="N174" s="8"/>
      <c r="O174" s="8"/>
    </row>
    <row r="175" spans="1:15" x14ac:dyDescent="0.25">
      <c r="A175" s="8" t="s">
        <v>55</v>
      </c>
      <c r="B175" s="8">
        <v>74</v>
      </c>
      <c r="C175" s="8">
        <v>0</v>
      </c>
      <c r="D175" s="8">
        <v>0</v>
      </c>
      <c r="E175" s="8">
        <f t="shared" si="144"/>
        <v>74</v>
      </c>
      <c r="F175" s="8">
        <v>0</v>
      </c>
      <c r="G175" s="8">
        <f>10-C175</f>
        <v>10</v>
      </c>
      <c r="H175" s="8"/>
      <c r="I175" s="8">
        <f>41-C175</f>
        <v>41</v>
      </c>
      <c r="J175" s="8">
        <f t="shared" si="145"/>
        <v>74</v>
      </c>
      <c r="K175" s="8">
        <f t="shared" si="140"/>
        <v>0.13513513513513514</v>
      </c>
      <c r="L175" s="8">
        <f t="shared" si="142"/>
        <v>0.44594594594594594</v>
      </c>
      <c r="M175" s="8">
        <f t="shared" si="141"/>
        <v>0.41891891891891891</v>
      </c>
      <c r="N175" s="8"/>
      <c r="O175" s="8"/>
    </row>
    <row r="176" spans="1:15" x14ac:dyDescent="0.25">
      <c r="A176" s="8" t="s">
        <v>60</v>
      </c>
      <c r="B176" s="8">
        <v>69</v>
      </c>
      <c r="C176" s="8">
        <v>2</v>
      </c>
      <c r="D176" s="8">
        <v>2</v>
      </c>
      <c r="E176" s="8">
        <f t="shared" si="144"/>
        <v>65</v>
      </c>
      <c r="F176" s="8">
        <v>0</v>
      </c>
      <c r="G176" s="8">
        <f>21-C176</f>
        <v>19</v>
      </c>
      <c r="H176" s="8"/>
      <c r="I176" s="8">
        <f>43-C176</f>
        <v>41</v>
      </c>
      <c r="J176" s="8">
        <f t="shared" si="145"/>
        <v>65</v>
      </c>
      <c r="K176" s="8">
        <f t="shared" si="140"/>
        <v>0.29230769230769232</v>
      </c>
      <c r="L176" s="8">
        <f t="shared" si="142"/>
        <v>0.36923076923076925</v>
      </c>
      <c r="M176" s="8">
        <f t="shared" si="141"/>
        <v>0.33846153846153848</v>
      </c>
      <c r="N176" s="8"/>
      <c r="O176" s="8"/>
    </row>
    <row r="177" spans="1:15" x14ac:dyDescent="0.25">
      <c r="A177" s="8" t="s">
        <v>63</v>
      </c>
      <c r="B177" s="8">
        <v>189</v>
      </c>
      <c r="C177" s="8">
        <v>0</v>
      </c>
      <c r="D177" s="8">
        <v>0</v>
      </c>
      <c r="E177" s="8">
        <f t="shared" ref="E177:E179" si="146">B177-SUM(C177:D177)</f>
        <v>189</v>
      </c>
      <c r="F177" s="8">
        <f>0</f>
        <v>0</v>
      </c>
      <c r="G177" s="8">
        <f>2-C177</f>
        <v>2</v>
      </c>
      <c r="H177" s="8"/>
      <c r="I177" s="8">
        <f>159-C177</f>
        <v>159</v>
      </c>
      <c r="J177" s="8">
        <f t="shared" ref="J177:J179" si="147">E177</f>
        <v>189</v>
      </c>
      <c r="K177" s="8">
        <f t="shared" si="140"/>
        <v>1.0582010582010581E-2</v>
      </c>
      <c r="L177" s="8">
        <f t="shared" si="142"/>
        <v>0.15873015873015872</v>
      </c>
      <c r="M177" s="8">
        <f t="shared" si="141"/>
        <v>0.8306878306878307</v>
      </c>
      <c r="N177" s="8"/>
      <c r="O177" s="8"/>
    </row>
    <row r="178" spans="1:15" x14ac:dyDescent="0.25">
      <c r="A178" s="8" t="s">
        <v>64</v>
      </c>
      <c r="B178" s="8">
        <v>175</v>
      </c>
      <c r="C178" s="8">
        <v>10</v>
      </c>
      <c r="D178" s="8">
        <v>0</v>
      </c>
      <c r="E178" s="8">
        <f t="shared" si="146"/>
        <v>165</v>
      </c>
      <c r="F178" s="8">
        <v>0</v>
      </c>
      <c r="G178" s="8">
        <f>0</f>
        <v>0</v>
      </c>
      <c r="H178" s="8"/>
      <c r="I178" s="8">
        <f>151-C178</f>
        <v>141</v>
      </c>
      <c r="J178" s="8">
        <f t="shared" si="147"/>
        <v>165</v>
      </c>
      <c r="K178" s="8">
        <f t="shared" si="140"/>
        <v>0</v>
      </c>
      <c r="L178" s="8">
        <f t="shared" si="142"/>
        <v>0.14545454545454545</v>
      </c>
      <c r="M178" s="8">
        <f t="shared" si="141"/>
        <v>0.8545454545454545</v>
      </c>
      <c r="N178" s="8"/>
      <c r="O178" s="8"/>
    </row>
    <row r="179" spans="1:15" x14ac:dyDescent="0.25">
      <c r="A179" s="8" t="s">
        <v>65</v>
      </c>
      <c r="B179" s="8">
        <v>172</v>
      </c>
      <c r="C179" s="8">
        <v>0</v>
      </c>
      <c r="D179" s="8">
        <v>0</v>
      </c>
      <c r="E179" s="8">
        <f t="shared" si="146"/>
        <v>172</v>
      </c>
      <c r="F179" s="8">
        <v>0</v>
      </c>
      <c r="G179" s="8">
        <f>0-C179</f>
        <v>0</v>
      </c>
      <c r="H179" s="8"/>
      <c r="I179" s="8">
        <f>155-C179</f>
        <v>155</v>
      </c>
      <c r="J179" s="8">
        <f t="shared" si="147"/>
        <v>172</v>
      </c>
      <c r="K179" s="8">
        <f t="shared" si="140"/>
        <v>0</v>
      </c>
      <c r="L179" s="8">
        <f t="shared" si="142"/>
        <v>9.8837209302325577E-2</v>
      </c>
      <c r="M179" s="8">
        <f t="shared" si="141"/>
        <v>0.90116279069767447</v>
      </c>
      <c r="N179" s="8"/>
      <c r="O179" s="8"/>
    </row>
    <row r="183" spans="1:15" ht="18.75" x14ac:dyDescent="0.3">
      <c r="A183" s="2"/>
      <c r="B183" s="10"/>
      <c r="C183" s="10"/>
      <c r="D183" s="10"/>
      <c r="E183" s="10"/>
      <c r="F183" s="10"/>
      <c r="G183" s="8"/>
      <c r="H183" s="10"/>
      <c r="I183" s="10"/>
      <c r="J183" s="10"/>
      <c r="K183" s="10"/>
      <c r="L183" s="10"/>
    </row>
    <row r="184" spans="1:15" x14ac:dyDescent="0.25">
      <c r="A184" s="8"/>
      <c r="B184" s="8"/>
      <c r="C184" s="8"/>
      <c r="D184" s="8"/>
      <c r="E184" s="8"/>
      <c r="F184" s="8"/>
      <c r="G184" s="8"/>
      <c r="H184" s="8"/>
      <c r="I184" s="8"/>
      <c r="J184" s="8"/>
      <c r="K184" s="8"/>
      <c r="L184" s="8"/>
    </row>
    <row r="185" spans="1:15" x14ac:dyDescent="0.25">
      <c r="A185" s="8"/>
      <c r="B185" s="8"/>
      <c r="C185" s="8"/>
      <c r="D185" s="8"/>
      <c r="E185" s="8"/>
      <c r="F185" s="8"/>
      <c r="G185" s="8"/>
      <c r="H185" s="8"/>
      <c r="I185" s="8"/>
      <c r="J185" s="8"/>
      <c r="K185" s="8"/>
      <c r="L185" s="8"/>
    </row>
    <row r="186" spans="1:15" x14ac:dyDescent="0.25">
      <c r="A186" s="8"/>
      <c r="B186" s="8"/>
      <c r="C186" s="8"/>
      <c r="D186" s="8"/>
      <c r="E186" s="8"/>
      <c r="F186" s="8"/>
      <c r="G186" s="8"/>
      <c r="H186" s="8"/>
      <c r="I186" s="8"/>
      <c r="J186" s="8"/>
      <c r="K186" s="8"/>
      <c r="L186" s="8"/>
    </row>
    <row r="187" spans="1:15" x14ac:dyDescent="0.25">
      <c r="A187" s="1"/>
      <c r="B187" s="1"/>
      <c r="C187" s="1"/>
      <c r="D187" s="1"/>
      <c r="E187" s="1"/>
      <c r="F187" s="1"/>
      <c r="G187" s="1"/>
      <c r="H187" s="1"/>
      <c r="I187" s="1"/>
      <c r="J187" s="1"/>
      <c r="K187" s="1"/>
      <c r="L187" s="1"/>
    </row>
    <row r="188" spans="1:15" x14ac:dyDescent="0.25">
      <c r="A188" s="8"/>
      <c r="B188" s="8"/>
      <c r="C188" s="8"/>
      <c r="D188" s="8"/>
      <c r="E188" s="8"/>
      <c r="F188" s="8"/>
      <c r="G188" s="8"/>
      <c r="H188" s="8"/>
      <c r="I188" s="8"/>
      <c r="J188" s="8"/>
      <c r="K188" s="8"/>
      <c r="L188" s="8"/>
    </row>
    <row r="189" spans="1:15" x14ac:dyDescent="0.25">
      <c r="A189" s="8"/>
      <c r="B189" s="8"/>
      <c r="C189" s="8"/>
      <c r="D189" s="8"/>
      <c r="E189" s="8"/>
      <c r="F189" s="8"/>
      <c r="G189" s="8"/>
      <c r="H189" s="8"/>
      <c r="I189" s="8"/>
      <c r="J189" s="8"/>
      <c r="K189" s="8"/>
      <c r="L189" s="8"/>
    </row>
    <row r="190" spans="1:15" x14ac:dyDescent="0.25">
      <c r="A190" s="8"/>
      <c r="B190" s="8"/>
      <c r="C190" s="8"/>
      <c r="D190" s="8"/>
      <c r="E190" s="8"/>
      <c r="F190" s="8"/>
      <c r="G190" s="8"/>
      <c r="H190" s="8"/>
      <c r="I190" s="8"/>
      <c r="J190" s="8"/>
      <c r="K190" s="8"/>
      <c r="L190" s="8"/>
    </row>
    <row r="191" spans="1:15" x14ac:dyDescent="0.25">
      <c r="A191" s="1"/>
      <c r="B191" s="1"/>
      <c r="C191" s="1"/>
      <c r="D191" s="1"/>
      <c r="E191" s="1"/>
      <c r="F191" s="1"/>
      <c r="G191" s="1"/>
      <c r="H191" s="1"/>
      <c r="I191" s="1"/>
      <c r="J191" s="1"/>
      <c r="K191" s="1"/>
      <c r="L191" s="1"/>
    </row>
    <row r="192" spans="1:15" x14ac:dyDescent="0.25">
      <c r="A192" s="8"/>
      <c r="B192" s="8"/>
      <c r="C192" s="8"/>
      <c r="D192" s="8"/>
      <c r="E192" s="8"/>
      <c r="F192" s="8"/>
      <c r="G192" s="8"/>
      <c r="H192" s="8"/>
      <c r="I192" s="8"/>
      <c r="J192" s="8"/>
      <c r="K192" s="8"/>
      <c r="L192" s="8"/>
    </row>
    <row r="193" spans="1:12" x14ac:dyDescent="0.25">
      <c r="A193" s="8"/>
      <c r="B193" s="8"/>
      <c r="C193" s="8"/>
      <c r="D193" s="8"/>
      <c r="E193" s="8"/>
      <c r="F193" s="8"/>
      <c r="G193" s="8"/>
      <c r="H193" s="8"/>
      <c r="I193" s="8"/>
      <c r="J193" s="8"/>
      <c r="K193" s="8"/>
      <c r="L193" s="8"/>
    </row>
    <row r="194" spans="1:12" x14ac:dyDescent="0.25">
      <c r="A194" s="8"/>
      <c r="B194" s="8"/>
      <c r="C194" s="8"/>
      <c r="D194" s="8"/>
      <c r="E194" s="8"/>
      <c r="F194" s="8"/>
      <c r="G194" s="8"/>
      <c r="H194" s="8"/>
      <c r="I194" s="8"/>
      <c r="J194" s="8"/>
      <c r="K194" s="8"/>
      <c r="L194" s="8"/>
    </row>
    <row r="195" spans="1:12" x14ac:dyDescent="0.25">
      <c r="A195" s="1"/>
      <c r="B195" s="1"/>
      <c r="C195" s="1"/>
      <c r="D195" s="1"/>
      <c r="E195" s="1"/>
      <c r="F195" s="1"/>
      <c r="G195" s="1"/>
      <c r="H195" s="1"/>
      <c r="I195" s="1"/>
      <c r="J195" s="1"/>
      <c r="K195" s="1"/>
      <c r="L195" s="1"/>
    </row>
    <row r="196" spans="1:12" x14ac:dyDescent="0.25">
      <c r="A196" s="8"/>
      <c r="B196" s="8"/>
      <c r="C196" s="8"/>
      <c r="D196" s="8"/>
      <c r="E196" s="8"/>
      <c r="F196" s="8"/>
      <c r="G196" s="8"/>
      <c r="H196" s="8"/>
      <c r="I196" s="8"/>
      <c r="J196" s="8"/>
      <c r="K196" s="8"/>
      <c r="L196" s="8"/>
    </row>
    <row r="197" spans="1:12" x14ac:dyDescent="0.25">
      <c r="A197" s="8"/>
      <c r="B197" s="8"/>
      <c r="C197" s="8"/>
      <c r="D197" s="8"/>
      <c r="E197" s="8"/>
      <c r="F197" s="8"/>
      <c r="G197" s="8"/>
      <c r="H197" s="8"/>
      <c r="I197" s="8"/>
      <c r="J197" s="8"/>
      <c r="K197" s="8"/>
      <c r="L197" s="8"/>
    </row>
    <row r="198" spans="1:12" x14ac:dyDescent="0.25">
      <c r="A198" s="8"/>
      <c r="B198" s="8"/>
      <c r="C198" s="8"/>
      <c r="D198" s="8"/>
      <c r="E198" s="8"/>
      <c r="F198" s="8"/>
      <c r="G198" s="8"/>
      <c r="H198" s="8"/>
      <c r="I198" s="8"/>
      <c r="J198" s="8"/>
      <c r="K198" s="8"/>
      <c r="L198" s="8"/>
    </row>
    <row r="199" spans="1:12" x14ac:dyDescent="0.25">
      <c r="A199" s="1"/>
      <c r="B199" s="1"/>
      <c r="C199" s="1"/>
      <c r="D199" s="1"/>
      <c r="E199" s="1"/>
      <c r="F199" s="1"/>
      <c r="G199" s="1"/>
      <c r="H199" s="1"/>
      <c r="I199" s="1"/>
      <c r="J199" s="1"/>
      <c r="K199" s="1"/>
      <c r="L199" s="1"/>
    </row>
    <row r="200" spans="1:12" x14ac:dyDescent="0.25">
      <c r="A200" s="8"/>
      <c r="B200" s="8"/>
      <c r="C200" s="8"/>
      <c r="D200" s="8"/>
      <c r="E200" s="8"/>
      <c r="F200" s="8"/>
      <c r="G200" s="8"/>
      <c r="H200" s="8"/>
      <c r="I200" s="8"/>
      <c r="J200" s="8"/>
      <c r="K200" s="8"/>
      <c r="L200" s="8"/>
    </row>
    <row r="201" spans="1:12" x14ac:dyDescent="0.25">
      <c r="A201" s="8"/>
      <c r="B201" s="8"/>
      <c r="C201" s="8"/>
      <c r="D201" s="8"/>
      <c r="E201" s="8"/>
      <c r="F201" s="8"/>
      <c r="G201" s="8"/>
      <c r="H201" s="8"/>
      <c r="I201" s="8"/>
      <c r="J201" s="8"/>
      <c r="K201" s="8"/>
      <c r="L201" s="8"/>
    </row>
    <row r="202" spans="1:12" x14ac:dyDescent="0.25">
      <c r="A202" s="8"/>
      <c r="B202" s="8"/>
      <c r="C202" s="8"/>
      <c r="D202" s="8"/>
      <c r="E202" s="8"/>
      <c r="F202" s="8"/>
      <c r="G202" s="8"/>
      <c r="H202" s="8"/>
      <c r="I202" s="8"/>
      <c r="J202" s="8"/>
      <c r="K202" s="8"/>
      <c r="L202" s="8"/>
    </row>
    <row r="203" spans="1:12" x14ac:dyDescent="0.25">
      <c r="A203" s="1"/>
      <c r="B203" s="1"/>
      <c r="C203" s="1"/>
      <c r="D203" s="1"/>
      <c r="E203" s="1"/>
      <c r="F203" s="1"/>
      <c r="G203" s="1"/>
      <c r="H203" s="1"/>
      <c r="I203" s="1"/>
      <c r="J203" s="1"/>
      <c r="K203" s="1"/>
      <c r="L203" s="1"/>
    </row>
    <row r="204" spans="1:12" x14ac:dyDescent="0.25">
      <c r="A204" s="8"/>
      <c r="B204" s="8"/>
      <c r="C204" s="8"/>
      <c r="D204" s="8"/>
      <c r="E204" s="8"/>
      <c r="F204" s="8"/>
      <c r="G204" s="8"/>
      <c r="H204" s="8"/>
      <c r="I204" s="8"/>
      <c r="J204" s="8"/>
      <c r="K204" s="8"/>
      <c r="L204" s="8"/>
    </row>
    <row r="205" spans="1:12" x14ac:dyDescent="0.25">
      <c r="A205" s="8"/>
      <c r="B205" s="8"/>
      <c r="C205" s="8"/>
      <c r="D205" s="8"/>
      <c r="E205" s="8"/>
      <c r="F205" s="8"/>
      <c r="G205" s="8"/>
      <c r="H205" s="8"/>
      <c r="I205" s="8"/>
      <c r="J205" s="8"/>
      <c r="K205" s="8"/>
      <c r="L205" s="8"/>
    </row>
    <row r="206" spans="1:12" x14ac:dyDescent="0.25">
      <c r="A206" s="8"/>
      <c r="B206" s="8"/>
      <c r="C206" s="8"/>
      <c r="D206" s="8"/>
      <c r="E206" s="8"/>
      <c r="F206" s="8"/>
      <c r="G206" s="8"/>
      <c r="H206" s="8"/>
      <c r="I206" s="8"/>
      <c r="J206" s="8"/>
      <c r="K206" s="8"/>
      <c r="L206" s="8"/>
    </row>
    <row r="207" spans="1:12" x14ac:dyDescent="0.25">
      <c r="A207" s="1"/>
      <c r="B207" s="1"/>
      <c r="C207" s="1"/>
      <c r="D207" s="1"/>
      <c r="E207" s="1"/>
      <c r="F207" s="1"/>
      <c r="G207" s="1"/>
      <c r="H207" s="1"/>
      <c r="I207" s="1"/>
      <c r="J207" s="1"/>
      <c r="K207" s="1"/>
      <c r="L207" s="1"/>
    </row>
    <row r="208" spans="1:12" x14ac:dyDescent="0.25">
      <c r="A208" s="8"/>
      <c r="B208" s="8"/>
      <c r="C208" s="8"/>
      <c r="D208" s="8"/>
      <c r="E208" s="8"/>
      <c r="F208" s="8"/>
      <c r="G208" s="8"/>
      <c r="H208" s="8"/>
      <c r="I208" s="8"/>
      <c r="J208" s="8"/>
      <c r="K208" s="8"/>
      <c r="L208" s="8"/>
    </row>
    <row r="209" spans="1:12" x14ac:dyDescent="0.25">
      <c r="A209" s="8"/>
      <c r="B209" s="8"/>
      <c r="C209" s="8"/>
      <c r="D209" s="8"/>
      <c r="E209" s="8"/>
      <c r="F209" s="8"/>
      <c r="G209" s="8"/>
      <c r="H209" s="8"/>
      <c r="I209" s="8"/>
      <c r="J209" s="8"/>
      <c r="K209" s="8"/>
      <c r="L209" s="8"/>
    </row>
    <row r="210" spans="1:12" x14ac:dyDescent="0.25">
      <c r="A210" s="8"/>
      <c r="B210" s="8"/>
      <c r="C210" s="8"/>
      <c r="D210" s="8"/>
      <c r="E210" s="8"/>
      <c r="F210" s="8"/>
      <c r="G210" s="8"/>
      <c r="H210" s="8"/>
      <c r="I210" s="8"/>
      <c r="J210" s="8"/>
      <c r="K210" s="8"/>
      <c r="L210" s="8"/>
    </row>
    <row r="211" spans="1:12" x14ac:dyDescent="0.25">
      <c r="A211" s="1"/>
      <c r="B211" s="1"/>
      <c r="C211" s="1"/>
      <c r="D211" s="1"/>
      <c r="E211" s="1"/>
      <c r="F211" s="1"/>
      <c r="G211" s="1"/>
      <c r="H211" s="1"/>
      <c r="I211" s="1"/>
      <c r="J211" s="1"/>
      <c r="K211" s="1"/>
      <c r="L211" s="1"/>
    </row>
    <row r="212" spans="1:12" x14ac:dyDescent="0.25">
      <c r="A212" s="8"/>
      <c r="B212" s="8"/>
      <c r="C212" s="8"/>
      <c r="D212" s="8"/>
      <c r="E212" s="8"/>
      <c r="F212" s="8"/>
      <c r="G212" s="8"/>
      <c r="H212" s="8"/>
      <c r="I212" s="8"/>
      <c r="J212" s="8"/>
      <c r="K212" s="8"/>
      <c r="L212" s="8"/>
    </row>
    <row r="213" spans="1:12" x14ac:dyDescent="0.25">
      <c r="A213" s="8"/>
      <c r="B213" s="8"/>
      <c r="C213" s="8"/>
      <c r="D213" s="8"/>
      <c r="E213" s="8"/>
      <c r="F213" s="8"/>
      <c r="G213" s="8"/>
      <c r="H213" s="8"/>
      <c r="I213" s="8"/>
      <c r="J213" s="8"/>
      <c r="K213" s="8"/>
      <c r="L213" s="8"/>
    </row>
    <row r="214" spans="1:12" x14ac:dyDescent="0.25">
      <c r="A214" s="8"/>
      <c r="B214" s="8"/>
      <c r="C214" s="8"/>
      <c r="D214" s="8"/>
      <c r="E214" s="8"/>
      <c r="F214" s="8"/>
      <c r="G214" s="8"/>
      <c r="H214" s="8"/>
      <c r="I214" s="8"/>
      <c r="J214" s="8"/>
      <c r="K214" s="8"/>
      <c r="L214" s="8"/>
    </row>
    <row r="215" spans="1:12" x14ac:dyDescent="0.25">
      <c r="A215" s="1"/>
      <c r="B215" s="1"/>
      <c r="C215" s="1"/>
      <c r="D215" s="1"/>
      <c r="E215" s="1"/>
      <c r="F215" s="1"/>
      <c r="G215" s="1"/>
      <c r="H215" s="1"/>
      <c r="I215" s="1"/>
      <c r="J215" s="1"/>
      <c r="K215" s="1"/>
      <c r="L215" s="1"/>
    </row>
    <row r="216" spans="1:12" x14ac:dyDescent="0.25">
      <c r="A216" s="8"/>
      <c r="B216" s="8"/>
      <c r="C216" s="8"/>
      <c r="D216" s="8"/>
      <c r="E216" s="8"/>
      <c r="F216" s="8"/>
      <c r="G216" s="8"/>
      <c r="H216" s="8"/>
      <c r="I216" s="8"/>
      <c r="J216" s="8"/>
      <c r="K216" s="8"/>
      <c r="L216" s="8"/>
    </row>
    <row r="217" spans="1:12" x14ac:dyDescent="0.25">
      <c r="A217" s="8"/>
      <c r="B217" s="8"/>
      <c r="C217" s="8"/>
      <c r="D217" s="8"/>
      <c r="E217" s="8"/>
      <c r="F217" s="8"/>
      <c r="G217" s="8"/>
      <c r="H217" s="8"/>
      <c r="I217" s="8"/>
      <c r="J217" s="8"/>
      <c r="K217" s="8"/>
      <c r="L217" s="8"/>
    </row>
    <row r="218" spans="1:12" x14ac:dyDescent="0.25">
      <c r="A218" s="8"/>
      <c r="B218" s="8"/>
      <c r="C218" s="8"/>
      <c r="D218" s="8"/>
      <c r="E218" s="8"/>
      <c r="F218" s="8"/>
      <c r="G218" s="8"/>
      <c r="H218" s="8"/>
      <c r="I218" s="8"/>
      <c r="J218" s="8"/>
      <c r="K218" s="8"/>
      <c r="L218" s="8"/>
    </row>
    <row r="219" spans="1:12" x14ac:dyDescent="0.25">
      <c r="A219" s="1"/>
      <c r="B219" s="1"/>
      <c r="C219" s="1"/>
      <c r="D219" s="1"/>
      <c r="E219" s="1"/>
      <c r="F219" s="1"/>
      <c r="G219" s="1"/>
      <c r="H219" s="1"/>
      <c r="I219" s="1"/>
      <c r="J219" s="1"/>
      <c r="K219" s="1"/>
      <c r="L219" s="1"/>
    </row>
    <row r="220" spans="1:12" x14ac:dyDescent="0.25">
      <c r="A220" s="8"/>
      <c r="B220" s="8"/>
      <c r="C220" s="8"/>
      <c r="D220" s="8"/>
      <c r="E220" s="8"/>
      <c r="F220" s="8"/>
      <c r="G220" s="8"/>
      <c r="H220" s="8"/>
      <c r="I220" s="8"/>
      <c r="J220" s="8"/>
      <c r="K220" s="8"/>
      <c r="L220" s="8"/>
    </row>
    <row r="221" spans="1:12" x14ac:dyDescent="0.25">
      <c r="A221" s="8"/>
      <c r="B221" s="8"/>
      <c r="C221" s="8"/>
      <c r="D221" s="8"/>
      <c r="E221" s="8"/>
      <c r="F221" s="8"/>
      <c r="G221" s="8"/>
      <c r="H221" s="8"/>
      <c r="I221" s="8"/>
      <c r="J221" s="8"/>
      <c r="K221" s="8"/>
      <c r="L221" s="8"/>
    </row>
    <row r="222" spans="1:12" x14ac:dyDescent="0.25">
      <c r="A222" s="8"/>
      <c r="B222" s="8"/>
      <c r="C222" s="8"/>
      <c r="D222" s="8"/>
      <c r="E222" s="8"/>
      <c r="F222" s="8"/>
      <c r="G222" s="8"/>
      <c r="H222" s="8"/>
      <c r="I222" s="8"/>
      <c r="J222" s="8"/>
      <c r="K222" s="8"/>
      <c r="L222" s="8"/>
    </row>
    <row r="223" spans="1:12" x14ac:dyDescent="0.25">
      <c r="A223" s="1"/>
      <c r="B223" s="1"/>
      <c r="C223" s="1"/>
      <c r="D223" s="1"/>
      <c r="E223" s="1"/>
      <c r="F223" s="1"/>
      <c r="G223" s="1"/>
      <c r="H223" s="1"/>
      <c r="I223" s="1"/>
      <c r="J223" s="1"/>
      <c r="K223" s="1"/>
      <c r="L223" s="1"/>
    </row>
    <row r="224" spans="1:12" x14ac:dyDescent="0.25">
      <c r="A224" s="8"/>
      <c r="B224" s="8"/>
      <c r="C224" s="8"/>
      <c r="D224" s="8"/>
      <c r="E224" s="8"/>
      <c r="F224" s="8"/>
      <c r="G224" s="8"/>
      <c r="H224" s="8"/>
      <c r="I224" s="8"/>
      <c r="J224" s="8"/>
      <c r="K224" s="8"/>
      <c r="L224" s="8"/>
    </row>
    <row r="225" spans="1:12" x14ac:dyDescent="0.25">
      <c r="A225" s="8"/>
      <c r="B225" s="8"/>
      <c r="C225" s="8"/>
      <c r="D225" s="8"/>
      <c r="E225" s="8"/>
      <c r="F225" s="8"/>
      <c r="G225" s="8"/>
      <c r="H225" s="8"/>
      <c r="I225" s="8"/>
      <c r="J225" s="8"/>
      <c r="K225" s="8"/>
      <c r="L225" s="8"/>
    </row>
    <row r="226" spans="1:12" x14ac:dyDescent="0.25">
      <c r="A226" s="8"/>
      <c r="B226" s="8"/>
      <c r="C226" s="8"/>
      <c r="D226" s="8"/>
      <c r="E226" s="8"/>
      <c r="F226" s="8"/>
      <c r="G226" s="8"/>
      <c r="H226" s="8"/>
      <c r="I226" s="8"/>
      <c r="J226" s="8"/>
      <c r="K226" s="8"/>
      <c r="L226" s="8"/>
    </row>
    <row r="227" spans="1:12" x14ac:dyDescent="0.25">
      <c r="A227" s="1"/>
      <c r="B227" s="1"/>
      <c r="C227" s="1"/>
      <c r="D227" s="1"/>
      <c r="E227" s="1"/>
      <c r="F227" s="1"/>
      <c r="G227" s="1"/>
      <c r="H227" s="1"/>
      <c r="I227" s="1"/>
      <c r="J227" s="1"/>
      <c r="K227" s="1"/>
      <c r="L227" s="1"/>
    </row>
    <row r="228" spans="1:12" x14ac:dyDescent="0.25">
      <c r="A228" s="8"/>
      <c r="B228" s="8"/>
      <c r="C228" s="8"/>
      <c r="D228" s="8"/>
      <c r="E228" s="8"/>
      <c r="F228" s="8"/>
      <c r="G228" s="8"/>
      <c r="H228" s="8"/>
      <c r="I228" s="8"/>
      <c r="J228" s="8"/>
      <c r="K228" s="8"/>
      <c r="L228" s="8"/>
    </row>
    <row r="229" spans="1:12" x14ac:dyDescent="0.25">
      <c r="A229" s="8"/>
      <c r="B229" s="8"/>
      <c r="C229" s="8"/>
      <c r="D229" s="8"/>
      <c r="E229" s="8"/>
      <c r="F229" s="8"/>
      <c r="G229" s="8"/>
      <c r="H229" s="8"/>
      <c r="I229" s="8"/>
      <c r="J229" s="8"/>
      <c r="K229" s="8"/>
      <c r="L229" s="8"/>
    </row>
    <row r="230" spans="1:12" x14ac:dyDescent="0.25">
      <c r="A230" s="8"/>
      <c r="B230" s="8"/>
      <c r="C230" s="8"/>
      <c r="D230" s="8"/>
      <c r="E230" s="8"/>
      <c r="F230" s="8"/>
      <c r="G230" s="8"/>
      <c r="H230" s="8"/>
      <c r="I230" s="8"/>
      <c r="J230" s="8"/>
      <c r="K230" s="8"/>
      <c r="L230" s="8"/>
    </row>
    <row r="231" spans="1:12" x14ac:dyDescent="0.25">
      <c r="A231" s="8"/>
      <c r="B231" s="8"/>
      <c r="C231" s="8"/>
      <c r="D231" s="8"/>
      <c r="E231" s="8"/>
      <c r="F231" s="8"/>
      <c r="G231" s="8"/>
      <c r="H231" s="8"/>
      <c r="I231" s="8"/>
      <c r="J231" s="8"/>
      <c r="K231" s="8"/>
      <c r="L231" s="8"/>
    </row>
  </sheetData>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45034-692C-4D7F-B23B-F9E8246C54F4}">
  <sheetPr codeName="Sheet2"/>
  <dimension ref="A1:G13"/>
  <sheetViews>
    <sheetView workbookViewId="0">
      <selection activeCell="E10" sqref="E10"/>
    </sheetView>
  </sheetViews>
  <sheetFormatPr defaultRowHeight="15" x14ac:dyDescent="0.25"/>
  <cols>
    <col min="1" max="1" width="7.42578125" bestFit="1" customWidth="1"/>
    <col min="2" max="2" width="17.28515625" bestFit="1" customWidth="1"/>
    <col min="3" max="4" width="16.5703125" bestFit="1" customWidth="1"/>
    <col min="6" max="6" width="7.42578125" bestFit="1" customWidth="1"/>
  </cols>
  <sheetData>
    <row r="1" spans="1:7" x14ac:dyDescent="0.25">
      <c r="A1" s="10" t="s">
        <v>116</v>
      </c>
      <c r="B1" s="10" t="s">
        <v>99</v>
      </c>
      <c r="C1" s="10" t="s">
        <v>89</v>
      </c>
      <c r="D1" s="10" t="s">
        <v>117</v>
      </c>
      <c r="E1" s="10" t="s">
        <v>98</v>
      </c>
      <c r="F1" s="10" t="s">
        <v>111</v>
      </c>
      <c r="G1" s="8"/>
    </row>
    <row r="2" spans="1:7" x14ac:dyDescent="0.25">
      <c r="A2" s="8">
        <f>2</f>
        <v>2</v>
      </c>
      <c r="B2" s="8">
        <v>0</v>
      </c>
      <c r="C2" s="8">
        <f>'estimates new'!AR3</f>
        <v>0.58536585365853666</v>
      </c>
      <c r="D2" s="8">
        <f>'estimates new'!AS3</f>
        <v>0.41463414634146339</v>
      </c>
      <c r="E2" s="8">
        <f>'estimates new'!AT3</f>
        <v>0.82</v>
      </c>
      <c r="F2">
        <v>0</v>
      </c>
      <c r="G2" s="20"/>
    </row>
    <row r="3" spans="1:7" x14ac:dyDescent="0.25">
      <c r="A3" s="8">
        <f>A2+1</f>
        <v>3</v>
      </c>
      <c r="B3" s="8">
        <v>60</v>
      </c>
      <c r="C3" s="8">
        <f>'estimates new'!AR4</f>
        <v>0.65384615384615385</v>
      </c>
      <c r="D3" s="8">
        <f>'estimates new'!AS4</f>
        <v>0.34615384615384615</v>
      </c>
      <c r="E3" s="8">
        <f>'estimates new'!AT4</f>
        <v>0.78</v>
      </c>
      <c r="F3" s="8">
        <v>0</v>
      </c>
      <c r="G3" s="20"/>
    </row>
    <row r="4" spans="1:7" x14ac:dyDescent="0.25">
      <c r="A4" s="8">
        <f t="shared" ref="A4:A12" si="0">A3+1</f>
        <v>4</v>
      </c>
      <c r="B4" s="8">
        <v>30</v>
      </c>
      <c r="C4" s="8">
        <f>'estimates new'!AR5</f>
        <v>0.7407407407407407</v>
      </c>
      <c r="D4" s="8">
        <f>'estimates new'!AS5</f>
        <v>0.25925925925925924</v>
      </c>
      <c r="E4" s="8">
        <f>'estimates new'!AT5</f>
        <v>0.81</v>
      </c>
      <c r="F4" s="8">
        <v>0</v>
      </c>
      <c r="G4" s="20"/>
    </row>
    <row r="5" spans="1:7" x14ac:dyDescent="0.25">
      <c r="A5" s="8">
        <f t="shared" si="0"/>
        <v>5</v>
      </c>
      <c r="B5" s="8">
        <v>0</v>
      </c>
      <c r="C5" s="8">
        <f>'estimates new'!AR6</f>
        <v>0.51162790697674421</v>
      </c>
      <c r="D5" s="8">
        <f>'estimates new'!AS6</f>
        <v>0.48837209302325579</v>
      </c>
      <c r="E5" s="8">
        <f>'estimates new'!AT6</f>
        <v>0.43</v>
      </c>
      <c r="F5" s="8">
        <v>0</v>
      </c>
      <c r="G5" s="20"/>
    </row>
    <row r="6" spans="1:7" x14ac:dyDescent="0.25">
      <c r="A6" s="8">
        <f t="shared" si="0"/>
        <v>6</v>
      </c>
      <c r="B6" s="8">
        <v>60</v>
      </c>
      <c r="C6" s="8">
        <f>'estimates new'!AR7</f>
        <v>0.64615384615384619</v>
      </c>
      <c r="D6" s="8">
        <f>'estimates new'!AS7</f>
        <v>0.35384615384615387</v>
      </c>
      <c r="E6" s="8">
        <f>'estimates new'!AT7</f>
        <v>0.65</v>
      </c>
      <c r="F6" s="8">
        <v>0</v>
      </c>
      <c r="G6" s="20"/>
    </row>
    <row r="7" spans="1:7" x14ac:dyDescent="0.25">
      <c r="A7" s="8">
        <f t="shared" si="0"/>
        <v>7</v>
      </c>
      <c r="B7" s="8">
        <v>30</v>
      </c>
      <c r="C7" s="8">
        <f>'estimates new'!AR8</f>
        <v>0.72727272727272729</v>
      </c>
      <c r="D7" s="8">
        <f>'estimates new'!AS8</f>
        <v>0.27272727272727271</v>
      </c>
      <c r="E7" s="8">
        <f>'estimates new'!AT8</f>
        <v>0.55000000000000004</v>
      </c>
      <c r="F7" s="8">
        <v>0</v>
      </c>
      <c r="G7" s="20"/>
    </row>
    <row r="8" spans="1:7" x14ac:dyDescent="0.25">
      <c r="A8" s="8">
        <f t="shared" si="0"/>
        <v>8</v>
      </c>
      <c r="B8" s="8">
        <v>0</v>
      </c>
      <c r="C8" s="8">
        <f>'estimates new'!AR9</f>
        <v>0.76271186440677963</v>
      </c>
      <c r="D8" s="8">
        <f>'estimates new'!AS9</f>
        <v>0.23728813559322035</v>
      </c>
      <c r="E8" s="8">
        <f>'estimates new'!AT9</f>
        <v>0.59</v>
      </c>
      <c r="F8" s="8">
        <v>0</v>
      </c>
      <c r="G8" s="20"/>
    </row>
    <row r="9" spans="1:7" x14ac:dyDescent="0.25">
      <c r="A9" s="8">
        <f t="shared" si="0"/>
        <v>9</v>
      </c>
      <c r="B9" s="8">
        <v>60</v>
      </c>
      <c r="C9" s="8">
        <f>'estimates new'!AR10</f>
        <v>0.8</v>
      </c>
      <c r="D9" s="8">
        <f>'estimates new'!AS10</f>
        <v>0.2</v>
      </c>
      <c r="E9" s="8">
        <f>'estimates new'!AT10</f>
        <v>0.55000000000000004</v>
      </c>
      <c r="F9">
        <v>1</v>
      </c>
      <c r="G9" s="20"/>
    </row>
    <row r="10" spans="1:7" x14ac:dyDescent="0.25">
      <c r="A10" s="8">
        <f t="shared" si="0"/>
        <v>10</v>
      </c>
      <c r="B10" s="8">
        <v>30</v>
      </c>
      <c r="C10" s="8">
        <f>'estimates new'!AR11</f>
        <v>0.68333333333333335</v>
      </c>
      <c r="D10" s="8">
        <f>'estimates new'!AS11</f>
        <v>0.31666666666666665</v>
      </c>
      <c r="E10" s="8">
        <f>'estimates new'!AT11</f>
        <v>0.6</v>
      </c>
      <c r="F10">
        <v>0</v>
      </c>
      <c r="G10" s="20"/>
    </row>
    <row r="11" spans="1:7" x14ac:dyDescent="0.25">
      <c r="A11" s="8">
        <f t="shared" si="0"/>
        <v>11</v>
      </c>
      <c r="B11" s="8">
        <v>30</v>
      </c>
      <c r="C11" s="8">
        <f>'estimates new'!AR12</f>
        <v>0.53741496598639449</v>
      </c>
      <c r="D11" s="8">
        <f>'estimates new'!AS12</f>
        <v>0.46258503401360546</v>
      </c>
      <c r="E11" s="8">
        <f>'estimates new'!AT12</f>
        <v>1.47</v>
      </c>
      <c r="F11" s="8">
        <v>0</v>
      </c>
      <c r="G11" s="20"/>
    </row>
    <row r="12" spans="1:7" x14ac:dyDescent="0.25">
      <c r="A12" s="8">
        <f t="shared" si="0"/>
        <v>12</v>
      </c>
      <c r="B12" s="8">
        <v>0</v>
      </c>
      <c r="C12" s="8">
        <f>'estimates new'!AR13</f>
        <v>0.37241379310344824</v>
      </c>
      <c r="D12" s="8">
        <f>'estimates new'!AS13</f>
        <v>0.62758620689655176</v>
      </c>
      <c r="E12" s="8">
        <f>'estimates new'!AT13</f>
        <v>1.45</v>
      </c>
      <c r="F12">
        <v>1</v>
      </c>
      <c r="G12" s="20"/>
    </row>
    <row r="13" spans="1:7" x14ac:dyDescent="0.25">
      <c r="A13" s="8">
        <f>14</f>
        <v>14</v>
      </c>
      <c r="B13" s="8">
        <v>60</v>
      </c>
      <c r="C13" s="8">
        <f>'estimates new'!AR14</f>
        <v>9.7902097902097904E-2</v>
      </c>
      <c r="D13" s="8">
        <f>'estimates new'!AS14</f>
        <v>0.90209790209790208</v>
      </c>
      <c r="E13" s="8">
        <f>'estimates new'!AT14</f>
        <v>1.43</v>
      </c>
      <c r="F13">
        <v>0</v>
      </c>
      <c r="G13" s="2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D98F0-01DC-427D-801F-06803A533CD8}">
  <sheetPr codeName="Sheet3"/>
  <dimension ref="A1:S37"/>
  <sheetViews>
    <sheetView topLeftCell="D10" workbookViewId="0">
      <selection activeCell="F1" sqref="F1"/>
    </sheetView>
  </sheetViews>
  <sheetFormatPr defaultRowHeight="15" x14ac:dyDescent="0.25"/>
  <cols>
    <col min="1" max="1" width="27.85546875" bestFit="1" customWidth="1"/>
    <col min="2" max="2" width="19.140625" bestFit="1" customWidth="1"/>
    <col min="3" max="3" width="35.140625" bestFit="1" customWidth="1"/>
    <col min="4" max="4" width="15.85546875" bestFit="1" customWidth="1"/>
    <col min="5" max="5" width="15.42578125" bestFit="1" customWidth="1"/>
    <col min="6" max="6" width="12" bestFit="1" customWidth="1"/>
    <col min="7" max="7" width="18.42578125" bestFit="1" customWidth="1"/>
    <col min="18" max="18" width="34.28515625" bestFit="1" customWidth="1"/>
  </cols>
  <sheetData>
    <row r="1" spans="1:19" ht="18.75" x14ac:dyDescent="0.3">
      <c r="A1" s="2" t="str">
        <f>'estimates new'!AR60</f>
        <v>sample files from polar</v>
      </c>
      <c r="B1" s="2" t="str">
        <f>'estimates new'!AS60</f>
        <v>sample number</v>
      </c>
      <c r="C1" s="2" t="str">
        <f>'estimates new'!AT60</f>
        <v>Distance from injection point</v>
      </c>
      <c r="D1" s="2" t="str">
        <f>'estimates new'!AU60</f>
        <v>core fraction</v>
      </c>
      <c r="E1" s="2" t="str">
        <f>'estimates new'!AV60</f>
        <v>skin fraction</v>
      </c>
      <c r="F1" s="2" t="str">
        <f>'estimates new'!AW60</f>
        <v>thickness</v>
      </c>
      <c r="G1" s="2" t="s">
        <v>110</v>
      </c>
      <c r="H1" s="2" t="s">
        <v>111</v>
      </c>
    </row>
    <row r="2" spans="1:19" ht="15.75" x14ac:dyDescent="0.25">
      <c r="A2" s="17" t="str">
        <f>'estimates new'!AR61</f>
        <v>462 (2)</v>
      </c>
      <c r="B2" s="17">
        <f>'estimates new'!AS61</f>
        <v>2</v>
      </c>
      <c r="C2" s="17">
        <f>'estimates new'!AT61</f>
        <v>12</v>
      </c>
      <c r="D2" s="17">
        <f>'estimates new'!AU61</f>
        <v>0.39285714285714285</v>
      </c>
      <c r="E2" s="17">
        <f>'estimates new'!AV61</f>
        <v>0.60714285714285721</v>
      </c>
      <c r="F2" s="17">
        <f>'estimates new'!AW61</f>
        <v>0.84</v>
      </c>
      <c r="G2" s="18">
        <f>0</f>
        <v>0</v>
      </c>
      <c r="H2">
        <v>0</v>
      </c>
    </row>
    <row r="3" spans="1:19" ht="15.75" x14ac:dyDescent="0.25">
      <c r="A3" s="17" t="str">
        <f>'estimates new'!AR62</f>
        <v>510 (2)</v>
      </c>
      <c r="B3" s="17">
        <f>'estimates new'!AS62</f>
        <v>2</v>
      </c>
      <c r="C3" s="17">
        <f>'estimates new'!AT62</f>
        <v>27</v>
      </c>
      <c r="D3" s="17">
        <f>'estimates new'!AU62</f>
        <v>0.40740740740740738</v>
      </c>
      <c r="E3" s="17">
        <f>'estimates new'!AV62</f>
        <v>0.59259259259259256</v>
      </c>
      <c r="F3" s="17">
        <f>'estimates new'!AW62</f>
        <v>0.81</v>
      </c>
      <c r="G3" s="18">
        <f>0</f>
        <v>0</v>
      </c>
      <c r="H3" s="8">
        <v>0</v>
      </c>
    </row>
    <row r="4" spans="1:19" ht="15.75" x14ac:dyDescent="0.25">
      <c r="A4" s="17" t="str">
        <f>'estimates new'!AR63</f>
        <v>503 (2)</v>
      </c>
      <c r="B4" s="17">
        <f>'estimates new'!AS63</f>
        <v>2</v>
      </c>
      <c r="C4" s="17">
        <f>'estimates new'!AT63</f>
        <v>42</v>
      </c>
      <c r="D4" s="17">
        <f>'estimates new'!AU63</f>
        <v>0.41249999999999998</v>
      </c>
      <c r="E4" s="17">
        <f>'estimates new'!AV63</f>
        <v>0.58749999999999991</v>
      </c>
      <c r="F4" s="17">
        <f>'estimates new'!AW63</f>
        <v>0.8</v>
      </c>
      <c r="G4" s="18">
        <f>0</f>
        <v>0</v>
      </c>
      <c r="H4" s="8">
        <v>0</v>
      </c>
      <c r="N4" s="8"/>
      <c r="O4" s="8"/>
      <c r="P4" s="8"/>
      <c r="Q4" s="8"/>
      <c r="R4" s="8"/>
      <c r="S4" s="8"/>
    </row>
    <row r="5" spans="1:19" ht="15.75" x14ac:dyDescent="0.25">
      <c r="A5" s="17" t="str">
        <f>'estimates new'!AR64</f>
        <v>442 (3)</v>
      </c>
      <c r="B5" s="17">
        <f>'estimates new'!AS64</f>
        <v>3</v>
      </c>
      <c r="C5" s="17">
        <f>'estimates new'!AT64</f>
        <v>12</v>
      </c>
      <c r="D5" s="17">
        <f>'estimates new'!AU64</f>
        <v>0.59756097560975607</v>
      </c>
      <c r="E5" s="17">
        <f>'estimates new'!AV64</f>
        <v>0.40243902439024393</v>
      </c>
      <c r="F5" s="17">
        <f>'estimates new'!AW64</f>
        <v>0.82</v>
      </c>
      <c r="G5" s="18">
        <v>60</v>
      </c>
      <c r="H5" s="8">
        <v>0</v>
      </c>
      <c r="N5" s="8"/>
      <c r="O5" s="8"/>
      <c r="P5" s="8"/>
      <c r="Q5" s="8"/>
      <c r="R5" s="8"/>
      <c r="S5" s="8"/>
    </row>
    <row r="6" spans="1:19" ht="15.75" x14ac:dyDescent="0.25">
      <c r="A6" s="17" t="str">
        <f>'estimates new'!AR65</f>
        <v>505 (3)</v>
      </c>
      <c r="B6" s="17">
        <f>'estimates new'!AS65</f>
        <v>3</v>
      </c>
      <c r="C6" s="17">
        <f>'estimates new'!AT65</f>
        <v>27</v>
      </c>
      <c r="D6" s="17">
        <f>'estimates new'!AU65</f>
        <v>0.44155844155844154</v>
      </c>
      <c r="E6" s="17">
        <f>'estimates new'!AV65</f>
        <v>0.55844155844155841</v>
      </c>
      <c r="F6" s="17">
        <f>'estimates new'!AW65</f>
        <v>0.77</v>
      </c>
      <c r="G6" s="18">
        <v>60</v>
      </c>
      <c r="H6" s="8">
        <v>0</v>
      </c>
      <c r="N6" s="19"/>
      <c r="O6" s="19"/>
      <c r="P6" s="19"/>
      <c r="Q6" s="19"/>
      <c r="R6" s="19"/>
      <c r="S6" s="8"/>
    </row>
    <row r="7" spans="1:19" ht="15.75" x14ac:dyDescent="0.25">
      <c r="A7" s="17" t="str">
        <f>'estimates new'!AR66</f>
        <v>499 (3)</v>
      </c>
      <c r="B7" s="17">
        <f>'estimates new'!AS66</f>
        <v>3</v>
      </c>
      <c r="C7" s="17">
        <f>'estimates new'!AT66</f>
        <v>42</v>
      </c>
      <c r="D7" s="17">
        <f>'estimates new'!AU66</f>
        <v>0.35802469135802467</v>
      </c>
      <c r="E7" s="17">
        <f>'estimates new'!AV66</f>
        <v>0.64197530864197527</v>
      </c>
      <c r="F7" s="17">
        <f>'estimates new'!AW66</f>
        <v>0.81</v>
      </c>
      <c r="G7" s="18">
        <v>60</v>
      </c>
      <c r="H7" s="8">
        <v>0</v>
      </c>
      <c r="N7" s="20"/>
      <c r="O7" s="20"/>
      <c r="P7" s="20"/>
      <c r="Q7" s="20"/>
      <c r="R7" s="20"/>
      <c r="S7" s="8"/>
    </row>
    <row r="8" spans="1:19" ht="15.75" x14ac:dyDescent="0.25">
      <c r="A8" s="17" t="str">
        <f>'estimates new'!AR67</f>
        <v>453 (4)</v>
      </c>
      <c r="B8" s="17">
        <f>'estimates new'!AS67</f>
        <v>4</v>
      </c>
      <c r="C8" s="17">
        <f>'estimates new'!AT67</f>
        <v>12</v>
      </c>
      <c r="D8" s="17">
        <f>'estimates new'!AU67</f>
        <v>0.5662650602409639</v>
      </c>
      <c r="E8" s="17">
        <f>'estimates new'!AV67</f>
        <v>0.43373493975903615</v>
      </c>
      <c r="F8" s="17">
        <f>'estimates new'!AW67</f>
        <v>0.83</v>
      </c>
      <c r="G8" s="18">
        <v>30</v>
      </c>
      <c r="H8" s="8">
        <v>0</v>
      </c>
      <c r="N8" s="20"/>
      <c r="O8" s="20"/>
      <c r="P8" s="20"/>
      <c r="Q8" s="20"/>
      <c r="R8" s="20"/>
      <c r="S8" s="8"/>
    </row>
    <row r="9" spans="1:19" ht="15.75" x14ac:dyDescent="0.25">
      <c r="A9" s="17" t="str">
        <f>'estimates new'!AR68</f>
        <v>508 (4)</v>
      </c>
      <c r="B9" s="17">
        <f>'estimates new'!AS68</f>
        <v>4</v>
      </c>
      <c r="C9" s="17">
        <f>'estimates new'!AT68</f>
        <v>27</v>
      </c>
      <c r="D9" s="17">
        <f>'estimates new'!AU68</f>
        <v>0.40963855421686746</v>
      </c>
      <c r="E9" s="17">
        <f>'estimates new'!AV68</f>
        <v>0.59036144578313254</v>
      </c>
      <c r="F9" s="17">
        <f>'estimates new'!AW68</f>
        <v>0.83</v>
      </c>
      <c r="G9" s="18">
        <v>30</v>
      </c>
      <c r="H9" s="8">
        <v>0</v>
      </c>
      <c r="N9" s="20"/>
      <c r="O9" s="20"/>
      <c r="P9" s="20"/>
      <c r="Q9" s="20"/>
      <c r="R9" s="20"/>
      <c r="S9" s="8"/>
    </row>
    <row r="10" spans="1:19" ht="15.75" x14ac:dyDescent="0.25">
      <c r="A10" s="17" t="str">
        <f>'estimates new'!AR69</f>
        <v>501 (4)</v>
      </c>
      <c r="B10" s="17">
        <f>'estimates new'!AS69</f>
        <v>4</v>
      </c>
      <c r="C10" s="17">
        <f>'estimates new'!AT69</f>
        <v>42</v>
      </c>
      <c r="D10" s="17">
        <f>'estimates new'!AU69</f>
        <v>0.3125</v>
      </c>
      <c r="E10" s="17">
        <f>'estimates new'!AV69</f>
        <v>0.6875</v>
      </c>
      <c r="F10" s="17">
        <f>'estimates new'!AW69</f>
        <v>0.8</v>
      </c>
      <c r="G10" s="18">
        <v>30</v>
      </c>
      <c r="H10" s="8">
        <v>0</v>
      </c>
      <c r="N10" s="20"/>
      <c r="O10" s="20"/>
      <c r="P10" s="20"/>
      <c r="Q10" s="20"/>
      <c r="R10" s="20"/>
      <c r="S10" s="8"/>
    </row>
    <row r="11" spans="1:19" ht="15.75" x14ac:dyDescent="0.25">
      <c r="A11" s="17" t="str">
        <f>'estimates new'!AR70</f>
        <v>639 (5)</v>
      </c>
      <c r="B11" s="17">
        <f>'estimates new'!AS70</f>
        <v>5</v>
      </c>
      <c r="C11" s="17">
        <f>'estimates new'!AT70</f>
        <v>12</v>
      </c>
      <c r="D11" s="17">
        <f>'estimates new'!AU70</f>
        <v>0.2978723404255319</v>
      </c>
      <c r="E11" s="17">
        <f>'estimates new'!AV70</f>
        <v>0.7021276595744681</v>
      </c>
      <c r="F11" s="17">
        <f>'estimates new'!AW70</f>
        <v>0.47</v>
      </c>
      <c r="G11" s="18">
        <f>0</f>
        <v>0</v>
      </c>
      <c r="H11" s="8">
        <v>0</v>
      </c>
      <c r="N11" s="20"/>
      <c r="O11" s="20"/>
      <c r="P11" s="20"/>
      <c r="Q11" s="20"/>
      <c r="R11" s="20"/>
      <c r="S11" s="8"/>
    </row>
    <row r="12" spans="1:19" ht="15.75" x14ac:dyDescent="0.25">
      <c r="A12" s="17" t="str">
        <f>'estimates new'!AR71</f>
        <v>650 (5)</v>
      </c>
      <c r="B12" s="17">
        <f>'estimates new'!AS71</f>
        <v>5</v>
      </c>
      <c r="C12" s="17">
        <f>'estimates new'!AT71</f>
        <v>27</v>
      </c>
      <c r="D12" s="17">
        <f>'estimates new'!AU71</f>
        <v>0.11363636363636363</v>
      </c>
      <c r="E12" s="17">
        <f>'estimates new'!AV71</f>
        <v>0.88636363636363646</v>
      </c>
      <c r="F12" s="17">
        <f>'estimates new'!AW71</f>
        <v>0.44</v>
      </c>
      <c r="G12" s="18">
        <f>0</f>
        <v>0</v>
      </c>
      <c r="H12" s="8">
        <v>0</v>
      </c>
      <c r="N12" s="20"/>
      <c r="O12" s="20"/>
      <c r="P12" s="20"/>
      <c r="Q12" s="20"/>
      <c r="R12" s="20"/>
      <c r="S12" s="8"/>
    </row>
    <row r="13" spans="1:19" ht="15.75" x14ac:dyDescent="0.25">
      <c r="A13" s="17" t="str">
        <f>'estimates new'!AR72</f>
        <v>661 (5)</v>
      </c>
      <c r="B13" s="17">
        <f>'estimates new'!AS72</f>
        <v>5</v>
      </c>
      <c r="C13" s="17">
        <f>'estimates new'!AT72</f>
        <v>42</v>
      </c>
      <c r="D13" s="17">
        <f>'estimates new'!AU72</f>
        <v>0</v>
      </c>
      <c r="E13" s="17">
        <f>'estimates new'!AV72</f>
        <v>1</v>
      </c>
      <c r="F13" s="17">
        <f>'estimates new'!AW72</f>
        <v>0.41</v>
      </c>
      <c r="G13" s="18">
        <f>0</f>
        <v>0</v>
      </c>
      <c r="H13" s="8">
        <v>0</v>
      </c>
      <c r="N13" s="20"/>
      <c r="O13" s="20"/>
      <c r="P13" s="20"/>
      <c r="Q13" s="20"/>
      <c r="R13" s="20"/>
      <c r="S13" s="8"/>
    </row>
    <row r="14" spans="1:19" ht="15.75" x14ac:dyDescent="0.25">
      <c r="A14" s="17" t="str">
        <f>'estimates new'!AR73</f>
        <v>514 (8)</v>
      </c>
      <c r="B14" s="17">
        <f>'estimates new'!AS73</f>
        <v>8</v>
      </c>
      <c r="C14" s="17">
        <f>'estimates new'!AT73</f>
        <v>12</v>
      </c>
      <c r="D14" s="17">
        <f>'estimates new'!AU73</f>
        <v>0.36666666666666664</v>
      </c>
      <c r="E14" s="17">
        <f>'estimates new'!AV73</f>
        <v>0.6333333333333333</v>
      </c>
      <c r="F14" s="17">
        <f>'estimates new'!AW73</f>
        <v>0.6</v>
      </c>
      <c r="G14" s="18">
        <f>0</f>
        <v>0</v>
      </c>
      <c r="H14" s="8">
        <v>0</v>
      </c>
      <c r="N14" s="20"/>
      <c r="O14" s="20"/>
      <c r="P14" s="20"/>
      <c r="Q14" s="20"/>
      <c r="R14" s="20"/>
      <c r="S14" s="8"/>
    </row>
    <row r="15" spans="1:19" ht="15.75" x14ac:dyDescent="0.25">
      <c r="A15" s="17" t="str">
        <f>'estimates new'!AR74</f>
        <v>523 (8)</v>
      </c>
      <c r="B15" s="17">
        <f>'estimates new'!AS74</f>
        <v>8</v>
      </c>
      <c r="C15" s="17">
        <f>'estimates new'!AT74</f>
        <v>27</v>
      </c>
      <c r="D15" s="17">
        <f>'estimates new'!AU74</f>
        <v>0.31578947368421051</v>
      </c>
      <c r="E15" s="17">
        <f>'estimates new'!AV74</f>
        <v>0.68421052631578938</v>
      </c>
      <c r="F15" s="17">
        <f>'estimates new'!AW74</f>
        <v>0.56999999999999995</v>
      </c>
      <c r="G15" s="18">
        <f>0</f>
        <v>0</v>
      </c>
      <c r="H15" s="8">
        <v>0</v>
      </c>
      <c r="N15" s="20"/>
      <c r="O15" s="20"/>
      <c r="P15" s="20"/>
      <c r="Q15" s="20"/>
      <c r="R15" s="20"/>
      <c r="S15" s="8"/>
    </row>
    <row r="16" spans="1:19" ht="15.75" x14ac:dyDescent="0.25">
      <c r="A16" s="17" t="str">
        <f>'estimates new'!AR75</f>
        <v>532 (8)</v>
      </c>
      <c r="B16" s="17">
        <f>'estimates new'!AS75</f>
        <v>8</v>
      </c>
      <c r="C16" s="17">
        <f>'estimates new'!AT75</f>
        <v>42</v>
      </c>
      <c r="D16" s="17">
        <f>'estimates new'!AU75</f>
        <v>5.5555555555555552E-2</v>
      </c>
      <c r="E16" s="17">
        <f>'estimates new'!AV75</f>
        <v>0.94444444444444442</v>
      </c>
      <c r="F16" s="17">
        <f>'estimates new'!AW75</f>
        <v>0.54</v>
      </c>
      <c r="G16" s="18">
        <f>0</f>
        <v>0</v>
      </c>
      <c r="H16" s="8">
        <v>0</v>
      </c>
      <c r="N16" s="20"/>
      <c r="O16" s="20"/>
      <c r="P16" s="20"/>
      <c r="Q16" s="20"/>
      <c r="R16" s="20"/>
      <c r="S16" s="8"/>
    </row>
    <row r="17" spans="1:19" ht="15.75" x14ac:dyDescent="0.25">
      <c r="A17" s="17" t="str">
        <f>'estimates new'!AR76</f>
        <v>517 (9)</v>
      </c>
      <c r="B17" s="17">
        <f>'estimates new'!AS76</f>
        <v>9</v>
      </c>
      <c r="C17" s="17">
        <f>'estimates new'!AT76</f>
        <v>12</v>
      </c>
      <c r="D17" s="17">
        <f>'estimates new'!AU76</f>
        <v>0.56666666666666665</v>
      </c>
      <c r="E17" s="17">
        <f>'estimates new'!AV76</f>
        <v>0.43333333333333335</v>
      </c>
      <c r="F17" s="17">
        <f>'estimates new'!AW76</f>
        <v>0.6</v>
      </c>
      <c r="G17" s="18">
        <v>60</v>
      </c>
      <c r="H17">
        <v>1</v>
      </c>
      <c r="N17" s="20"/>
      <c r="O17" s="20"/>
      <c r="P17" s="20"/>
      <c r="Q17" s="20"/>
      <c r="R17" s="20"/>
      <c r="S17" s="8"/>
    </row>
    <row r="18" spans="1:19" ht="15.75" x14ac:dyDescent="0.25">
      <c r="A18" s="17" t="str">
        <f>'estimates new'!AR77</f>
        <v>525 (9)</v>
      </c>
      <c r="B18" s="17">
        <f>'estimates new'!AS77</f>
        <v>9</v>
      </c>
      <c r="C18" s="17">
        <f>'estimates new'!AT77</f>
        <v>27</v>
      </c>
      <c r="D18" s="17">
        <f>'estimates new'!AU77</f>
        <v>0.48275862068965519</v>
      </c>
      <c r="E18" s="17">
        <f>'estimates new'!AV77</f>
        <v>0.51724137931034486</v>
      </c>
      <c r="F18" s="17">
        <f>'estimates new'!AW77</f>
        <v>0.57999999999999996</v>
      </c>
      <c r="G18" s="18">
        <v>60</v>
      </c>
      <c r="H18">
        <v>1</v>
      </c>
      <c r="N18" s="20"/>
      <c r="O18" s="20"/>
      <c r="P18" s="20"/>
      <c r="Q18" s="20"/>
      <c r="R18" s="20"/>
      <c r="S18" s="8"/>
    </row>
    <row r="19" spans="1:19" ht="15.75" x14ac:dyDescent="0.25">
      <c r="A19" s="17" t="str">
        <f>'estimates new'!AR78</f>
        <v>534 (9)</v>
      </c>
      <c r="B19" s="17">
        <f>'estimates new'!AS78</f>
        <v>9</v>
      </c>
      <c r="C19" s="17">
        <f>'estimates new'!AT78</f>
        <v>42</v>
      </c>
      <c r="D19" s="17">
        <f>'estimates new'!AU78</f>
        <v>0.27272727272727271</v>
      </c>
      <c r="E19" s="17">
        <f>'estimates new'!AV78</f>
        <v>0.72727272727272729</v>
      </c>
      <c r="F19" s="17">
        <f>'estimates new'!AW78</f>
        <v>0.55000000000000004</v>
      </c>
      <c r="G19" s="18">
        <v>60</v>
      </c>
      <c r="H19">
        <v>1</v>
      </c>
    </row>
    <row r="20" spans="1:19" ht="15.75" x14ac:dyDescent="0.25">
      <c r="A20" s="17" t="str">
        <f>'estimates new'!AR79</f>
        <v>520 (10)</v>
      </c>
      <c r="B20" s="17">
        <f>'estimates new'!AS79</f>
        <v>10</v>
      </c>
      <c r="C20" s="17">
        <f>'estimates new'!AT79</f>
        <v>12</v>
      </c>
      <c r="D20" s="17">
        <f>'estimates new'!AU79</f>
        <v>0.41176470588235292</v>
      </c>
      <c r="E20" s="17">
        <f>'estimates new'!AV79</f>
        <v>0.58823529411764708</v>
      </c>
      <c r="F20" s="17">
        <f>'estimates new'!AW79</f>
        <v>0.68</v>
      </c>
      <c r="G20">
        <v>30</v>
      </c>
      <c r="H20">
        <v>0</v>
      </c>
    </row>
    <row r="21" spans="1:19" ht="15.75" x14ac:dyDescent="0.25">
      <c r="A21" s="17" t="str">
        <f>'estimates new'!AR80</f>
        <v>530 (10)</v>
      </c>
      <c r="B21" s="17">
        <f>'estimates new'!AS80</f>
        <v>10</v>
      </c>
      <c r="C21" s="17">
        <f>'estimates new'!AT80</f>
        <v>27</v>
      </c>
      <c r="D21" s="17">
        <f>'estimates new'!AU80</f>
        <v>0.31147540983606559</v>
      </c>
      <c r="E21" s="17">
        <f>'estimates new'!AV80</f>
        <v>0.68852459016393441</v>
      </c>
      <c r="F21" s="17">
        <f>'estimates new'!AW80</f>
        <v>0.61</v>
      </c>
      <c r="G21">
        <v>30</v>
      </c>
      <c r="H21" s="8">
        <v>0</v>
      </c>
    </row>
    <row r="22" spans="1:19" ht="15.75" x14ac:dyDescent="0.25">
      <c r="A22" s="17" t="str">
        <f>'estimates new'!AR81</f>
        <v>536(10)</v>
      </c>
      <c r="B22" s="17">
        <f>'estimates new'!AS81</f>
        <v>10</v>
      </c>
      <c r="C22" s="17">
        <f>'estimates new'!AT81</f>
        <v>42</v>
      </c>
      <c r="D22" s="17">
        <f>'estimates new'!AU81</f>
        <v>0.29090909090909089</v>
      </c>
      <c r="E22" s="17">
        <f>'estimates new'!AV81</f>
        <v>0.70909090909090899</v>
      </c>
      <c r="F22" s="17">
        <f>'estimates new'!AW81</f>
        <v>0.55000000000000004</v>
      </c>
      <c r="G22">
        <v>30</v>
      </c>
      <c r="H22" s="8">
        <v>0</v>
      </c>
    </row>
    <row r="23" spans="1:19" ht="15.75" x14ac:dyDescent="0.25">
      <c r="A23" s="17" t="str">
        <f>'estimates new'!AR82</f>
        <v>584 (11)</v>
      </c>
      <c r="B23" s="17">
        <f>'estimates new'!AS82</f>
        <v>11</v>
      </c>
      <c r="C23" s="17">
        <f>'estimates new'!AT82</f>
        <v>12</v>
      </c>
      <c r="D23" s="17">
        <f>'estimates new'!AU82</f>
        <v>0.74149659863945583</v>
      </c>
      <c r="E23" s="17">
        <f>'estimates new'!AV82</f>
        <v>0.25850340136054423</v>
      </c>
      <c r="F23" s="17">
        <f>'estimates new'!AW82</f>
        <v>1.47</v>
      </c>
      <c r="G23" s="8">
        <v>30</v>
      </c>
      <c r="H23" s="8">
        <v>0</v>
      </c>
    </row>
    <row r="24" spans="1:19" ht="15.75" x14ac:dyDescent="0.25">
      <c r="A24" s="17" t="str">
        <f>'estimates new'!AR83</f>
        <v>602 (11)</v>
      </c>
      <c r="B24" s="17">
        <f>'estimates new'!AS83</f>
        <v>11</v>
      </c>
      <c r="C24" s="17">
        <f>'estimates new'!AT83</f>
        <v>27</v>
      </c>
      <c r="D24" s="17">
        <f>'estimates new'!AU83</f>
        <v>0.58278145695364236</v>
      </c>
      <c r="E24" s="17">
        <f>'estimates new'!AV83</f>
        <v>0.41721854304635764</v>
      </c>
      <c r="F24" s="17">
        <f>'estimates new'!AW83</f>
        <v>1.51</v>
      </c>
      <c r="G24" s="8">
        <v>30</v>
      </c>
      <c r="H24" s="8">
        <v>0</v>
      </c>
    </row>
    <row r="25" spans="1:19" ht="15.75" x14ac:dyDescent="0.25">
      <c r="A25" s="17" t="str">
        <f>'estimates new'!AR84</f>
        <v>614 (11)</v>
      </c>
      <c r="B25" s="17">
        <f>'estimates new'!AS84</f>
        <v>11</v>
      </c>
      <c r="C25" s="17">
        <f>'estimates new'!AT84</f>
        <v>42</v>
      </c>
      <c r="D25" s="17">
        <f>'estimates new'!AU84</f>
        <v>0.54794520547945202</v>
      </c>
      <c r="E25" s="17">
        <f>'estimates new'!AV84</f>
        <v>0.45205479452054792</v>
      </c>
      <c r="F25" s="17">
        <f>'estimates new'!AW84</f>
        <v>1.46</v>
      </c>
      <c r="G25" s="8">
        <v>30</v>
      </c>
      <c r="H25" s="8">
        <v>0</v>
      </c>
    </row>
    <row r="26" spans="1:19" ht="15.75" x14ac:dyDescent="0.25">
      <c r="A26" s="17" t="str">
        <f>'estimates new'!AR85</f>
        <v>588 (12)</v>
      </c>
      <c r="B26" s="17">
        <f>'estimates new'!AS85</f>
        <v>12</v>
      </c>
      <c r="C26" s="17">
        <f>'estimates new'!AT85</f>
        <v>12</v>
      </c>
      <c r="D26" s="17">
        <f>'estimates new'!AU85</f>
        <v>0.57823129251700678</v>
      </c>
      <c r="E26" s="17">
        <f>'estimates new'!AV85</f>
        <v>0.42176870748299322</v>
      </c>
      <c r="F26" s="17">
        <f>'estimates new'!AW85</f>
        <v>1.47</v>
      </c>
      <c r="G26" s="8">
        <f>0</f>
        <v>0</v>
      </c>
      <c r="H26">
        <v>1</v>
      </c>
    </row>
    <row r="27" spans="1:19" ht="15.75" x14ac:dyDescent="0.25">
      <c r="A27" s="17" t="str">
        <f>'estimates new'!AR86</f>
        <v>607(12)</v>
      </c>
      <c r="B27" s="17">
        <f>'estimates new'!AS86</f>
        <v>12</v>
      </c>
      <c r="C27" s="17">
        <f>'estimates new'!AT86</f>
        <v>27</v>
      </c>
      <c r="D27" s="17">
        <f>'estimates new'!AU86</f>
        <v>0.6333333333333333</v>
      </c>
      <c r="E27" s="17">
        <f>'estimates new'!AV86</f>
        <v>0.3666666666666667</v>
      </c>
      <c r="F27" s="17">
        <f>'estimates new'!AW86</f>
        <v>1.5</v>
      </c>
      <c r="G27" s="8">
        <f>0</f>
        <v>0</v>
      </c>
      <c r="H27" s="8">
        <v>1</v>
      </c>
    </row>
    <row r="28" spans="1:19" ht="15.75" x14ac:dyDescent="0.25">
      <c r="A28" s="17" t="str">
        <f>'estimates new'!AR87</f>
        <v>617 (12)</v>
      </c>
      <c r="B28" s="17">
        <f>'estimates new'!AS87</f>
        <v>12</v>
      </c>
      <c r="C28" s="17">
        <f>'estimates new'!AT87</f>
        <v>42</v>
      </c>
      <c r="D28" s="17">
        <f>'estimates new'!AU87</f>
        <v>0.64189189189189189</v>
      </c>
      <c r="E28" s="17">
        <f>'estimates new'!AV87</f>
        <v>0.35810810810810811</v>
      </c>
      <c r="F28" s="17">
        <f>'estimates new'!AW87</f>
        <v>1.48</v>
      </c>
      <c r="G28" s="8">
        <f>0</f>
        <v>0</v>
      </c>
      <c r="H28" s="8">
        <v>1</v>
      </c>
    </row>
    <row r="29" spans="1:19" s="8" customFormat="1" ht="15.75" x14ac:dyDescent="0.25">
      <c r="A29" s="8" t="s">
        <v>56</v>
      </c>
      <c r="B29" s="8">
        <v>6</v>
      </c>
      <c r="C29" s="8">
        <v>12</v>
      </c>
      <c r="D29" s="8">
        <f>'estimates new'!AU88</f>
        <v>0</v>
      </c>
      <c r="E29" s="8">
        <f>'estimates new'!AV88</f>
        <v>1</v>
      </c>
      <c r="F29" s="17">
        <f>'estimates new'!AW88</f>
        <v>0.84</v>
      </c>
      <c r="G29" s="8">
        <v>60</v>
      </c>
      <c r="H29" s="8">
        <v>0</v>
      </c>
    </row>
    <row r="30" spans="1:19" ht="15.75" x14ac:dyDescent="0.25">
      <c r="A30" s="17" t="str">
        <f>'estimates new'!AR89</f>
        <v>654 (6)</v>
      </c>
      <c r="B30" s="17">
        <f>'estimates new'!AS89</f>
        <v>6</v>
      </c>
      <c r="C30" s="17">
        <f>'estimates new'!AT89</f>
        <v>27</v>
      </c>
      <c r="D30" s="17">
        <f>'estimates new'!AU89</f>
        <v>0.3</v>
      </c>
      <c r="E30" s="17">
        <f>'estimates new'!AV89</f>
        <v>0.7</v>
      </c>
      <c r="F30" s="17">
        <f>'estimates new'!AW89</f>
        <v>0.7</v>
      </c>
      <c r="G30" s="8">
        <v>60</v>
      </c>
      <c r="H30">
        <v>0</v>
      </c>
    </row>
    <row r="31" spans="1:19" ht="15.75" x14ac:dyDescent="0.25">
      <c r="A31" s="17" t="str">
        <f>'estimates new'!AR90</f>
        <v>666 (6)</v>
      </c>
      <c r="B31" s="17">
        <f>'estimates new'!AS90</f>
        <v>6</v>
      </c>
      <c r="C31" s="17">
        <f>'estimates new'!AT90</f>
        <v>42</v>
      </c>
      <c r="D31" s="17">
        <f>'estimates new'!AU90</f>
        <v>0.31746031746031744</v>
      </c>
      <c r="E31" s="17">
        <f>'estimates new'!AV90</f>
        <v>0.68253968253968256</v>
      </c>
      <c r="F31" s="17">
        <f>'estimates new'!AW90</f>
        <v>0.63</v>
      </c>
      <c r="G31" s="8">
        <v>60</v>
      </c>
      <c r="H31">
        <v>0</v>
      </c>
    </row>
    <row r="32" spans="1:19" ht="15.75" x14ac:dyDescent="0.25">
      <c r="A32" s="17" t="str">
        <f>'estimates new'!AR91</f>
        <v>635 (7)</v>
      </c>
      <c r="B32" s="17">
        <f>'estimates new'!AS91</f>
        <v>7</v>
      </c>
      <c r="C32" s="17">
        <f>'estimates new'!AT91</f>
        <v>12</v>
      </c>
      <c r="D32" s="17">
        <f>'estimates new'!AU91</f>
        <v>0.8</v>
      </c>
      <c r="E32" s="17">
        <f>'estimates new'!AV91</f>
        <v>0.2</v>
      </c>
      <c r="F32" s="17">
        <f>'estimates new'!AW91</f>
        <v>0.73</v>
      </c>
      <c r="G32" s="8">
        <v>30</v>
      </c>
      <c r="H32" s="8">
        <v>0</v>
      </c>
    </row>
    <row r="33" spans="1:8" ht="15.75" x14ac:dyDescent="0.25">
      <c r="A33" s="17" t="str">
        <f>'estimates new'!AR92</f>
        <v>646 (7)</v>
      </c>
      <c r="B33" s="17">
        <f>'estimates new'!AS92</f>
        <v>7</v>
      </c>
      <c r="C33" s="17">
        <f>'estimates new'!AT92</f>
        <v>27</v>
      </c>
      <c r="D33" s="17">
        <f>'estimates new'!AU92</f>
        <v>0.30303030303030304</v>
      </c>
      <c r="E33" s="17">
        <f>'estimates new'!AV92</f>
        <v>0.69696969696969702</v>
      </c>
      <c r="F33" s="17">
        <f>'estimates new'!AW92</f>
        <v>0.66</v>
      </c>
      <c r="G33" s="8">
        <v>30</v>
      </c>
      <c r="H33" s="8">
        <v>0</v>
      </c>
    </row>
    <row r="34" spans="1:8" s="8" customFormat="1" ht="15.75" x14ac:dyDescent="0.25">
      <c r="A34" s="17" t="s">
        <v>61</v>
      </c>
      <c r="B34" s="17">
        <v>7</v>
      </c>
      <c r="C34" s="17">
        <v>42</v>
      </c>
      <c r="D34" s="17">
        <f>'estimates new'!AU93</f>
        <v>0</v>
      </c>
      <c r="E34" s="17">
        <f>'estimates new'!AV93</f>
        <v>1</v>
      </c>
      <c r="F34" s="17">
        <f>'estimates new'!AW93</f>
        <v>0.55000000000000004</v>
      </c>
      <c r="G34" s="17">
        <v>30</v>
      </c>
      <c r="H34" s="17">
        <v>0</v>
      </c>
    </row>
    <row r="35" spans="1:8" ht="15.75" x14ac:dyDescent="0.25">
      <c r="A35" s="17" t="str">
        <f>'estimates new'!AR94</f>
        <v>596 (14)</v>
      </c>
      <c r="B35" s="17">
        <f>'estimates new'!AS94</f>
        <v>14</v>
      </c>
      <c r="C35" s="17">
        <f>'estimates new'!AT94</f>
        <v>12</v>
      </c>
      <c r="D35" s="17">
        <f>'estimates new'!AU94</f>
        <v>0.80838323353293418</v>
      </c>
      <c r="E35" s="17">
        <f>'estimates new'!AV94</f>
        <v>0.19161676646706588</v>
      </c>
      <c r="F35" s="17">
        <f>'estimates new'!AW94</f>
        <v>1.67</v>
      </c>
      <c r="G35">
        <v>60</v>
      </c>
      <c r="H35" s="8">
        <v>0</v>
      </c>
    </row>
    <row r="36" spans="1:8" ht="15.75" x14ac:dyDescent="0.25">
      <c r="A36" s="17" t="str">
        <f>'estimates new'!AR95</f>
        <v>610 (14)</v>
      </c>
      <c r="B36" s="17">
        <f>'estimates new'!AS95</f>
        <v>14</v>
      </c>
      <c r="C36" s="17">
        <f>'estimates new'!AT95</f>
        <v>27</v>
      </c>
      <c r="D36" s="17">
        <f>'estimates new'!AU95</f>
        <v>0.90410958904109584</v>
      </c>
      <c r="E36" s="17">
        <f>'estimates new'!AV95</f>
        <v>9.5890410958904104E-2</v>
      </c>
      <c r="F36" s="17">
        <f>'estimates new'!AW95</f>
        <v>1.46</v>
      </c>
      <c r="G36" s="8">
        <v>60</v>
      </c>
      <c r="H36" s="8">
        <v>0</v>
      </c>
    </row>
    <row r="37" spans="1:8" ht="15.75" x14ac:dyDescent="0.25">
      <c r="A37" s="17" t="str">
        <f>'estimates new'!AR96</f>
        <v>631 (14)</v>
      </c>
      <c r="B37" s="17">
        <f>'estimates new'!AS96</f>
        <v>14</v>
      </c>
      <c r="C37" s="17">
        <f>'estimates new'!AT96</f>
        <v>42</v>
      </c>
      <c r="D37" s="17">
        <f>'estimates new'!AU96</f>
        <v>0.91275167785234901</v>
      </c>
      <c r="E37" s="17">
        <f>'estimates new'!AV96</f>
        <v>8.7248322147651006E-2</v>
      </c>
      <c r="F37" s="17">
        <f>'estimates new'!AW96</f>
        <v>1.49</v>
      </c>
      <c r="G37" s="8">
        <v>60</v>
      </c>
      <c r="H37" s="8">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E886C-DD98-49C3-B774-927D3BE3C354}">
  <sheetPr codeName="Sheet4"/>
  <dimension ref="A1:CZ567"/>
  <sheetViews>
    <sheetView zoomScale="68" zoomScaleNormal="68" workbookViewId="0">
      <selection activeCell="J530" sqref="J530:J567"/>
    </sheetView>
  </sheetViews>
  <sheetFormatPr defaultRowHeight="15" x14ac:dyDescent="0.25"/>
  <cols>
    <col min="1" max="1" width="27.85546875" bestFit="1" customWidth="1"/>
    <col min="2" max="2" width="19.140625" bestFit="1" customWidth="1"/>
    <col min="3" max="3" width="35.140625" bestFit="1" customWidth="1"/>
    <col min="4" max="4" width="15.85546875" bestFit="1" customWidth="1"/>
    <col min="5" max="5" width="23.85546875" bestFit="1" customWidth="1"/>
    <col min="6" max="6" width="64.7109375" bestFit="1" customWidth="1"/>
    <col min="7" max="7" width="18.42578125" bestFit="1" customWidth="1"/>
    <col min="8" max="8" width="25.5703125" bestFit="1" customWidth="1"/>
    <col min="9" max="9" width="50.140625" bestFit="1" customWidth="1"/>
    <col min="10" max="10" width="22.7109375" customWidth="1"/>
    <col min="11" max="11" width="12.28515625" bestFit="1" customWidth="1"/>
    <col min="12" max="12" width="31" bestFit="1" customWidth="1"/>
    <col min="13" max="13" width="26.28515625" bestFit="1" customWidth="1"/>
    <col min="14" max="14" width="12.42578125" bestFit="1" customWidth="1"/>
    <col min="15" max="15" width="21.5703125" bestFit="1" customWidth="1"/>
  </cols>
  <sheetData>
    <row r="1" spans="1:20" ht="18.75" x14ac:dyDescent="0.3">
      <c r="A1" s="2" t="str">
        <f>'estimates new'!AR60</f>
        <v>sample files from polar</v>
      </c>
      <c r="B1" s="2" t="str">
        <f>'estimates new'!AS60</f>
        <v>sample number</v>
      </c>
      <c r="C1" s="2" t="str">
        <f>'estimates new'!AT60</f>
        <v>Distance from injection point</v>
      </c>
      <c r="D1" s="2" t="str">
        <f>'estimates new'!AU60</f>
        <v>core fraction</v>
      </c>
      <c r="E1" s="2" t="str">
        <f>'estimates new'!AV60</f>
        <v>skin fraction</v>
      </c>
      <c r="F1" s="2" t="str">
        <f>'estimates new'!AW60</f>
        <v>thickness</v>
      </c>
      <c r="G1" s="2" t="s">
        <v>110</v>
      </c>
      <c r="H1" s="2" t="s">
        <v>111</v>
      </c>
      <c r="I1" t="s">
        <v>185</v>
      </c>
      <c r="J1" t="s">
        <v>234</v>
      </c>
      <c r="K1" t="s">
        <v>215</v>
      </c>
      <c r="L1" t="s">
        <v>236</v>
      </c>
      <c r="M1" t="s">
        <v>237</v>
      </c>
      <c r="N1" t="s">
        <v>238</v>
      </c>
      <c r="O1" t="s">
        <v>242</v>
      </c>
      <c r="P1" t="s">
        <v>240</v>
      </c>
      <c r="Q1" t="s">
        <v>187</v>
      </c>
      <c r="R1" t="s">
        <v>237</v>
      </c>
      <c r="S1" t="s">
        <v>208</v>
      </c>
      <c r="T1" t="s">
        <v>241</v>
      </c>
    </row>
    <row r="2" spans="1:20" ht="15.75" x14ac:dyDescent="0.25">
      <c r="A2" s="17" t="str">
        <f>'estimates new'!AR61</f>
        <v>462 (2)</v>
      </c>
      <c r="B2" s="17">
        <f>'estimates new'!AS61</f>
        <v>2</v>
      </c>
      <c r="C2" s="17">
        <f>'estimates new'!AT61</f>
        <v>12</v>
      </c>
      <c r="D2" s="17">
        <f>'estimates new'!AU61</f>
        <v>0.39285714285714285</v>
      </c>
      <c r="E2" s="17">
        <f>'estimates new'!AV61</f>
        <v>0.60714285714285721</v>
      </c>
      <c r="F2" s="24">
        <f>'estimates new'!AW61</f>
        <v>0.84</v>
      </c>
      <c r="G2" s="18">
        <f>0</f>
        <v>0</v>
      </c>
      <c r="H2" s="8">
        <v>0</v>
      </c>
      <c r="I2">
        <f>F2/2</f>
        <v>0.42</v>
      </c>
      <c r="K2">
        <v>43.946552650758179</v>
      </c>
      <c r="L2">
        <f>-C2/($K$2*SQRT(2)) + (I2/(2*$K$2))*(2*(C2/I2)^2 +4*$K$2^2)^0.5</f>
        <v>0.26917414469333412</v>
      </c>
      <c r="M2">
        <f>L2/I2</f>
        <v>0.64089082069841463</v>
      </c>
      <c r="N2">
        <f>(M2-D2)^2</f>
        <v>6.1520705343467798E-2</v>
      </c>
      <c r="P2">
        <v>21.66828858019565</v>
      </c>
      <c r="Q2">
        <f>-C2/($P$2*SQRT(2)) + (I2/(2*$P$2))*(2*(C2/I2)^2 +4*$P$2^2)^0.5</f>
        <v>0.18263941389244792</v>
      </c>
      <c r="R2">
        <f>Q2/I2</f>
        <v>0.43485574736297128</v>
      </c>
      <c r="S2">
        <f>(R2-D2)^2</f>
        <v>1.763882780436992E-3</v>
      </c>
      <c r="T2">
        <f>SUM(S2:S13)</f>
        <v>0.50772843107723609</v>
      </c>
    </row>
    <row r="3" spans="1:20" s="8" customFormat="1" ht="15.75" x14ac:dyDescent="0.25">
      <c r="A3" s="17" t="str">
        <f>'estimates new'!AR64</f>
        <v>442 (3)</v>
      </c>
      <c r="B3" s="17">
        <f>'estimates new'!AS64</f>
        <v>3</v>
      </c>
      <c r="C3" s="17">
        <f>'estimates new'!AT64</f>
        <v>12</v>
      </c>
      <c r="D3" s="17">
        <f>'estimates new'!AU64</f>
        <v>0.59756097560975607</v>
      </c>
      <c r="E3" s="17">
        <f>'estimates new'!AV64</f>
        <v>0.40243902439024393</v>
      </c>
      <c r="F3" s="24">
        <f>'estimates new'!AW64</f>
        <v>0.82</v>
      </c>
      <c r="G3" s="18">
        <v>60</v>
      </c>
      <c r="H3" s="8">
        <v>0</v>
      </c>
      <c r="I3" s="8">
        <f t="shared" ref="I3:I37" si="0">F3/2</f>
        <v>0.41</v>
      </c>
      <c r="L3" s="8">
        <f t="shared" ref="L3:L37" si="1">-C3/($K$2*SQRT(2)) + (I3/(2*$K$2))*(2*(C3/I3)^2 +4*$K$2^2)^0.5</f>
        <v>0.26010751935998444</v>
      </c>
      <c r="M3" s="8">
        <f t="shared" ref="M3:M37" si="2">L3/I3</f>
        <v>0.63440858380484011</v>
      </c>
      <c r="N3" s="8">
        <f t="shared" ref="N3:N36" si="3">(M3-D3)^2</f>
        <v>1.3577462296984243E-3</v>
      </c>
      <c r="Q3" s="8">
        <f t="shared" ref="Q3:Q12" si="4">-C3/($P$2*SQRT(2)) + (I3/(2*$P$2))*(2*(C3/I3)^2 +4*$P$2^2)^0.5</f>
        <v>0.17536639296367657</v>
      </c>
      <c r="R3" s="8">
        <f t="shared" ref="R3:R37" si="5">Q3/I3</f>
        <v>0.42772290966750387</v>
      </c>
      <c r="S3" s="8">
        <f t="shared" ref="S3:S37" si="6">(R3-D3)^2</f>
        <v>2.8844968643004808E-2</v>
      </c>
      <c r="T3" s="8">
        <f>SUM(S14:S25)</f>
        <v>0.15191578726482485</v>
      </c>
    </row>
    <row r="4" spans="1:20" s="8" customFormat="1" ht="15.75" x14ac:dyDescent="0.25">
      <c r="A4" s="17" t="str">
        <f>'estimates new'!AR67</f>
        <v>453 (4)</v>
      </c>
      <c r="B4" s="17">
        <f>'estimates new'!AS67</f>
        <v>4</v>
      </c>
      <c r="C4" s="17">
        <f>'estimates new'!AT67</f>
        <v>12</v>
      </c>
      <c r="D4" s="17">
        <f>'estimates new'!AU67</f>
        <v>0.5662650602409639</v>
      </c>
      <c r="E4" s="17">
        <f>'estimates new'!AV67</f>
        <v>0.43373493975903615</v>
      </c>
      <c r="F4" s="24">
        <f>'estimates new'!AW67</f>
        <v>0.83</v>
      </c>
      <c r="G4" s="18">
        <v>30</v>
      </c>
      <c r="H4" s="8">
        <v>0</v>
      </c>
      <c r="I4" s="8">
        <f>F4/2</f>
        <v>0.41499999999999998</v>
      </c>
      <c r="L4" s="8">
        <f>-C4/($K$2*SQRT(2)) + (I4/(2*$K$2))*(2*(C4/I4)^2 +4*$K$2^2)^0.5</f>
        <v>0.26463597198789557</v>
      </c>
      <c r="M4" s="8">
        <f t="shared" si="2"/>
        <v>0.63767704093468813</v>
      </c>
      <c r="N4" s="8">
        <f t="shared" si="3"/>
        <v>5.0996709866008424E-3</v>
      </c>
      <c r="Q4" s="8">
        <f t="shared" si="4"/>
        <v>0.1789925845902926</v>
      </c>
      <c r="R4" s="8">
        <f t="shared" si="5"/>
        <v>0.43130743274769306</v>
      </c>
      <c r="S4" s="8">
        <f t="shared" si="6"/>
        <v>1.8213561218612454E-2</v>
      </c>
      <c r="T4" s="8">
        <f>SUM(S26:S37)</f>
        <v>0.30617517775975589</v>
      </c>
    </row>
    <row r="5" spans="1:20" s="8" customFormat="1" ht="15.75" x14ac:dyDescent="0.25">
      <c r="A5" s="17" t="str">
        <f>'estimates new'!AR70</f>
        <v>639 (5)</v>
      </c>
      <c r="B5" s="17">
        <f>'estimates new'!AS70</f>
        <v>5</v>
      </c>
      <c r="C5" s="17">
        <f>'estimates new'!AT70</f>
        <v>12</v>
      </c>
      <c r="D5" s="17">
        <f>'estimates new'!AU70</f>
        <v>0.2978723404255319</v>
      </c>
      <c r="E5" s="17">
        <f>'estimates new'!AV70</f>
        <v>0.7021276595744681</v>
      </c>
      <c r="F5" s="25">
        <f>'estimates new'!AW70</f>
        <v>0.47</v>
      </c>
      <c r="G5" s="18">
        <f>0</f>
        <v>0</v>
      </c>
      <c r="H5" s="8">
        <v>0</v>
      </c>
      <c r="I5" s="8">
        <f t="shared" si="0"/>
        <v>0.23499999999999999</v>
      </c>
      <c r="L5" s="8">
        <f t="shared" si="1"/>
        <v>0.11106548663135632</v>
      </c>
      <c r="M5" s="8">
        <f t="shared" si="2"/>
        <v>0.47261909204832481</v>
      </c>
      <c r="N5" s="8">
        <f t="shared" si="3"/>
        <v>3.0536427202718076E-2</v>
      </c>
      <c r="Q5" s="8">
        <f t="shared" si="4"/>
        <v>6.5100867947129604E-2</v>
      </c>
      <c r="R5" s="8">
        <f t="shared" si="5"/>
        <v>0.27702496998778559</v>
      </c>
      <c r="S5" s="8">
        <f t="shared" si="6"/>
        <v>4.3461285416861899E-4</v>
      </c>
    </row>
    <row r="6" spans="1:20" s="8" customFormat="1" ht="15.75" x14ac:dyDescent="0.25">
      <c r="A6" s="17" t="str">
        <f>'estimates new'!AR73</f>
        <v>514 (8)</v>
      </c>
      <c r="B6" s="17">
        <f>'estimates new'!AS73</f>
        <v>8</v>
      </c>
      <c r="C6" s="17">
        <f>'estimates new'!AT73</f>
        <v>12</v>
      </c>
      <c r="D6" s="17">
        <f>'estimates new'!AU73</f>
        <v>0.36666666666666664</v>
      </c>
      <c r="E6" s="17">
        <f>'estimates new'!AV73</f>
        <v>0.6333333333333333</v>
      </c>
      <c r="F6" s="26">
        <f>'estimates new'!AW73</f>
        <v>0.6</v>
      </c>
      <c r="G6" s="18">
        <f>0</f>
        <v>0</v>
      </c>
      <c r="H6" s="8">
        <v>0</v>
      </c>
      <c r="I6" s="8">
        <f t="shared" si="0"/>
        <v>0.3</v>
      </c>
      <c r="L6" s="8">
        <f t="shared" si="1"/>
        <v>0.16368222208225666</v>
      </c>
      <c r="M6" s="8">
        <f t="shared" si="2"/>
        <v>0.54560740694085552</v>
      </c>
      <c r="N6" s="8">
        <f t="shared" si="3"/>
        <v>3.2019788529874721E-2</v>
      </c>
      <c r="Q6" s="8">
        <f t="shared" si="4"/>
        <v>0.10170594140224548</v>
      </c>
      <c r="R6" s="8">
        <f t="shared" si="5"/>
        <v>0.3390198046741516</v>
      </c>
      <c r="S6" s="8">
        <f t="shared" si="6"/>
        <v>7.6434897803317255E-4</v>
      </c>
    </row>
    <row r="7" spans="1:20" s="8" customFormat="1" ht="15.75" x14ac:dyDescent="0.25">
      <c r="A7" s="17" t="str">
        <f>'estimates new'!AR76</f>
        <v>517 (9)</v>
      </c>
      <c r="B7" s="17">
        <f>'estimates new'!AS76</f>
        <v>9</v>
      </c>
      <c r="C7" s="17">
        <f>'estimates new'!AT76</f>
        <v>12</v>
      </c>
      <c r="D7" s="17">
        <f>'estimates new'!AU76</f>
        <v>0.56666666666666665</v>
      </c>
      <c r="E7" s="17">
        <f>'estimates new'!AV76</f>
        <v>0.43333333333333335</v>
      </c>
      <c r="F7" s="26">
        <f>'estimates new'!AW76</f>
        <v>0.6</v>
      </c>
      <c r="G7" s="18">
        <v>60</v>
      </c>
      <c r="H7" s="8">
        <v>1</v>
      </c>
      <c r="I7" s="8">
        <f t="shared" si="0"/>
        <v>0.3</v>
      </c>
      <c r="L7" s="8">
        <f t="shared" si="1"/>
        <v>0.16368222208225666</v>
      </c>
      <c r="M7" s="8">
        <f t="shared" si="2"/>
        <v>0.54560740694085552</v>
      </c>
      <c r="N7" s="8">
        <f t="shared" si="3"/>
        <v>4.4349242019917068E-4</v>
      </c>
      <c r="Q7" s="8">
        <f t="shared" si="4"/>
        <v>0.10170594140224548</v>
      </c>
      <c r="R7" s="8">
        <f t="shared" si="5"/>
        <v>0.3390198046741516</v>
      </c>
      <c r="S7" s="8">
        <f t="shared" si="6"/>
        <v>5.1823093775039193E-2</v>
      </c>
    </row>
    <row r="8" spans="1:20" s="8" customFormat="1" ht="15.75" x14ac:dyDescent="0.25">
      <c r="A8" s="17" t="str">
        <f>'estimates new'!AR79</f>
        <v>520 (10)</v>
      </c>
      <c r="B8" s="17">
        <f>'estimates new'!AS79</f>
        <v>10</v>
      </c>
      <c r="C8" s="17">
        <f>'estimates new'!AT79</f>
        <v>12</v>
      </c>
      <c r="D8" s="17">
        <f>'estimates new'!AU79</f>
        <v>0.41176470588235292</v>
      </c>
      <c r="E8" s="17">
        <f>'estimates new'!AV79</f>
        <v>0.58823529411764708</v>
      </c>
      <c r="F8" s="26">
        <f>'estimates new'!AW79</f>
        <v>0.68</v>
      </c>
      <c r="G8" s="8">
        <v>30</v>
      </c>
      <c r="H8" s="8">
        <v>0</v>
      </c>
      <c r="I8" s="8">
        <f t="shared" si="0"/>
        <v>0.34</v>
      </c>
      <c r="L8" s="8">
        <f t="shared" si="1"/>
        <v>0.19791764311463708</v>
      </c>
      <c r="M8" s="8">
        <f t="shared" si="2"/>
        <v>0.58211071504305023</v>
      </c>
      <c r="N8" s="8">
        <f t="shared" si="3"/>
        <v>2.9017762836976373E-2</v>
      </c>
      <c r="Q8" s="8">
        <f t="shared" si="4"/>
        <v>0.12700466594264342</v>
      </c>
      <c r="R8" s="8">
        <f t="shared" si="5"/>
        <v>0.37354313512542181</v>
      </c>
      <c r="S8" s="8">
        <f t="shared" si="6"/>
        <v>1.4608884711270916E-3</v>
      </c>
    </row>
    <row r="9" spans="1:20" s="8" customFormat="1" ht="15.75" x14ac:dyDescent="0.25">
      <c r="A9" s="17" t="str">
        <f>'estimates new'!AR82</f>
        <v>584 (11)</v>
      </c>
      <c r="B9" s="17">
        <f>'estimates new'!AS82</f>
        <v>11</v>
      </c>
      <c r="C9" s="17">
        <f>'estimates new'!AT82</f>
        <v>12</v>
      </c>
      <c r="D9" s="17">
        <f>'estimates new'!AU82</f>
        <v>0.74149659863945583</v>
      </c>
      <c r="E9" s="17">
        <f>'estimates new'!AV82</f>
        <v>0.25850340136054423</v>
      </c>
      <c r="F9" s="27">
        <f>'estimates new'!AW82</f>
        <v>1.47</v>
      </c>
      <c r="G9" s="8">
        <v>30</v>
      </c>
      <c r="H9" s="8">
        <v>0</v>
      </c>
      <c r="I9" s="8">
        <f t="shared" si="0"/>
        <v>0.73499999999999999</v>
      </c>
      <c r="L9" s="8">
        <f>-C9/($K$2*SQRT(2)) + (I9/(2*$K$2))*(2*(C9/I9)^2 +4*$K$2^2)^0.5</f>
        <v>0.56685604803253431</v>
      </c>
      <c r="M9" s="8">
        <f t="shared" si="2"/>
        <v>0.77123271841161134</v>
      </c>
      <c r="N9" s="8">
        <f t="shared" si="3"/>
        <v>8.8423681910397795E-4</v>
      </c>
      <c r="Q9" s="8">
        <f t="shared" si="4"/>
        <v>0.4412123390954778</v>
      </c>
      <c r="R9" s="8">
        <f t="shared" si="5"/>
        <v>0.60028889672854124</v>
      </c>
      <c r="S9" s="8">
        <f t="shared" si="6"/>
        <v>1.993961507896171E-2</v>
      </c>
    </row>
    <row r="10" spans="1:20" s="8" customFormat="1" ht="15.75" x14ac:dyDescent="0.25">
      <c r="A10" s="17" t="str">
        <f>'estimates new'!AR85</f>
        <v>588 (12)</v>
      </c>
      <c r="B10" s="17">
        <f>'estimates new'!AS85</f>
        <v>12</v>
      </c>
      <c r="C10" s="17">
        <f>'estimates new'!AT85</f>
        <v>12</v>
      </c>
      <c r="D10" s="17">
        <f>'estimates new'!AU85</f>
        <v>0.57823129251700678</v>
      </c>
      <c r="E10" s="17">
        <f>'estimates new'!AV85</f>
        <v>0.42176870748299322</v>
      </c>
      <c r="F10" s="27">
        <f>'estimates new'!AW85</f>
        <v>1.47</v>
      </c>
      <c r="G10" s="8">
        <f>0</f>
        <v>0</v>
      </c>
      <c r="H10" s="8">
        <v>1</v>
      </c>
      <c r="I10" s="8">
        <f t="shared" si="0"/>
        <v>0.73499999999999999</v>
      </c>
      <c r="L10" s="8">
        <f t="shared" si="1"/>
        <v>0.56685604803253431</v>
      </c>
      <c r="M10" s="8">
        <f t="shared" si="2"/>
        <v>0.77123271841161134</v>
      </c>
      <c r="N10" s="8">
        <f t="shared" si="3"/>
        <v>3.7249550397350534E-2</v>
      </c>
      <c r="Q10" s="8">
        <f t="shared" si="4"/>
        <v>0.4412123390954778</v>
      </c>
      <c r="R10" s="8">
        <f t="shared" si="5"/>
        <v>0.60028889672854124</v>
      </c>
      <c r="S10" s="8">
        <f t="shared" si="6"/>
        <v>4.8653790355270297E-4</v>
      </c>
    </row>
    <row r="11" spans="1:20" s="8" customFormat="1" ht="15.75" x14ac:dyDescent="0.25">
      <c r="A11" s="8" t="s">
        <v>56</v>
      </c>
      <c r="B11" s="8">
        <v>6</v>
      </c>
      <c r="C11" s="8">
        <v>12</v>
      </c>
      <c r="D11" s="8">
        <f>'estimates new'!AU88</f>
        <v>0</v>
      </c>
      <c r="E11" s="8">
        <f>'estimates new'!AV88</f>
        <v>1</v>
      </c>
      <c r="F11" s="24">
        <f>'estimates new'!AW88</f>
        <v>0.84</v>
      </c>
      <c r="G11" s="8">
        <v>60</v>
      </c>
      <c r="H11" s="8">
        <v>0</v>
      </c>
      <c r="I11" s="8">
        <f t="shared" si="0"/>
        <v>0.42</v>
      </c>
      <c r="L11" s="8">
        <f t="shared" si="1"/>
        <v>0.26917414469333412</v>
      </c>
      <c r="M11" s="8">
        <f t="shared" si="2"/>
        <v>0.64089082069841463</v>
      </c>
      <c r="N11" s="8">
        <f t="shared" si="3"/>
        <v>0.41074104405548745</v>
      </c>
      <c r="Q11" s="8">
        <f t="shared" si="4"/>
        <v>0.18263941389244792</v>
      </c>
      <c r="R11" s="8">
        <f t="shared" si="5"/>
        <v>0.43485574736297128</v>
      </c>
      <c r="S11" s="8">
        <f t="shared" si="6"/>
        <v>0.18909952101460831</v>
      </c>
    </row>
    <row r="12" spans="1:20" s="8" customFormat="1" ht="15.75" x14ac:dyDescent="0.25">
      <c r="A12" s="17" t="str">
        <f>'estimates new'!AR91</f>
        <v>635 (7)</v>
      </c>
      <c r="B12" s="17">
        <f>'estimates new'!AS91</f>
        <v>7</v>
      </c>
      <c r="C12" s="17">
        <f>'estimates new'!AT91</f>
        <v>12</v>
      </c>
      <c r="D12" s="17">
        <f>'estimates new'!AU91</f>
        <v>0.8</v>
      </c>
      <c r="E12" s="17">
        <f>'estimates new'!AV91</f>
        <v>0.2</v>
      </c>
      <c r="F12" s="26">
        <f>'estimates new'!AW91</f>
        <v>0.73</v>
      </c>
      <c r="G12" s="8">
        <v>30</v>
      </c>
      <c r="H12" s="8">
        <v>0</v>
      </c>
      <c r="I12" s="8">
        <f t="shared" si="0"/>
        <v>0.36499999999999999</v>
      </c>
      <c r="L12" s="8">
        <f t="shared" si="1"/>
        <v>0.21984139217448764</v>
      </c>
      <c r="M12" s="8">
        <f t="shared" si="2"/>
        <v>0.60230518403969224</v>
      </c>
      <c r="N12" s="8">
        <f t="shared" si="3"/>
        <v>3.908324025757997E-2</v>
      </c>
      <c r="Q12" s="8">
        <f t="shared" si="4"/>
        <v>0.14372777910188078</v>
      </c>
      <c r="R12" s="8">
        <f t="shared" si="5"/>
        <v>0.39377473726542683</v>
      </c>
      <c r="S12" s="8">
        <f t="shared" si="6"/>
        <v>0.16501896408377303</v>
      </c>
    </row>
    <row r="13" spans="1:20" s="8" customFormat="1" ht="15.75" x14ac:dyDescent="0.25">
      <c r="A13" s="17" t="str">
        <f>'estimates new'!AR94</f>
        <v>596 (14)</v>
      </c>
      <c r="B13" s="17">
        <f>'estimates new'!AS94</f>
        <v>14</v>
      </c>
      <c r="C13" s="17">
        <f>'estimates new'!AT94</f>
        <v>12</v>
      </c>
      <c r="D13" s="17">
        <f>'estimates new'!AU94</f>
        <v>0.80838323353293418</v>
      </c>
      <c r="E13" s="17">
        <f>'estimates new'!AV94</f>
        <v>0.19161676646706588</v>
      </c>
      <c r="F13" s="27">
        <f>'estimates new'!AW94</f>
        <v>1.67</v>
      </c>
      <c r="G13" s="8">
        <v>60</v>
      </c>
      <c r="H13" s="8">
        <v>0</v>
      </c>
      <c r="I13" s="8">
        <f t="shared" si="0"/>
        <v>0.83499999999999996</v>
      </c>
      <c r="L13" s="8">
        <f t="shared" si="1"/>
        <v>0.66395117751284083</v>
      </c>
      <c r="M13" s="8">
        <f t="shared" si="2"/>
        <v>0.79515111079382139</v>
      </c>
      <c r="N13" s="8">
        <f t="shared" si="3"/>
        <v>1.7508907218294559E-4</v>
      </c>
      <c r="Q13" s="8">
        <f>-C13/($P$2*SQRT(2)) + (I13/(2*$P$2))*(2*(C13/I13)^2 +4*$P$2^2)^0.5</f>
        <v>0.53066707675489644</v>
      </c>
      <c r="R13" s="8">
        <f t="shared" si="5"/>
        <v>0.63552943323939692</v>
      </c>
      <c r="S13" s="8">
        <f t="shared" si="6"/>
        <v>2.9878436275918061E-2</v>
      </c>
    </row>
    <row r="14" spans="1:20" ht="15.75" x14ac:dyDescent="0.25">
      <c r="A14" s="17" t="str">
        <f>'estimates new'!AR62</f>
        <v>510 (2)</v>
      </c>
      <c r="B14" s="17">
        <f>'estimates new'!AS62</f>
        <v>2</v>
      </c>
      <c r="C14" s="17">
        <f>'estimates new'!AT62</f>
        <v>27</v>
      </c>
      <c r="D14" s="17">
        <f>'estimates new'!AU62</f>
        <v>0.40740740740740738</v>
      </c>
      <c r="E14" s="17">
        <f>'estimates new'!AV62</f>
        <v>0.59259259259259256</v>
      </c>
      <c r="F14" s="24">
        <f>'estimates new'!AW62</f>
        <v>0.81</v>
      </c>
      <c r="G14" s="18">
        <f>0</f>
        <v>0</v>
      </c>
      <c r="H14" s="8">
        <v>0</v>
      </c>
      <c r="I14" s="8">
        <f t="shared" si="0"/>
        <v>0.40500000000000003</v>
      </c>
      <c r="K14" s="8"/>
      <c r="L14" s="8">
        <f>-C14/($K$2*SQRT(2)) + (I14/(2*$K$2))*(2*(C14/I14)^2 +4*$K$2^2)^0.5</f>
        <v>0.15950021658078595</v>
      </c>
      <c r="M14" s="8">
        <f t="shared" si="2"/>
        <v>0.39382769526119982</v>
      </c>
      <c r="N14" s="8">
        <f t="shared" si="3"/>
        <v>1.8440858197385734E-4</v>
      </c>
      <c r="P14">
        <v>50.799460101730787</v>
      </c>
      <c r="Q14">
        <f>-C14/($P$14*SQRT(2)) + (I14/(2*$P$14))*(2*(C14/I14)^2 +4*$P$14^2)^0.5</f>
        <v>0.1766858201086498</v>
      </c>
      <c r="R14" s="8">
        <f t="shared" si="5"/>
        <v>0.43626128421888838</v>
      </c>
      <c r="S14" s="8">
        <f>(R14-D14)^2</f>
        <v>8.3254620705212065E-4</v>
      </c>
    </row>
    <row r="15" spans="1:20" s="8" customFormat="1" ht="15.75" x14ac:dyDescent="0.25">
      <c r="A15" s="17" t="str">
        <f>'estimates new'!AR65</f>
        <v>505 (3)</v>
      </c>
      <c r="B15" s="17">
        <f>'estimates new'!AS65</f>
        <v>3</v>
      </c>
      <c r="C15" s="17">
        <f>'estimates new'!AT65</f>
        <v>27</v>
      </c>
      <c r="D15" s="17">
        <f>'estimates new'!AU65</f>
        <v>0.44155844155844154</v>
      </c>
      <c r="E15" s="17">
        <f>'estimates new'!AV65</f>
        <v>0.55844155844155841</v>
      </c>
      <c r="F15" s="24">
        <f>'estimates new'!AW65</f>
        <v>0.77</v>
      </c>
      <c r="G15" s="18">
        <v>60</v>
      </c>
      <c r="H15" s="8">
        <v>0</v>
      </c>
      <c r="I15" s="8">
        <f t="shared" si="0"/>
        <v>0.38500000000000001</v>
      </c>
      <c r="L15" s="8">
        <f t="shared" si="1"/>
        <v>0.14604671248496803</v>
      </c>
      <c r="M15" s="8">
        <f t="shared" si="2"/>
        <v>0.37934211035056631</v>
      </c>
      <c r="N15" s="8">
        <f t="shared" si="3"/>
        <v>3.8708718689680292E-3</v>
      </c>
      <c r="Q15" s="8">
        <f t="shared" ref="Q15:Q25" si="7">-C15/($P$14*SQRT(2)) + (I15/(2*$P$14))*(2*(C15/I15)^2 +4*$P$14^2)^0.5</f>
        <v>0.16219758942231449</v>
      </c>
      <c r="R15" s="8">
        <f t="shared" si="5"/>
        <v>0.42129244005795968</v>
      </c>
      <c r="S15" s="8">
        <f t="shared" si="6"/>
        <v>4.1071081681753283E-4</v>
      </c>
    </row>
    <row r="16" spans="1:20" s="8" customFormat="1" ht="15.75" x14ac:dyDescent="0.25">
      <c r="A16" s="17" t="str">
        <f>'estimates new'!AR68</f>
        <v>508 (4)</v>
      </c>
      <c r="B16" s="17">
        <f>'estimates new'!AS68</f>
        <v>4</v>
      </c>
      <c r="C16" s="17">
        <f>'estimates new'!AT68</f>
        <v>27</v>
      </c>
      <c r="D16" s="17">
        <f>'estimates new'!AU68</f>
        <v>0.40963855421686746</v>
      </c>
      <c r="E16" s="17">
        <f>'estimates new'!AV68</f>
        <v>0.59036144578313254</v>
      </c>
      <c r="F16" s="24">
        <f>'estimates new'!AW68</f>
        <v>0.83</v>
      </c>
      <c r="G16" s="18">
        <v>30</v>
      </c>
      <c r="H16" s="8">
        <v>0</v>
      </c>
      <c r="I16" s="8">
        <f t="shared" si="0"/>
        <v>0.41499999999999998</v>
      </c>
      <c r="L16" s="8">
        <f t="shared" si="1"/>
        <v>0.16636367943507091</v>
      </c>
      <c r="M16" s="8">
        <f t="shared" si="2"/>
        <v>0.40087633598812267</v>
      </c>
      <c r="N16" s="8">
        <f t="shared" si="3"/>
        <v>7.6776468288147475E-5</v>
      </c>
      <c r="Q16" s="8">
        <f t="shared" si="7"/>
        <v>0.18405726910577819</v>
      </c>
      <c r="R16" s="8">
        <f t="shared" si="5"/>
        <v>0.44351149182115229</v>
      </c>
      <c r="S16" s="8">
        <f t="shared" si="6"/>
        <v>1.1473759019437737E-3</v>
      </c>
    </row>
    <row r="17" spans="1:19" s="8" customFormat="1" ht="15.75" x14ac:dyDescent="0.25">
      <c r="A17" s="17" t="str">
        <f>'estimates new'!AR71</f>
        <v>650 (5)</v>
      </c>
      <c r="B17" s="17">
        <f>'estimates new'!AS71</f>
        <v>5</v>
      </c>
      <c r="C17" s="17">
        <f>'estimates new'!AT71</f>
        <v>27</v>
      </c>
      <c r="D17" s="17">
        <f>'estimates new'!AU71</f>
        <v>0.11363636363636363</v>
      </c>
      <c r="E17" s="17">
        <f>'estimates new'!AV71</f>
        <v>0.88636363636363646</v>
      </c>
      <c r="F17" s="25">
        <f>'estimates new'!AW71</f>
        <v>0.44</v>
      </c>
      <c r="G17" s="18">
        <f>0</f>
        <v>0</v>
      </c>
      <c r="H17" s="8">
        <v>0</v>
      </c>
      <c r="I17" s="8">
        <f t="shared" si="0"/>
        <v>0.22</v>
      </c>
      <c r="L17" s="8">
        <f t="shared" si="1"/>
        <v>5.2528919497997428E-2</v>
      </c>
      <c r="M17" s="8">
        <f t="shared" si="2"/>
        <v>0.2387678158999883</v>
      </c>
      <c r="N17" s="8">
        <f t="shared" si="3"/>
        <v>1.5657880345603777E-2</v>
      </c>
      <c r="Q17" s="8">
        <f t="shared" si="7"/>
        <v>5.9656362695717724E-2</v>
      </c>
      <c r="R17" s="8">
        <f t="shared" si="5"/>
        <v>0.2711652849805351</v>
      </c>
      <c r="S17" s="8">
        <f t="shared" si="6"/>
        <v>2.4815361059858158E-2</v>
      </c>
    </row>
    <row r="18" spans="1:19" s="8" customFormat="1" ht="15.75" x14ac:dyDescent="0.25">
      <c r="A18" s="17" t="str">
        <f>'estimates new'!AR74</f>
        <v>523 (8)</v>
      </c>
      <c r="B18" s="17">
        <f>'estimates new'!AS74</f>
        <v>8</v>
      </c>
      <c r="C18" s="17">
        <f>'estimates new'!AT74</f>
        <v>27</v>
      </c>
      <c r="D18" s="17">
        <f>'estimates new'!AU74</f>
        <v>0.31578947368421051</v>
      </c>
      <c r="E18" s="17">
        <f>'estimates new'!AV74</f>
        <v>0.68421052631578938</v>
      </c>
      <c r="F18" s="25">
        <f>'estimates new'!AW74</f>
        <v>0.56999999999999995</v>
      </c>
      <c r="G18" s="18">
        <f>0</f>
        <v>0</v>
      </c>
      <c r="H18" s="8">
        <v>0</v>
      </c>
      <c r="I18" s="8">
        <f t="shared" si="0"/>
        <v>0.28499999999999998</v>
      </c>
      <c r="L18" s="8">
        <f t="shared" si="1"/>
        <v>8.5140706285219414E-2</v>
      </c>
      <c r="M18" s="8">
        <f t="shared" si="2"/>
        <v>0.29873932029901551</v>
      </c>
      <c r="N18" s="8">
        <f t="shared" si="3"/>
        <v>2.9070773045867648E-4</v>
      </c>
      <c r="Q18" s="8">
        <f t="shared" si="7"/>
        <v>9.584094802445825E-2</v>
      </c>
      <c r="R18" s="8">
        <f t="shared" si="5"/>
        <v>0.3362840281559939</v>
      </c>
      <c r="S18" s="8">
        <f t="shared" si="6"/>
        <v>4.2002676299689645E-4</v>
      </c>
    </row>
    <row r="19" spans="1:19" s="8" customFormat="1" ht="15.75" x14ac:dyDescent="0.25">
      <c r="A19" s="17" t="str">
        <f>'estimates new'!AR77</f>
        <v>525 (9)</v>
      </c>
      <c r="B19" s="17">
        <f>'estimates new'!AS77</f>
        <v>9</v>
      </c>
      <c r="C19" s="17">
        <f>'estimates new'!AT77</f>
        <v>27</v>
      </c>
      <c r="D19" s="17">
        <f>'estimates new'!AU77</f>
        <v>0.48275862068965519</v>
      </c>
      <c r="E19" s="17">
        <f>'estimates new'!AV77</f>
        <v>0.51724137931034486</v>
      </c>
      <c r="F19" s="25">
        <f>'estimates new'!AW77</f>
        <v>0.57999999999999996</v>
      </c>
      <c r="G19" s="18">
        <v>60</v>
      </c>
      <c r="H19" s="8">
        <v>1</v>
      </c>
      <c r="I19" s="8">
        <f t="shared" si="0"/>
        <v>0.28999999999999998</v>
      </c>
      <c r="L19" s="8">
        <f t="shared" si="1"/>
        <v>8.7900064180129855E-2</v>
      </c>
      <c r="M19" s="8">
        <f t="shared" si="2"/>
        <v>0.30310366958665469</v>
      </c>
      <c r="N19" s="8">
        <f t="shared" si="3"/>
        <v>3.2275901455821501E-2</v>
      </c>
      <c r="Q19" s="8">
        <f t="shared" si="7"/>
        <v>9.8878850285247954E-2</v>
      </c>
      <c r="R19" s="8">
        <f t="shared" si="5"/>
        <v>0.34096155270775158</v>
      </c>
      <c r="S19" s="8">
        <f t="shared" si="6"/>
        <v>2.0106408488264595E-2</v>
      </c>
    </row>
    <row r="20" spans="1:19" s="8" customFormat="1" ht="15.75" x14ac:dyDescent="0.25">
      <c r="A20" s="17" t="str">
        <f>'estimates new'!AR80</f>
        <v>530 (10)</v>
      </c>
      <c r="B20" s="17">
        <f>'estimates new'!AS80</f>
        <v>10</v>
      </c>
      <c r="C20" s="17">
        <f>'estimates new'!AT80</f>
        <v>27</v>
      </c>
      <c r="D20" s="17">
        <f>'estimates new'!AU80</f>
        <v>0.31147540983606559</v>
      </c>
      <c r="E20" s="17">
        <f>'estimates new'!AV80</f>
        <v>0.68852459016393441</v>
      </c>
      <c r="F20" s="26">
        <f>'estimates new'!AW80</f>
        <v>0.61</v>
      </c>
      <c r="G20" s="8">
        <v>30</v>
      </c>
      <c r="H20" s="8">
        <v>0</v>
      </c>
      <c r="I20" s="8">
        <f t="shared" si="0"/>
        <v>0.30499999999999999</v>
      </c>
      <c r="L20" s="8">
        <f t="shared" si="1"/>
        <v>9.6374696349281752E-2</v>
      </c>
      <c r="M20" s="8">
        <f t="shared" si="2"/>
        <v>0.31598261098125163</v>
      </c>
      <c r="N20" s="8">
        <f t="shared" si="3"/>
        <v>2.0314862163166407E-5</v>
      </c>
      <c r="Q20" s="8">
        <f t="shared" si="7"/>
        <v>0.10818809999851375</v>
      </c>
      <c r="R20" s="8">
        <f t="shared" si="5"/>
        <v>0.3547150819623402</v>
      </c>
      <c r="S20" s="8">
        <f t="shared" si="6"/>
        <v>1.8696692455877294E-3</v>
      </c>
    </row>
    <row r="21" spans="1:19" s="8" customFormat="1" ht="15.75" x14ac:dyDescent="0.25">
      <c r="A21" s="17" t="str">
        <f>'estimates new'!AR83</f>
        <v>602 (11)</v>
      </c>
      <c r="B21" s="17">
        <f>'estimates new'!AS83</f>
        <v>11</v>
      </c>
      <c r="C21" s="17">
        <f>'estimates new'!AT83</f>
        <v>27</v>
      </c>
      <c r="D21" s="17">
        <f>'estimates new'!AU83</f>
        <v>0.58278145695364236</v>
      </c>
      <c r="E21" s="17">
        <f>'estimates new'!AV83</f>
        <v>0.41721854304635764</v>
      </c>
      <c r="F21" s="27">
        <f>'estimates new'!AW83</f>
        <v>1.51</v>
      </c>
      <c r="G21" s="8">
        <v>30</v>
      </c>
      <c r="H21" s="8">
        <v>0</v>
      </c>
      <c r="I21" s="8">
        <f t="shared" si="0"/>
        <v>0.755</v>
      </c>
      <c r="L21" s="8">
        <f t="shared" si="1"/>
        <v>0.43663303096301487</v>
      </c>
      <c r="M21" s="8">
        <f t="shared" si="2"/>
        <v>0.57832189531525147</v>
      </c>
      <c r="N21" s="8">
        <f t="shared" si="3"/>
        <v>1.9887690006607696E-5</v>
      </c>
      <c r="Q21" s="8">
        <f t="shared" si="7"/>
        <v>0.46754098873163513</v>
      </c>
      <c r="R21" s="8">
        <f t="shared" si="5"/>
        <v>0.61925958772402001</v>
      </c>
      <c r="S21" s="8">
        <f t="shared" si="6"/>
        <v>1.3306540245007726E-3</v>
      </c>
    </row>
    <row r="22" spans="1:19" s="8" customFormat="1" ht="15.75" x14ac:dyDescent="0.25">
      <c r="A22" s="17" t="str">
        <f>'estimates new'!AR86</f>
        <v>607(12)</v>
      </c>
      <c r="B22" s="17">
        <f>'estimates new'!AS86</f>
        <v>12</v>
      </c>
      <c r="C22" s="17">
        <f>'estimates new'!AT86</f>
        <v>27</v>
      </c>
      <c r="D22" s="17">
        <f>'estimates new'!AU86</f>
        <v>0.6333333333333333</v>
      </c>
      <c r="E22" s="17">
        <f>'estimates new'!AV86</f>
        <v>0.3666666666666667</v>
      </c>
      <c r="F22" s="27">
        <f>'estimates new'!AW86</f>
        <v>1.5</v>
      </c>
      <c r="G22" s="8">
        <f>0</f>
        <v>0</v>
      </c>
      <c r="H22" s="8">
        <v>1</v>
      </c>
      <c r="I22" s="8">
        <f t="shared" si="0"/>
        <v>0.75</v>
      </c>
      <c r="L22" s="8">
        <f t="shared" si="1"/>
        <v>0.43230285377938238</v>
      </c>
      <c r="M22" s="8">
        <f t="shared" si="2"/>
        <v>0.57640380503917654</v>
      </c>
      <c r="N22" s="8">
        <f t="shared" si="3"/>
        <v>3.2409711917951952E-3</v>
      </c>
      <c r="Q22" s="8">
        <f t="shared" si="7"/>
        <v>0.46306785486552976</v>
      </c>
      <c r="R22" s="8">
        <f t="shared" si="5"/>
        <v>0.61742380648737305</v>
      </c>
      <c r="S22" s="8">
        <f t="shared" si="6"/>
        <v>2.5311304446232999E-4</v>
      </c>
    </row>
    <row r="23" spans="1:19" s="8" customFormat="1" ht="15.75" x14ac:dyDescent="0.25">
      <c r="A23" s="17" t="str">
        <f>'estimates new'!AR89</f>
        <v>654 (6)</v>
      </c>
      <c r="B23" s="17">
        <f>'estimates new'!AS89</f>
        <v>6</v>
      </c>
      <c r="C23" s="17">
        <f>'estimates new'!AT89</f>
        <v>27</v>
      </c>
      <c r="D23" s="17">
        <f>'estimates new'!AU89</f>
        <v>0.3</v>
      </c>
      <c r="E23" s="17">
        <f>'estimates new'!AV89</f>
        <v>0.7</v>
      </c>
      <c r="F23" s="26">
        <f>'estimates new'!AW89</f>
        <v>0.7</v>
      </c>
      <c r="G23" s="8">
        <v>60</v>
      </c>
      <c r="H23" s="8">
        <v>0</v>
      </c>
      <c r="I23" s="8">
        <f t="shared" si="0"/>
        <v>0.35</v>
      </c>
      <c r="L23" s="8">
        <f t="shared" si="1"/>
        <v>0.12344848241714235</v>
      </c>
      <c r="M23" s="8">
        <f t="shared" si="2"/>
        <v>0.35270994976326386</v>
      </c>
      <c r="N23" s="8">
        <f t="shared" si="3"/>
        <v>2.7783388040458013E-3</v>
      </c>
      <c r="Q23" s="8">
        <f t="shared" si="7"/>
        <v>0.13773461312885643</v>
      </c>
      <c r="R23" s="8">
        <f t="shared" si="5"/>
        <v>0.39352746608244699</v>
      </c>
      <c r="S23" s="8">
        <f t="shared" si="6"/>
        <v>8.7473869118032729E-3</v>
      </c>
    </row>
    <row r="24" spans="1:19" s="8" customFormat="1" ht="15.75" x14ac:dyDescent="0.25">
      <c r="A24" s="17" t="str">
        <f>'estimates new'!AR92</f>
        <v>646 (7)</v>
      </c>
      <c r="B24" s="17">
        <f>'estimates new'!AS92</f>
        <v>7</v>
      </c>
      <c r="C24" s="17">
        <f>'estimates new'!AT92</f>
        <v>27</v>
      </c>
      <c r="D24" s="17">
        <f>'estimates new'!AU92</f>
        <v>0.30303030303030304</v>
      </c>
      <c r="E24" s="17">
        <f>'estimates new'!AV92</f>
        <v>0.69696969696969702</v>
      </c>
      <c r="F24" s="26">
        <f>'estimates new'!AW92</f>
        <v>0.66</v>
      </c>
      <c r="G24" s="8">
        <v>30</v>
      </c>
      <c r="H24" s="8">
        <v>0</v>
      </c>
      <c r="I24" s="8">
        <f t="shared" si="0"/>
        <v>0.33</v>
      </c>
      <c r="L24" s="8">
        <f t="shared" si="1"/>
        <v>0.11112339184702935</v>
      </c>
      <c r="M24" s="8">
        <f t="shared" si="2"/>
        <v>0.33673755105160408</v>
      </c>
      <c r="N24" s="8">
        <f>(M24-D24)^2</f>
        <v>1.1361785691695028E-3</v>
      </c>
      <c r="Q24" s="8">
        <f t="shared" si="7"/>
        <v>0.12431854859318942</v>
      </c>
      <c r="R24" s="8">
        <f t="shared" si="5"/>
        <v>0.3767228745248164</v>
      </c>
      <c r="S24" s="8">
        <f t="shared" si="6"/>
        <v>5.4305950934739628E-3</v>
      </c>
    </row>
    <row r="25" spans="1:19" s="8" customFormat="1" ht="15.75" x14ac:dyDescent="0.25">
      <c r="A25" s="17" t="str">
        <f>'estimates new'!AR95</f>
        <v>610 (14)</v>
      </c>
      <c r="B25" s="17">
        <f>'estimates new'!AS95</f>
        <v>14</v>
      </c>
      <c r="C25" s="17">
        <f>'estimates new'!AT95</f>
        <v>27</v>
      </c>
      <c r="D25" s="17">
        <f>'estimates new'!AU95</f>
        <v>0.90410958904109584</v>
      </c>
      <c r="E25" s="17">
        <f>'estimates new'!AV95</f>
        <v>9.5890410958904104E-2</v>
      </c>
      <c r="F25" s="27">
        <f>'estimates new'!AW95</f>
        <v>1.46</v>
      </c>
      <c r="G25" s="8">
        <v>60</v>
      </c>
      <c r="H25" s="8">
        <v>0</v>
      </c>
      <c r="I25" s="8">
        <f t="shared" si="0"/>
        <v>0.73</v>
      </c>
      <c r="L25" s="8">
        <f t="shared" si="1"/>
        <v>0.41505571668435737</v>
      </c>
      <c r="M25" s="8">
        <f t="shared" si="2"/>
        <v>0.56856947491007859</v>
      </c>
      <c r="N25" s="8">
        <f t="shared" si="3"/>
        <v>0.11258716819105609</v>
      </c>
      <c r="Q25" s="8">
        <f t="shared" si="7"/>
        <v>0.44523610948200071</v>
      </c>
      <c r="R25" s="8">
        <f t="shared" si="5"/>
        <v>0.60991247874246679</v>
      </c>
      <c r="S25" s="8">
        <f t="shared" si="6"/>
        <v>8.6551939708063713E-2</v>
      </c>
    </row>
    <row r="26" spans="1:19" ht="15.75" x14ac:dyDescent="0.25">
      <c r="A26" s="17" t="str">
        <f>'estimates new'!AR63</f>
        <v>503 (2)</v>
      </c>
      <c r="B26" s="17">
        <f>'estimates new'!AS63</f>
        <v>2</v>
      </c>
      <c r="C26" s="17">
        <f>'estimates new'!AT63</f>
        <v>42</v>
      </c>
      <c r="D26" s="17">
        <f>'estimates new'!AU63</f>
        <v>0.41249999999999998</v>
      </c>
      <c r="E26" s="17">
        <f>'estimates new'!AV63</f>
        <v>0.58749999999999991</v>
      </c>
      <c r="F26" s="24">
        <f>'estimates new'!AW63</f>
        <v>0.8</v>
      </c>
      <c r="G26" s="18">
        <f>0</f>
        <v>0</v>
      </c>
      <c r="H26" s="8">
        <v>0</v>
      </c>
      <c r="I26" s="8">
        <f t="shared" si="0"/>
        <v>0.4</v>
      </c>
      <c r="K26" s="8"/>
      <c r="L26" s="8">
        <f>-C26/($K$2*SQRT(2)) + (I26/(2*$K$2))*(2*(C26/I26)^2 +4*$K$2^2)^0.5</f>
        <v>0.10950796993590306</v>
      </c>
      <c r="M26" s="8">
        <f t="shared" si="2"/>
        <v>0.27376992483975765</v>
      </c>
      <c r="N26" s="8">
        <f t="shared" si="3"/>
        <v>1.9246033753966486E-2</v>
      </c>
      <c r="P26">
        <v>62.087110129052121</v>
      </c>
      <c r="Q26" s="8">
        <f>-C26/($P$26*SQRT(2)) + (I26/(2*$P$26))*(2*(C26/I26)^2 +4*$P$26^2)^0.5</f>
        <v>0.14520662046025457</v>
      </c>
      <c r="R26" s="8">
        <f t="shared" si="5"/>
        <v>0.36301655115063641</v>
      </c>
      <c r="S26" s="8">
        <f t="shared" si="6"/>
        <v>2.4486117100275804E-3</v>
      </c>
    </row>
    <row r="27" spans="1:19" ht="15.75" x14ac:dyDescent="0.25">
      <c r="A27" s="17" t="str">
        <f>'estimates new'!AR66</f>
        <v>499 (3)</v>
      </c>
      <c r="B27" s="17">
        <f>'estimates new'!AS66</f>
        <v>3</v>
      </c>
      <c r="C27" s="17">
        <f>'estimates new'!AT66</f>
        <v>42</v>
      </c>
      <c r="D27" s="17">
        <f>'estimates new'!AU66</f>
        <v>0.35802469135802467</v>
      </c>
      <c r="E27" s="17">
        <f>'estimates new'!AV66</f>
        <v>0.64197530864197527</v>
      </c>
      <c r="F27" s="24">
        <f>'estimates new'!AW66</f>
        <v>0.81</v>
      </c>
      <c r="G27" s="18">
        <v>60</v>
      </c>
      <c r="H27" s="8">
        <v>0</v>
      </c>
      <c r="I27" s="8">
        <f t="shared" si="0"/>
        <v>0.40500000000000003</v>
      </c>
      <c r="K27" s="8"/>
      <c r="L27" s="8">
        <f t="shared" si="1"/>
        <v>0.11206653500543406</v>
      </c>
      <c r="M27" s="8">
        <f t="shared" si="2"/>
        <v>0.27670749384057791</v>
      </c>
      <c r="N27" s="8">
        <f t="shared" si="3"/>
        <v>6.6124866120914495E-3</v>
      </c>
      <c r="Q27" s="8">
        <f t="shared" ref="Q27:Q36" si="8">-C27/($P$26*SQRT(2)) + (I27/(2*$P$26))*(2*(C27/I27)^2 +4*$P$26^2)^0.5</f>
        <v>0.14842583761968153</v>
      </c>
      <c r="R27" s="8">
        <f t="shared" si="5"/>
        <v>0.36648354967822599</v>
      </c>
      <c r="S27" s="8">
        <f t="shared" si="6"/>
        <v>7.1552284081239159E-5</v>
      </c>
    </row>
    <row r="28" spans="1:19" ht="15.75" x14ac:dyDescent="0.25">
      <c r="A28" s="17" t="str">
        <f>'estimates new'!AR69</f>
        <v>501 (4)</v>
      </c>
      <c r="B28" s="17">
        <f>'estimates new'!AS69</f>
        <v>4</v>
      </c>
      <c r="C28" s="17">
        <f>'estimates new'!AT69</f>
        <v>42</v>
      </c>
      <c r="D28" s="17">
        <f>'estimates new'!AU69</f>
        <v>0.3125</v>
      </c>
      <c r="E28" s="17">
        <f>'estimates new'!AV69</f>
        <v>0.6875</v>
      </c>
      <c r="F28" s="24">
        <f>'estimates new'!AW69</f>
        <v>0.8</v>
      </c>
      <c r="G28" s="18">
        <v>30</v>
      </c>
      <c r="H28" s="8">
        <v>0</v>
      </c>
      <c r="I28" s="8">
        <f t="shared" si="0"/>
        <v>0.4</v>
      </c>
      <c r="K28" s="8"/>
      <c r="L28" s="8">
        <f t="shared" si="1"/>
        <v>0.10950796993590306</v>
      </c>
      <c r="M28" s="8">
        <f t="shared" si="2"/>
        <v>0.27376992483975765</v>
      </c>
      <c r="N28" s="8">
        <f t="shared" si="3"/>
        <v>1.5000187219180216E-3</v>
      </c>
      <c r="Q28" s="8">
        <f t="shared" si="8"/>
        <v>0.14520662046025457</v>
      </c>
      <c r="R28" s="8">
        <f t="shared" si="5"/>
        <v>0.36301655115063641</v>
      </c>
      <c r="S28" s="8">
        <f t="shared" si="6"/>
        <v>2.5519219401548649E-3</v>
      </c>
    </row>
    <row r="29" spans="1:19" ht="15.75" x14ac:dyDescent="0.25">
      <c r="A29" s="17" t="str">
        <f>'estimates new'!AR72</f>
        <v>661 (5)</v>
      </c>
      <c r="B29" s="17">
        <f>'estimates new'!AS72</f>
        <v>5</v>
      </c>
      <c r="C29" s="17">
        <f>'estimates new'!AT72</f>
        <v>42</v>
      </c>
      <c r="D29" s="17">
        <f>'estimates new'!AU72</f>
        <v>0</v>
      </c>
      <c r="E29" s="17">
        <f>'estimates new'!AV72</f>
        <v>1</v>
      </c>
      <c r="F29" s="25">
        <f>'estimates new'!AW72</f>
        <v>0.41</v>
      </c>
      <c r="G29" s="18">
        <f>0</f>
        <v>0</v>
      </c>
      <c r="H29" s="8">
        <v>0</v>
      </c>
      <c r="I29" s="8">
        <f t="shared" si="0"/>
        <v>0.20499999999999999</v>
      </c>
      <c r="K29" s="8"/>
      <c r="L29" s="8">
        <f t="shared" si="1"/>
        <v>3.0409221183088753E-2</v>
      </c>
      <c r="M29" s="8">
        <f t="shared" si="2"/>
        <v>0.14833766430775003</v>
      </c>
      <c r="N29" s="8">
        <f t="shared" si="3"/>
        <v>2.2004062652278736E-2</v>
      </c>
      <c r="Q29" s="8">
        <f t="shared" si="8"/>
        <v>4.2077632953905431E-2</v>
      </c>
      <c r="R29" s="8">
        <f t="shared" si="5"/>
        <v>0.20525674611661188</v>
      </c>
      <c r="S29" s="8">
        <f t="shared" si="6"/>
        <v>4.2130331826379264E-2</v>
      </c>
    </row>
    <row r="30" spans="1:19" ht="15.75" x14ac:dyDescent="0.25">
      <c r="A30" s="17" t="str">
        <f>'estimates new'!AR75</f>
        <v>532 (8)</v>
      </c>
      <c r="B30" s="17">
        <f>'estimates new'!AS75</f>
        <v>8</v>
      </c>
      <c r="C30" s="17">
        <f>'estimates new'!AT75</f>
        <v>42</v>
      </c>
      <c r="D30" s="17">
        <f>'estimates new'!AU75</f>
        <v>5.5555555555555552E-2</v>
      </c>
      <c r="E30" s="17">
        <f>'estimates new'!AV75</f>
        <v>0.94444444444444442</v>
      </c>
      <c r="F30" s="25">
        <f>'estimates new'!AW75</f>
        <v>0.54</v>
      </c>
      <c r="G30" s="18">
        <f>0</f>
        <v>0</v>
      </c>
      <c r="H30" s="8">
        <v>0</v>
      </c>
      <c r="I30" s="8">
        <f t="shared" si="0"/>
        <v>0.27</v>
      </c>
      <c r="K30" s="8"/>
      <c r="L30" s="8">
        <f t="shared" si="1"/>
        <v>5.1941058064369772E-2</v>
      </c>
      <c r="M30" s="8">
        <f t="shared" si="2"/>
        <v>0.19237428912729543</v>
      </c>
      <c r="N30" s="8">
        <f t="shared" si="3"/>
        <v>1.871936585617474E-2</v>
      </c>
      <c r="Q30" s="8">
        <f t="shared" si="8"/>
        <v>7.0941128055289737E-2</v>
      </c>
      <c r="R30" s="8">
        <f t="shared" si="5"/>
        <v>0.26274491872329531</v>
      </c>
      <c r="S30" s="8">
        <f t="shared" si="6"/>
        <v>4.2927432209853553E-2</v>
      </c>
    </row>
    <row r="31" spans="1:19" ht="15.75" x14ac:dyDescent="0.25">
      <c r="A31" s="17" t="str">
        <f>'estimates new'!AR78</f>
        <v>534 (9)</v>
      </c>
      <c r="B31" s="17">
        <f>'estimates new'!AS78</f>
        <v>9</v>
      </c>
      <c r="C31" s="17">
        <f>'estimates new'!AT78</f>
        <v>42</v>
      </c>
      <c r="D31" s="17">
        <f>'estimates new'!AU78</f>
        <v>0.27272727272727271</v>
      </c>
      <c r="E31" s="17">
        <f>'estimates new'!AV78</f>
        <v>0.72727272727272729</v>
      </c>
      <c r="F31" s="25">
        <f>'estimates new'!AW78</f>
        <v>0.55000000000000004</v>
      </c>
      <c r="G31" s="18">
        <v>60</v>
      </c>
      <c r="H31" s="8">
        <v>1</v>
      </c>
      <c r="I31" s="8">
        <f t="shared" si="0"/>
        <v>0.27500000000000002</v>
      </c>
      <c r="K31" s="8"/>
      <c r="L31" s="8">
        <f t="shared" si="1"/>
        <v>5.3810922523514937E-2</v>
      </c>
      <c r="M31" s="8">
        <f t="shared" si="2"/>
        <v>0.19567608190369065</v>
      </c>
      <c r="N31" s="8">
        <f t="shared" si="3"/>
        <v>5.9368860073320557E-3</v>
      </c>
      <c r="Q31" s="8">
        <f t="shared" si="8"/>
        <v>7.3416086184173834E-2</v>
      </c>
      <c r="R31" s="8">
        <f t="shared" si="5"/>
        <v>0.26696758612426846</v>
      </c>
      <c r="S31" s="8">
        <f t="shared" si="6"/>
        <v>3.3173989764826564E-5</v>
      </c>
    </row>
    <row r="32" spans="1:19" ht="15.75" x14ac:dyDescent="0.25">
      <c r="A32" s="17" t="str">
        <f>'estimates new'!AR81</f>
        <v>536(10)</v>
      </c>
      <c r="B32" s="17">
        <f>'estimates new'!AS81</f>
        <v>10</v>
      </c>
      <c r="C32" s="17">
        <f>'estimates new'!AT81</f>
        <v>42</v>
      </c>
      <c r="D32" s="17">
        <f>'estimates new'!AU81</f>
        <v>0.29090909090909089</v>
      </c>
      <c r="E32" s="17">
        <f>'estimates new'!AV81</f>
        <v>0.70909090909090899</v>
      </c>
      <c r="F32" s="25">
        <f>'estimates new'!AW81</f>
        <v>0.55000000000000004</v>
      </c>
      <c r="G32" s="8">
        <v>30</v>
      </c>
      <c r="H32" s="8">
        <v>0</v>
      </c>
      <c r="I32" s="8">
        <f t="shared" si="0"/>
        <v>0.27500000000000002</v>
      </c>
      <c r="K32" s="8"/>
      <c r="L32" s="8">
        <f t="shared" si="1"/>
        <v>5.3810922523514937E-2</v>
      </c>
      <c r="M32" s="8">
        <f t="shared" si="2"/>
        <v>0.19567608190369065</v>
      </c>
      <c r="N32" s="8">
        <f t="shared" si="3"/>
        <v>9.0693260042226439E-3</v>
      </c>
      <c r="Q32" s="8">
        <f t="shared" si="8"/>
        <v>7.3416086184173834E-2</v>
      </c>
      <c r="R32" s="8">
        <f t="shared" si="5"/>
        <v>0.26696758612426846</v>
      </c>
      <c r="S32" s="8">
        <f t="shared" si="6"/>
        <v>5.731956513616754E-4</v>
      </c>
    </row>
    <row r="33" spans="1:20" ht="15.75" x14ac:dyDescent="0.25">
      <c r="A33" s="17" t="str">
        <f>'estimates new'!AR84</f>
        <v>614 (11)</v>
      </c>
      <c r="B33" s="17">
        <f>'estimates new'!AS84</f>
        <v>11</v>
      </c>
      <c r="C33" s="17">
        <f>'estimates new'!AT84</f>
        <v>42</v>
      </c>
      <c r="D33" s="17">
        <f>'estimates new'!AU84</f>
        <v>0.54794520547945202</v>
      </c>
      <c r="E33" s="17">
        <f>'estimates new'!AV84</f>
        <v>0.45205479452054792</v>
      </c>
      <c r="F33" s="27">
        <f>'estimates new'!AW84</f>
        <v>1.46</v>
      </c>
      <c r="G33" s="8">
        <v>30</v>
      </c>
      <c r="H33" s="8">
        <v>0</v>
      </c>
      <c r="I33" s="8">
        <f t="shared" si="0"/>
        <v>0.73</v>
      </c>
      <c r="K33" s="8"/>
      <c r="L33" s="8">
        <f t="shared" si="1"/>
        <v>0.31899358897446284</v>
      </c>
      <c r="M33" s="8">
        <f t="shared" si="2"/>
        <v>0.43697751914309979</v>
      </c>
      <c r="N33" s="8">
        <f t="shared" si="3"/>
        <v>1.2313827410843053E-2</v>
      </c>
      <c r="Q33" s="8">
        <f t="shared" si="8"/>
        <v>0.39442142377748779</v>
      </c>
      <c r="R33" s="8">
        <f t="shared" si="5"/>
        <v>0.54030332024313399</v>
      </c>
      <c r="S33" s="8">
        <f t="shared" si="6"/>
        <v>5.8398409965055561E-5</v>
      </c>
    </row>
    <row r="34" spans="1:20" ht="15.75" x14ac:dyDescent="0.25">
      <c r="A34" s="17" t="str">
        <f>'estimates new'!AR87</f>
        <v>617 (12)</v>
      </c>
      <c r="B34" s="17">
        <f>'estimates new'!AS87</f>
        <v>12</v>
      </c>
      <c r="C34" s="17">
        <f>'estimates new'!AT87</f>
        <v>42</v>
      </c>
      <c r="D34" s="17">
        <f>'estimates new'!AU87</f>
        <v>0.64189189189189189</v>
      </c>
      <c r="E34" s="17">
        <f>'estimates new'!AV87</f>
        <v>0.35810810810810811</v>
      </c>
      <c r="F34" s="27">
        <f>'estimates new'!AW87</f>
        <v>1.48</v>
      </c>
      <c r="G34" s="8">
        <f>0</f>
        <v>0</v>
      </c>
      <c r="H34" s="8">
        <v>1</v>
      </c>
      <c r="I34" s="8">
        <f t="shared" si="0"/>
        <v>0.74</v>
      </c>
      <c r="K34" s="8"/>
      <c r="L34" s="8">
        <f t="shared" si="1"/>
        <v>0.32635492023706048</v>
      </c>
      <c r="M34" s="8">
        <f t="shared" si="2"/>
        <v>0.44102016248251419</v>
      </c>
      <c r="N34" s="8">
        <f t="shared" si="3"/>
        <v>4.034945167591425E-2</v>
      </c>
      <c r="Q34" s="8">
        <f t="shared" si="8"/>
        <v>0.40280276593629982</v>
      </c>
      <c r="R34" s="8">
        <f t="shared" si="5"/>
        <v>0.54432806207608087</v>
      </c>
      <c r="S34" s="8">
        <f t="shared" si="6"/>
        <v>9.5187008883285355E-3</v>
      </c>
    </row>
    <row r="35" spans="1:20" ht="15.75" x14ac:dyDescent="0.25">
      <c r="A35" s="17" t="str">
        <f>'estimates new'!AR90</f>
        <v>666 (6)</v>
      </c>
      <c r="B35" s="17">
        <f>'estimates new'!AS90</f>
        <v>6</v>
      </c>
      <c r="C35" s="17">
        <f>'estimates new'!AT90</f>
        <v>42</v>
      </c>
      <c r="D35" s="17">
        <f>'estimates new'!AU90</f>
        <v>0.31746031746031744</v>
      </c>
      <c r="E35" s="17">
        <f>'estimates new'!AV90</f>
        <v>0.68253968253968256</v>
      </c>
      <c r="F35" s="26">
        <f>'estimates new'!AW90</f>
        <v>0.63</v>
      </c>
      <c r="G35" s="8">
        <v>60</v>
      </c>
      <c r="H35" s="8">
        <v>0</v>
      </c>
      <c r="I35" s="8">
        <f t="shared" si="0"/>
        <v>0.315</v>
      </c>
      <c r="K35" s="8"/>
      <c r="L35" s="8">
        <f t="shared" si="1"/>
        <v>6.9808832972021562E-2</v>
      </c>
      <c r="M35" s="8">
        <f t="shared" si="2"/>
        <v>0.22161534276832243</v>
      </c>
      <c r="N35" s="8">
        <f t="shared" si="3"/>
        <v>9.1862591737091655E-3</v>
      </c>
      <c r="Q35" s="8">
        <f t="shared" si="8"/>
        <v>9.44033602832417E-2</v>
      </c>
      <c r="R35" s="8">
        <f t="shared" si="5"/>
        <v>0.29969320724838633</v>
      </c>
      <c r="S35" s="8">
        <f t="shared" si="6"/>
        <v>3.1567020528290688E-4</v>
      </c>
    </row>
    <row r="36" spans="1:20" ht="15.75" x14ac:dyDescent="0.25">
      <c r="A36" s="17" t="s">
        <v>61</v>
      </c>
      <c r="B36" s="17">
        <v>7</v>
      </c>
      <c r="C36" s="17">
        <v>42</v>
      </c>
      <c r="D36" s="17">
        <f>'estimates new'!AU93</f>
        <v>0</v>
      </c>
      <c r="E36" s="17">
        <f>'estimates new'!AV93</f>
        <v>1</v>
      </c>
      <c r="F36" s="25">
        <f>'estimates new'!AW93</f>
        <v>0.55000000000000004</v>
      </c>
      <c r="G36" s="17">
        <v>30</v>
      </c>
      <c r="H36" s="17">
        <v>0</v>
      </c>
      <c r="I36" s="8">
        <f t="shared" si="0"/>
        <v>0.27500000000000002</v>
      </c>
      <c r="K36" s="8"/>
      <c r="L36" s="8">
        <f t="shared" si="1"/>
        <v>5.3810922523514937E-2</v>
      </c>
      <c r="M36" s="8">
        <f t="shared" si="2"/>
        <v>0.19567608190369065</v>
      </c>
      <c r="N36" s="8">
        <f t="shared" si="3"/>
        <v>3.8289129029179851E-2</v>
      </c>
      <c r="Q36" s="8">
        <f t="shared" si="8"/>
        <v>7.3416086184173834E-2</v>
      </c>
      <c r="R36" s="8">
        <f t="shared" si="5"/>
        <v>0.26696758612426846</v>
      </c>
      <c r="S36" s="8">
        <f t="shared" si="6"/>
        <v>7.12716920410187E-2</v>
      </c>
    </row>
    <row r="37" spans="1:20" ht="15.75" x14ac:dyDescent="0.25">
      <c r="A37" s="17" t="str">
        <f>'estimates new'!AR96</f>
        <v>631 (14)</v>
      </c>
      <c r="B37" s="17">
        <f>'estimates new'!AS96</f>
        <v>14</v>
      </c>
      <c r="C37" s="17">
        <f>'estimates new'!AT96</f>
        <v>42</v>
      </c>
      <c r="D37" s="17">
        <f>'estimates new'!AU96</f>
        <v>0.91275167785234901</v>
      </c>
      <c r="E37" s="17">
        <f>'estimates new'!AV96</f>
        <v>8.7248322147651006E-2</v>
      </c>
      <c r="F37" s="27">
        <f>'estimates new'!AW96</f>
        <v>1.49</v>
      </c>
      <c r="G37" s="8">
        <v>60</v>
      </c>
      <c r="H37" s="8">
        <v>0</v>
      </c>
      <c r="I37" s="8">
        <f t="shared" si="0"/>
        <v>0.745</v>
      </c>
      <c r="K37" s="8"/>
      <c r="L37" s="8">
        <f t="shared" si="1"/>
        <v>0.3300526653359962</v>
      </c>
      <c r="M37" s="8">
        <f t="shared" si="2"/>
        <v>0.44302371186039757</v>
      </c>
      <c r="N37" s="8">
        <f>(M37-D37)^2</f>
        <v>0.22064436203493587</v>
      </c>
      <c r="Q37" s="8">
        <f>-C37/($P$26*SQRT(2)) + (I37/(2*$P$26))*(2*(C37/I37)^2 +4*$P$26^2)^0.5</f>
        <v>0.40700603948552538</v>
      </c>
      <c r="R37" s="8">
        <f t="shared" si="5"/>
        <v>0.54631683152419519</v>
      </c>
      <c r="S37" s="8">
        <f t="shared" si="6"/>
        <v>0.13427449660353771</v>
      </c>
    </row>
    <row r="39" spans="1:20" x14ac:dyDescent="0.25">
      <c r="N39" t="s">
        <v>239</v>
      </c>
    </row>
    <row r="40" spans="1:20" x14ac:dyDescent="0.25">
      <c r="N40">
        <f>SUM(N2:N37)</f>
        <v>1.2241393688431572</v>
      </c>
    </row>
    <row r="46" spans="1:20" ht="18.75" x14ac:dyDescent="0.3">
      <c r="A46" t="s">
        <v>243</v>
      </c>
      <c r="C46" s="2" t="s">
        <v>244</v>
      </c>
      <c r="D46" s="2" t="s">
        <v>245</v>
      </c>
      <c r="E46" s="2" t="s">
        <v>246</v>
      </c>
      <c r="F46" s="2" t="s">
        <v>98</v>
      </c>
      <c r="G46" s="2"/>
      <c r="H46" s="2"/>
      <c r="I46" s="2" t="s">
        <v>185</v>
      </c>
      <c r="J46" s="2" t="s">
        <v>247</v>
      </c>
      <c r="K46" s="2" t="s">
        <v>187</v>
      </c>
      <c r="L46" s="2" t="s">
        <v>248</v>
      </c>
      <c r="M46" s="2" t="s">
        <v>238</v>
      </c>
      <c r="N46" s="2" t="s">
        <v>239</v>
      </c>
      <c r="O46" s="8"/>
      <c r="P46" s="8"/>
      <c r="Q46" s="8"/>
      <c r="R46" s="8"/>
      <c r="S46" s="8"/>
      <c r="T46" s="8"/>
    </row>
    <row r="47" spans="1:20" x14ac:dyDescent="0.25">
      <c r="C47">
        <f>C2</f>
        <v>12</v>
      </c>
      <c r="D47" s="8">
        <f t="shared" ref="D47:I47" si="9">D2</f>
        <v>0.39285714285714285</v>
      </c>
      <c r="E47" s="8">
        <f t="shared" si="9"/>
        <v>0.60714285714285721</v>
      </c>
      <c r="F47" s="1">
        <f t="shared" si="9"/>
        <v>0.84</v>
      </c>
      <c r="G47" s="8">
        <f t="shared" si="9"/>
        <v>0</v>
      </c>
      <c r="H47" s="8">
        <f t="shared" si="9"/>
        <v>0</v>
      </c>
      <c r="I47" s="8">
        <f t="shared" si="9"/>
        <v>0.42</v>
      </c>
      <c r="J47">
        <v>31.155523575722388</v>
      </c>
      <c r="K47">
        <f>-C47/($J$47*SQRT(2)) + (I47/(2*$J$47))*(2*(C47/I47)^2 +4*$J$47^2)^0.5</f>
        <v>0.22822310217043851</v>
      </c>
      <c r="L47">
        <f>K47/I47</f>
        <v>0.54338833850104407</v>
      </c>
      <c r="M47">
        <f>(L47-D47)^2</f>
        <v>2.2659640861982466E-2</v>
      </c>
      <c r="N47">
        <f>SUM(M47:M56)</f>
        <v>0.44874516309598289</v>
      </c>
    </row>
    <row r="48" spans="1:20" x14ac:dyDescent="0.25">
      <c r="C48" s="8">
        <f t="shared" ref="C48:I48" si="10">C3</f>
        <v>12</v>
      </c>
      <c r="D48" s="8">
        <f t="shared" si="10"/>
        <v>0.59756097560975607</v>
      </c>
      <c r="E48" s="8">
        <f t="shared" si="10"/>
        <v>0.40243902439024393</v>
      </c>
      <c r="F48" s="1">
        <f t="shared" si="10"/>
        <v>0.82</v>
      </c>
      <c r="G48" s="8">
        <f t="shared" si="10"/>
        <v>60</v>
      </c>
      <c r="H48" s="8">
        <f t="shared" si="10"/>
        <v>0</v>
      </c>
      <c r="I48" s="8">
        <f t="shared" si="10"/>
        <v>0.41</v>
      </c>
      <c r="K48" s="8">
        <f t="shared" ref="K48:K55" si="11">-C48/($J$47*SQRT(2)) + (I48/(2*$J$47))*(2*(C48/I48)^2 +4*$J$47^2)^0.5</f>
        <v>0.21986283060727418</v>
      </c>
      <c r="L48" s="8">
        <f t="shared" ref="L48:L82" si="12">K48/I48</f>
        <v>0.53625080635920541</v>
      </c>
      <c r="M48" s="8">
        <f t="shared" ref="M48:M82" si="13">(L48-D48)^2</f>
        <v>3.7589368535311677E-3</v>
      </c>
      <c r="N48">
        <f>SUM(M57:M65)</f>
        <v>0.15721411312021866</v>
      </c>
    </row>
    <row r="49" spans="3:14" x14ac:dyDescent="0.25">
      <c r="C49" s="8">
        <f t="shared" ref="C49:I49" si="14">C4</f>
        <v>12</v>
      </c>
      <c r="D49" s="8">
        <f t="shared" si="14"/>
        <v>0.5662650602409639</v>
      </c>
      <c r="E49" s="8">
        <f t="shared" si="14"/>
        <v>0.43373493975903615</v>
      </c>
      <c r="F49" s="1">
        <f t="shared" si="14"/>
        <v>0.83</v>
      </c>
      <c r="G49" s="8">
        <f t="shared" si="14"/>
        <v>30</v>
      </c>
      <c r="H49" s="8">
        <f t="shared" si="14"/>
        <v>0</v>
      </c>
      <c r="I49" s="8">
        <f t="shared" si="14"/>
        <v>0.41499999999999998</v>
      </c>
      <c r="K49" s="8">
        <f t="shared" si="11"/>
        <v>0.22403538521168326</v>
      </c>
      <c r="L49" s="8">
        <f t="shared" si="12"/>
        <v>0.53984430171489939</v>
      </c>
      <c r="M49" s="8">
        <f t="shared" si="13"/>
        <v>6.9805648109261069E-4</v>
      </c>
      <c r="N49">
        <f>SUM(M66:M73)</f>
        <v>0.234386464578105</v>
      </c>
    </row>
    <row r="50" spans="3:14" x14ac:dyDescent="0.25">
      <c r="C50">
        <f>C11</f>
        <v>12</v>
      </c>
      <c r="D50" s="8">
        <f t="shared" ref="D50:I50" si="15">D11</f>
        <v>0</v>
      </c>
      <c r="E50" s="8">
        <f t="shared" si="15"/>
        <v>1</v>
      </c>
      <c r="F50" s="1">
        <f t="shared" si="15"/>
        <v>0.84</v>
      </c>
      <c r="G50" s="8">
        <f t="shared" si="15"/>
        <v>60</v>
      </c>
      <c r="H50" s="8">
        <f t="shared" si="15"/>
        <v>0</v>
      </c>
      <c r="I50" s="8">
        <f t="shared" si="15"/>
        <v>0.42</v>
      </c>
      <c r="K50" s="8">
        <f t="shared" si="11"/>
        <v>0.22822310217043851</v>
      </c>
      <c r="L50" s="8">
        <f t="shared" si="12"/>
        <v>0.54338833850104407</v>
      </c>
      <c r="M50" s="8">
        <f t="shared" si="13"/>
        <v>0.29527088641892524</v>
      </c>
      <c r="N50">
        <f>SUM(M74:M82)</f>
        <v>0.2588555103770121</v>
      </c>
    </row>
    <row r="51" spans="3:14" x14ac:dyDescent="0.25">
      <c r="C51">
        <f>C14</f>
        <v>27</v>
      </c>
      <c r="D51" s="8">
        <f t="shared" ref="D51:I51" si="16">D14</f>
        <v>0.40740740740740738</v>
      </c>
      <c r="E51" s="8">
        <f t="shared" si="16"/>
        <v>0.59259259259259256</v>
      </c>
      <c r="F51" s="1">
        <f t="shared" si="16"/>
        <v>0.81</v>
      </c>
      <c r="G51" s="8">
        <f t="shared" si="16"/>
        <v>0</v>
      </c>
      <c r="H51" s="8">
        <f t="shared" si="16"/>
        <v>0</v>
      </c>
      <c r="I51" s="8">
        <f t="shared" si="16"/>
        <v>0.40500000000000003</v>
      </c>
      <c r="K51" s="8">
        <f t="shared" si="11"/>
        <v>0.12174106286087605</v>
      </c>
      <c r="L51" s="8">
        <f t="shared" si="12"/>
        <v>0.30059521694043467</v>
      </c>
      <c r="M51" s="8">
        <f t="shared" si="13"/>
        <v>1.1408844032352856E-2</v>
      </c>
    </row>
    <row r="52" spans="3:14" x14ac:dyDescent="0.25">
      <c r="C52" s="8">
        <f t="shared" ref="C52:I52" si="17">C15</f>
        <v>27</v>
      </c>
      <c r="D52" s="8">
        <f t="shared" si="17"/>
        <v>0.44155844155844154</v>
      </c>
      <c r="E52" s="8">
        <f t="shared" si="17"/>
        <v>0.55844155844155841</v>
      </c>
      <c r="F52" s="1">
        <f t="shared" si="17"/>
        <v>0.77</v>
      </c>
      <c r="G52" s="8">
        <f t="shared" si="17"/>
        <v>60</v>
      </c>
      <c r="H52" s="8">
        <f t="shared" si="17"/>
        <v>0</v>
      </c>
      <c r="I52" s="8">
        <f t="shared" si="17"/>
        <v>0.38500000000000001</v>
      </c>
      <c r="K52" s="8">
        <f t="shared" si="11"/>
        <v>0.11090603064235871</v>
      </c>
      <c r="L52" s="8">
        <f t="shared" si="12"/>
        <v>0.28806761205807457</v>
      </c>
      <c r="M52" s="8">
        <f t="shared" si="13"/>
        <v>2.3559434740710723E-2</v>
      </c>
    </row>
    <row r="53" spans="3:14" x14ac:dyDescent="0.25">
      <c r="C53" s="8">
        <f t="shared" ref="C53:I53" si="18">C16</f>
        <v>27</v>
      </c>
      <c r="D53" s="8">
        <f t="shared" si="18"/>
        <v>0.40963855421686746</v>
      </c>
      <c r="E53" s="8">
        <f t="shared" si="18"/>
        <v>0.59036144578313254</v>
      </c>
      <c r="F53" s="1">
        <f t="shared" si="18"/>
        <v>0.83</v>
      </c>
      <c r="G53" s="8">
        <f t="shared" si="18"/>
        <v>30</v>
      </c>
      <c r="H53" s="8">
        <f t="shared" si="18"/>
        <v>0</v>
      </c>
      <c r="I53" s="8">
        <f t="shared" si="18"/>
        <v>0.41499999999999998</v>
      </c>
      <c r="K53" s="8">
        <f t="shared" si="11"/>
        <v>0.12730178501859424</v>
      </c>
      <c r="L53" s="8">
        <f t="shared" si="12"/>
        <v>0.30675128920143191</v>
      </c>
      <c r="M53" s="8">
        <f t="shared" si="13"/>
        <v>1.0585789302356468E-2</v>
      </c>
    </row>
    <row r="54" spans="3:14" x14ac:dyDescent="0.25">
      <c r="C54">
        <f>C26</f>
        <v>42</v>
      </c>
      <c r="D54" s="8">
        <f t="shared" ref="D54:I54" si="19">D26</f>
        <v>0.41249999999999998</v>
      </c>
      <c r="E54" s="8">
        <f t="shared" si="19"/>
        <v>0.58749999999999991</v>
      </c>
      <c r="F54" s="1">
        <f t="shared" si="19"/>
        <v>0.8</v>
      </c>
      <c r="G54" s="8">
        <f t="shared" si="19"/>
        <v>0</v>
      </c>
      <c r="H54" s="8">
        <f t="shared" si="19"/>
        <v>0</v>
      </c>
      <c r="I54" s="8">
        <f t="shared" si="19"/>
        <v>0.4</v>
      </c>
      <c r="K54" s="8">
        <f t="shared" si="11"/>
        <v>8.0523785854435537E-2</v>
      </c>
      <c r="L54" s="8">
        <f t="shared" si="12"/>
        <v>0.20130946463608884</v>
      </c>
      <c r="M54" s="8">
        <f t="shared" si="13"/>
        <v>4.4601442227295403E-2</v>
      </c>
    </row>
    <row r="55" spans="3:14" x14ac:dyDescent="0.25">
      <c r="C55" s="8">
        <f t="shared" ref="C55:I55" si="20">C27</f>
        <v>42</v>
      </c>
      <c r="D55" s="8">
        <f t="shared" si="20"/>
        <v>0.35802469135802467</v>
      </c>
      <c r="E55" s="8">
        <f t="shared" si="20"/>
        <v>0.64197530864197527</v>
      </c>
      <c r="F55" s="1">
        <f t="shared" si="20"/>
        <v>0.81</v>
      </c>
      <c r="G55" s="8">
        <f t="shared" si="20"/>
        <v>60</v>
      </c>
      <c r="H55" s="8">
        <f t="shared" si="20"/>
        <v>0</v>
      </c>
      <c r="I55" s="8">
        <f t="shared" si="20"/>
        <v>0.40500000000000003</v>
      </c>
      <c r="K55" s="8">
        <f t="shared" si="11"/>
        <v>8.2468738364445904E-2</v>
      </c>
      <c r="L55" s="8">
        <f t="shared" si="12"/>
        <v>0.20362651448011332</v>
      </c>
      <c r="M55" s="8">
        <f t="shared" si="13"/>
        <v>2.3838797023222801E-2</v>
      </c>
    </row>
    <row r="56" spans="3:14" x14ac:dyDescent="0.25">
      <c r="C56" s="8">
        <f t="shared" ref="C56:I56" si="21">C28</f>
        <v>42</v>
      </c>
      <c r="D56" s="8">
        <f t="shared" si="21"/>
        <v>0.3125</v>
      </c>
      <c r="E56" s="8">
        <f t="shared" si="21"/>
        <v>0.6875</v>
      </c>
      <c r="F56" s="1">
        <f t="shared" si="21"/>
        <v>0.8</v>
      </c>
      <c r="G56" s="8">
        <f t="shared" si="21"/>
        <v>30</v>
      </c>
      <c r="H56" s="8">
        <f t="shared" si="21"/>
        <v>0</v>
      </c>
      <c r="I56" s="8">
        <f t="shared" si="21"/>
        <v>0.4</v>
      </c>
      <c r="K56" s="8">
        <f>-C56/($J$47*SQRT(2)) + (I56/(2*$J$47))*(2*(C56/I56)^2 +4*$J$47^2)^0.5</f>
        <v>8.0523785854435537E-2</v>
      </c>
      <c r="L56" s="8">
        <f t="shared" si="12"/>
        <v>0.20130946463608884</v>
      </c>
      <c r="M56" s="8">
        <f t="shared" si="13"/>
        <v>1.2363335154513178E-2</v>
      </c>
    </row>
    <row r="57" spans="3:14" x14ac:dyDescent="0.25">
      <c r="C57">
        <f>C5</f>
        <v>12</v>
      </c>
      <c r="D57" s="8">
        <f t="shared" ref="D57:I57" si="22">D5</f>
        <v>0.2978723404255319</v>
      </c>
      <c r="E57" s="8">
        <f t="shared" si="22"/>
        <v>0.7021276595744681</v>
      </c>
      <c r="F57" s="23">
        <f t="shared" si="22"/>
        <v>0.47</v>
      </c>
      <c r="G57" s="8">
        <f t="shared" si="22"/>
        <v>0</v>
      </c>
      <c r="H57" s="8">
        <f t="shared" si="22"/>
        <v>0</v>
      </c>
      <c r="I57" s="8">
        <f t="shared" si="22"/>
        <v>0.23499999999999999</v>
      </c>
      <c r="J57">
        <v>35.67885756633963</v>
      </c>
      <c r="K57" s="8">
        <f>-C57/($J$57*SQRT(2)) + (I57/(2*$J$57))*(2*(C57/I57)^2 +4*$J$57^2)^0.5</f>
        <v>9.6519078571656425E-2</v>
      </c>
      <c r="L57" s="8">
        <f t="shared" si="12"/>
        <v>0.41071948328364438</v>
      </c>
      <c r="M57" s="8">
        <f t="shared" si="13"/>
        <v>1.2734477651239248E-2</v>
      </c>
    </row>
    <row r="58" spans="3:14" x14ac:dyDescent="0.25">
      <c r="C58">
        <f>C17</f>
        <v>27</v>
      </c>
      <c r="D58" s="8">
        <f t="shared" ref="D58:I58" si="23">D17</f>
        <v>0.11363636363636363</v>
      </c>
      <c r="E58" s="8">
        <f t="shared" si="23"/>
        <v>0.88636363636363646</v>
      </c>
      <c r="F58" s="23">
        <f t="shared" si="23"/>
        <v>0.44</v>
      </c>
      <c r="G58" s="8">
        <f t="shared" si="23"/>
        <v>0</v>
      </c>
      <c r="H58" s="8">
        <f t="shared" si="23"/>
        <v>0</v>
      </c>
      <c r="I58" s="8">
        <f t="shared" si="23"/>
        <v>0.22</v>
      </c>
      <c r="K58" s="8">
        <f t="shared" ref="K58:K64" si="24">-C58/($J$57*SQRT(2)) + (I58/(2*$J$57))*(2*(C58/I58)^2 +4*$J$57^2)^0.5</f>
        <v>4.3460024584229484E-2</v>
      </c>
      <c r="L58" s="8">
        <f t="shared" si="12"/>
        <v>0.19754556629195219</v>
      </c>
      <c r="M58" s="8">
        <f t="shared" si="13"/>
        <v>7.0407542902966302E-3</v>
      </c>
    </row>
    <row r="59" spans="3:14" x14ac:dyDescent="0.25">
      <c r="C59" s="8">
        <f t="shared" ref="C59:I59" si="25">C18</f>
        <v>27</v>
      </c>
      <c r="D59" s="8">
        <f t="shared" si="25"/>
        <v>0.31578947368421051</v>
      </c>
      <c r="E59" s="8">
        <f t="shared" si="25"/>
        <v>0.68421052631578938</v>
      </c>
      <c r="F59" s="23">
        <f t="shared" si="25"/>
        <v>0.56999999999999995</v>
      </c>
      <c r="G59" s="8">
        <f t="shared" si="25"/>
        <v>0</v>
      </c>
      <c r="H59" s="8">
        <f t="shared" si="25"/>
        <v>0</v>
      </c>
      <c r="I59" s="8">
        <f t="shared" si="25"/>
        <v>0.28499999999999998</v>
      </c>
      <c r="K59" s="8">
        <f t="shared" si="24"/>
        <v>7.1164386003957691E-2</v>
      </c>
      <c r="L59" s="8">
        <f t="shared" si="12"/>
        <v>0.24969960001388666</v>
      </c>
      <c r="M59" s="8">
        <f t="shared" si="13"/>
        <v>4.3678714017593651E-3</v>
      </c>
    </row>
    <row r="60" spans="3:14" x14ac:dyDescent="0.25">
      <c r="C60" s="8">
        <f t="shared" ref="C60:I60" si="26">C19</f>
        <v>27</v>
      </c>
      <c r="D60" s="8">
        <f t="shared" si="26"/>
        <v>0.48275862068965519</v>
      </c>
      <c r="E60" s="8">
        <f t="shared" si="26"/>
        <v>0.51724137931034486</v>
      </c>
      <c r="F60" s="23">
        <f t="shared" si="26"/>
        <v>0.57999999999999996</v>
      </c>
      <c r="G60" s="8">
        <f t="shared" si="26"/>
        <v>60</v>
      </c>
      <c r="H60" s="8">
        <f t="shared" si="26"/>
        <v>1</v>
      </c>
      <c r="I60" s="8">
        <f t="shared" si="26"/>
        <v>0.28999999999999998</v>
      </c>
      <c r="K60" s="8">
        <f t="shared" si="24"/>
        <v>7.3530831430988375E-2</v>
      </c>
      <c r="L60" s="8">
        <f t="shared" si="12"/>
        <v>0.25355459114133921</v>
      </c>
      <c r="M60" s="8">
        <f t="shared" si="13"/>
        <v>5.2534487161185306E-2</v>
      </c>
    </row>
    <row r="61" spans="3:14" x14ac:dyDescent="0.25">
      <c r="C61">
        <f>C29</f>
        <v>42</v>
      </c>
      <c r="D61" s="8">
        <f t="shared" ref="D61:I61" si="27">D29</f>
        <v>0</v>
      </c>
      <c r="E61" s="8">
        <f t="shared" si="27"/>
        <v>1</v>
      </c>
      <c r="F61" s="23">
        <f t="shared" si="27"/>
        <v>0.41</v>
      </c>
      <c r="G61" s="8">
        <f t="shared" si="27"/>
        <v>0</v>
      </c>
      <c r="H61" s="8">
        <f t="shared" si="27"/>
        <v>0</v>
      </c>
      <c r="I61" s="8">
        <f t="shared" si="27"/>
        <v>0.20499999999999999</v>
      </c>
      <c r="K61" s="8">
        <f t="shared" si="24"/>
        <v>2.4872180393494037E-2</v>
      </c>
      <c r="L61" s="8">
        <f t="shared" si="12"/>
        <v>0.12132770923655628</v>
      </c>
      <c r="M61" s="8">
        <f t="shared" si="13"/>
        <v>1.4720413028590344E-2</v>
      </c>
    </row>
    <row r="62" spans="3:14" x14ac:dyDescent="0.25">
      <c r="C62" s="8">
        <f t="shared" ref="C62:I62" si="28">C30</f>
        <v>42</v>
      </c>
      <c r="D62" s="8">
        <f t="shared" si="28"/>
        <v>5.5555555555555552E-2</v>
      </c>
      <c r="E62" s="8">
        <f t="shared" si="28"/>
        <v>0.94444444444444442</v>
      </c>
      <c r="F62" s="23">
        <f t="shared" si="28"/>
        <v>0.54</v>
      </c>
      <c r="G62" s="8">
        <f t="shared" si="28"/>
        <v>0</v>
      </c>
      <c r="H62" s="8">
        <f t="shared" si="28"/>
        <v>0</v>
      </c>
      <c r="I62" s="8">
        <f t="shared" si="28"/>
        <v>0.27</v>
      </c>
      <c r="K62" s="8">
        <f t="shared" si="24"/>
        <v>4.2694958817906858E-2</v>
      </c>
      <c r="L62" s="8">
        <f t="shared" si="12"/>
        <v>0.15812947710335873</v>
      </c>
      <c r="M62" s="8">
        <f t="shared" si="13"/>
        <v>1.0521409381694881E-2</v>
      </c>
    </row>
    <row r="63" spans="3:14" x14ac:dyDescent="0.25">
      <c r="C63" s="8">
        <f t="shared" ref="C63:I63" si="29">C31</f>
        <v>42</v>
      </c>
      <c r="D63" s="8">
        <f t="shared" si="29"/>
        <v>0.27272727272727271</v>
      </c>
      <c r="E63" s="8">
        <f t="shared" si="29"/>
        <v>0.72727272727272729</v>
      </c>
      <c r="F63" s="23">
        <f t="shared" si="29"/>
        <v>0.55000000000000004</v>
      </c>
      <c r="G63" s="8">
        <f t="shared" si="29"/>
        <v>60</v>
      </c>
      <c r="H63" s="8">
        <f t="shared" si="29"/>
        <v>1</v>
      </c>
      <c r="I63" s="8">
        <f t="shared" si="29"/>
        <v>0.27500000000000002</v>
      </c>
      <c r="K63" s="8">
        <f t="shared" si="24"/>
        <v>4.4250579729682826E-2</v>
      </c>
      <c r="L63" s="8">
        <f t="shared" si="12"/>
        <v>0.16091119901702844</v>
      </c>
      <c r="M63" s="8">
        <f t="shared" si="13"/>
        <v>1.250283433997478E-2</v>
      </c>
    </row>
    <row r="64" spans="3:14" x14ac:dyDescent="0.25">
      <c r="C64" s="8">
        <f t="shared" ref="C64:I64" si="30">C32</f>
        <v>42</v>
      </c>
      <c r="D64" s="8">
        <f t="shared" si="30"/>
        <v>0.29090909090909089</v>
      </c>
      <c r="E64" s="8">
        <f t="shared" si="30"/>
        <v>0.70909090909090899</v>
      </c>
      <c r="F64" s="23">
        <f t="shared" si="30"/>
        <v>0.55000000000000004</v>
      </c>
      <c r="G64" s="8">
        <f t="shared" si="30"/>
        <v>30</v>
      </c>
      <c r="H64" s="8">
        <f t="shared" si="30"/>
        <v>0</v>
      </c>
      <c r="I64" s="8">
        <f t="shared" si="30"/>
        <v>0.27500000000000002</v>
      </c>
      <c r="K64" s="8">
        <f t="shared" si="24"/>
        <v>4.4250579729682826E-2</v>
      </c>
      <c r="L64" s="8">
        <f t="shared" si="12"/>
        <v>0.16091119901702844</v>
      </c>
      <c r="M64" s="8">
        <f t="shared" si="13"/>
        <v>1.6899451896380358E-2</v>
      </c>
    </row>
    <row r="65" spans="3:13" x14ac:dyDescent="0.25">
      <c r="C65" s="8">
        <f>C36</f>
        <v>42</v>
      </c>
      <c r="D65" s="8">
        <f t="shared" ref="D65:I65" si="31">D36</f>
        <v>0</v>
      </c>
      <c r="E65" s="8">
        <f t="shared" si="31"/>
        <v>1</v>
      </c>
      <c r="F65" s="23">
        <f t="shared" si="31"/>
        <v>0.55000000000000004</v>
      </c>
      <c r="G65" s="8">
        <f t="shared" si="31"/>
        <v>30</v>
      </c>
      <c r="H65" s="8">
        <f t="shared" si="31"/>
        <v>0</v>
      </c>
      <c r="I65" s="8">
        <f t="shared" si="31"/>
        <v>0.27500000000000002</v>
      </c>
      <c r="K65" s="8">
        <f>-C65/($J$57*SQRT(2)) + (I65/(2*$J$57))*(2*(C65/I65)^2 +4*$J$57^2)^0.5</f>
        <v>4.4250579729682826E-2</v>
      </c>
      <c r="L65" s="8">
        <f t="shared" si="12"/>
        <v>0.16091119901702844</v>
      </c>
      <c r="M65" s="8">
        <f t="shared" si="13"/>
        <v>2.5892413969097736E-2</v>
      </c>
    </row>
    <row r="66" spans="3:13" x14ac:dyDescent="0.25">
      <c r="C66">
        <f>C6</f>
        <v>12</v>
      </c>
      <c r="D66" s="8">
        <f t="shared" ref="D66:I66" si="32">D6</f>
        <v>0.36666666666666664</v>
      </c>
      <c r="E66" s="8">
        <f t="shared" si="32"/>
        <v>0.6333333333333333</v>
      </c>
      <c r="F66" s="28">
        <f t="shared" si="32"/>
        <v>0.6</v>
      </c>
      <c r="G66" s="8">
        <f t="shared" si="32"/>
        <v>0</v>
      </c>
      <c r="H66" s="8">
        <f t="shared" si="32"/>
        <v>0</v>
      </c>
      <c r="I66" s="8">
        <f t="shared" si="32"/>
        <v>0.3</v>
      </c>
      <c r="J66">
        <v>24.949817225936577</v>
      </c>
      <c r="K66" s="8">
        <f>-C66/($J$66*SQRT(2)) + (I66/(2*$J$66))*(2*(C66/I66)^2 +4*$J$66^2)^0.5</f>
        <v>0.11340786866762453</v>
      </c>
      <c r="L66" s="8">
        <f t="shared" si="12"/>
        <v>0.37802622889208182</v>
      </c>
      <c r="M66" s="8">
        <f t="shared" si="13"/>
        <v>1.2903965395307939E-4</v>
      </c>
    </row>
    <row r="67" spans="3:13" x14ac:dyDescent="0.25">
      <c r="C67" s="8">
        <f t="shared" ref="C67:I67" si="33">C7</f>
        <v>12</v>
      </c>
      <c r="D67" s="8">
        <f t="shared" si="33"/>
        <v>0.56666666666666665</v>
      </c>
      <c r="E67" s="8">
        <f t="shared" si="33"/>
        <v>0.43333333333333335</v>
      </c>
      <c r="F67" s="28">
        <f t="shared" si="33"/>
        <v>0.6</v>
      </c>
      <c r="G67" s="8">
        <f t="shared" si="33"/>
        <v>60</v>
      </c>
      <c r="H67" s="8">
        <f t="shared" si="33"/>
        <v>1</v>
      </c>
      <c r="I67" s="8">
        <f t="shared" si="33"/>
        <v>0.3</v>
      </c>
      <c r="K67" s="8">
        <f t="shared" ref="K67:K72" si="34">-C67/($J$66*SQRT(2)) + (I67/(2*$J$66))*(2*(C67/I67)^2 +4*$J$66^2)^0.5</f>
        <v>0.11340786866762453</v>
      </c>
      <c r="L67" s="8">
        <f t="shared" si="12"/>
        <v>0.37802622889208182</v>
      </c>
      <c r="M67" s="8">
        <f t="shared" si="13"/>
        <v>3.558521476378701E-2</v>
      </c>
    </row>
    <row r="68" spans="3:13" x14ac:dyDescent="0.25">
      <c r="C68" s="8">
        <f t="shared" ref="C68:I68" si="35">C8</f>
        <v>12</v>
      </c>
      <c r="D68" s="8">
        <f t="shared" si="35"/>
        <v>0.41176470588235292</v>
      </c>
      <c r="E68" s="8">
        <f t="shared" si="35"/>
        <v>0.58823529411764708</v>
      </c>
      <c r="F68" s="28">
        <f t="shared" si="35"/>
        <v>0.68</v>
      </c>
      <c r="G68" s="8">
        <f t="shared" si="35"/>
        <v>30</v>
      </c>
      <c r="H68" s="8">
        <f t="shared" si="35"/>
        <v>0</v>
      </c>
      <c r="I68" s="8">
        <f t="shared" si="35"/>
        <v>0.34</v>
      </c>
      <c r="K68" s="8">
        <f t="shared" si="34"/>
        <v>0.14080510455538847</v>
      </c>
      <c r="L68" s="8">
        <f t="shared" si="12"/>
        <v>0.4141326604570249</v>
      </c>
      <c r="M68" s="8">
        <f t="shared" si="13"/>
        <v>5.6072088677099681E-6</v>
      </c>
    </row>
    <row r="69" spans="3:13" x14ac:dyDescent="0.25">
      <c r="C69">
        <f>C12</f>
        <v>12</v>
      </c>
      <c r="D69" s="8">
        <f t="shared" ref="D69:I69" si="36">D12</f>
        <v>0.8</v>
      </c>
      <c r="E69" s="8">
        <f t="shared" si="36"/>
        <v>0.2</v>
      </c>
      <c r="F69" s="28">
        <f t="shared" si="36"/>
        <v>0.73</v>
      </c>
      <c r="G69" s="8">
        <f t="shared" si="36"/>
        <v>30</v>
      </c>
      <c r="H69" s="8">
        <f t="shared" si="36"/>
        <v>0</v>
      </c>
      <c r="I69" s="8">
        <f t="shared" si="36"/>
        <v>0.36499999999999999</v>
      </c>
      <c r="K69" s="8">
        <f t="shared" si="34"/>
        <v>0.15879371412798943</v>
      </c>
      <c r="L69" s="8">
        <f t="shared" si="12"/>
        <v>0.43505127158353268</v>
      </c>
      <c r="M69" s="8">
        <f t="shared" si="13"/>
        <v>0.13318757437279646</v>
      </c>
    </row>
    <row r="70" spans="3:13" x14ac:dyDescent="0.25">
      <c r="C70">
        <f>C20</f>
        <v>27</v>
      </c>
      <c r="D70" s="8">
        <f t="shared" ref="D70:I70" si="37">D20</f>
        <v>0.31147540983606559</v>
      </c>
      <c r="E70" s="8">
        <f t="shared" si="37"/>
        <v>0.68852459016393441</v>
      </c>
      <c r="F70" s="28">
        <f t="shared" si="37"/>
        <v>0.61</v>
      </c>
      <c r="G70" s="8">
        <f t="shared" si="37"/>
        <v>30</v>
      </c>
      <c r="H70" s="8">
        <f t="shared" si="37"/>
        <v>0</v>
      </c>
      <c r="I70" s="8">
        <f t="shared" si="37"/>
        <v>0.30499999999999999</v>
      </c>
      <c r="K70" s="8">
        <f t="shared" si="34"/>
        <v>5.8544324485269694E-2</v>
      </c>
      <c r="L70" s="8">
        <f t="shared" si="12"/>
        <v>0.19194860486973669</v>
      </c>
      <c r="M70" s="8">
        <f t="shared" si="13"/>
        <v>1.4286657105458825E-2</v>
      </c>
    </row>
    <row r="71" spans="3:13" x14ac:dyDescent="0.25">
      <c r="C71">
        <f>C23</f>
        <v>27</v>
      </c>
      <c r="D71" s="8">
        <f t="shared" ref="D71:I72" si="38">D23</f>
        <v>0.3</v>
      </c>
      <c r="E71" s="8">
        <f t="shared" si="38"/>
        <v>0.7</v>
      </c>
      <c r="F71" s="28">
        <f t="shared" si="38"/>
        <v>0.7</v>
      </c>
      <c r="G71" s="8">
        <f t="shared" si="38"/>
        <v>60</v>
      </c>
      <c r="H71" s="8">
        <f t="shared" si="38"/>
        <v>0</v>
      </c>
      <c r="I71" s="8">
        <f t="shared" si="38"/>
        <v>0.35</v>
      </c>
      <c r="K71" s="8">
        <f t="shared" si="34"/>
        <v>7.6244775756158734E-2</v>
      </c>
      <c r="L71" s="8">
        <f t="shared" si="12"/>
        <v>0.21784221644616783</v>
      </c>
      <c r="M71" s="8">
        <f t="shared" si="13"/>
        <v>6.7499013984783337E-3</v>
      </c>
    </row>
    <row r="72" spans="3:13" x14ac:dyDescent="0.25">
      <c r="C72" s="8">
        <f>C24</f>
        <v>27</v>
      </c>
      <c r="D72" s="8">
        <f t="shared" si="38"/>
        <v>0.30303030303030304</v>
      </c>
      <c r="E72" s="8">
        <f t="shared" si="38"/>
        <v>0.69696969696969702</v>
      </c>
      <c r="F72" s="28">
        <f t="shared" si="38"/>
        <v>0.66</v>
      </c>
      <c r="G72" s="8">
        <f t="shared" si="38"/>
        <v>30</v>
      </c>
      <c r="H72" s="8">
        <f t="shared" si="38"/>
        <v>0</v>
      </c>
      <c r="I72" s="8">
        <f t="shared" si="38"/>
        <v>0.33</v>
      </c>
      <c r="K72" s="8">
        <f t="shared" si="34"/>
        <v>6.812436351710327E-2</v>
      </c>
      <c r="L72" s="8">
        <f t="shared" si="12"/>
        <v>0.20643746520334325</v>
      </c>
      <c r="M72" s="8">
        <f t="shared" si="13"/>
        <v>9.3301763194653543E-3</v>
      </c>
    </row>
    <row r="73" spans="3:13" x14ac:dyDescent="0.25">
      <c r="C73">
        <f>C35</f>
        <v>42</v>
      </c>
      <c r="D73" s="8">
        <f t="shared" ref="D73:I73" si="39">D35</f>
        <v>0.31746031746031744</v>
      </c>
      <c r="E73" s="8">
        <f t="shared" si="39"/>
        <v>0.68253968253968256</v>
      </c>
      <c r="F73" s="28">
        <f t="shared" si="39"/>
        <v>0.63</v>
      </c>
      <c r="G73" s="8">
        <f t="shared" si="39"/>
        <v>60</v>
      </c>
      <c r="H73" s="8">
        <f t="shared" si="39"/>
        <v>0</v>
      </c>
      <c r="I73" s="8">
        <f t="shared" si="39"/>
        <v>0.315</v>
      </c>
      <c r="K73" s="8">
        <f>-C73/($J$66*SQRT(2)) + (I73/(2*$J$66))*(2*(C73/I73)^2 +4*$J$66^2)^0.5</f>
        <v>4.0974434794154968E-2</v>
      </c>
      <c r="L73" s="8">
        <f t="shared" si="12"/>
        <v>0.13007757077509513</v>
      </c>
      <c r="M73" s="8">
        <f t="shared" si="13"/>
        <v>3.5112293755298195E-2</v>
      </c>
    </row>
    <row r="74" spans="3:13" x14ac:dyDescent="0.25">
      <c r="C74">
        <f>C9</f>
        <v>12</v>
      </c>
      <c r="D74" s="8">
        <f t="shared" ref="D74:I75" si="40">D9</f>
        <v>0.74149659863945583</v>
      </c>
      <c r="E74" s="8">
        <f t="shared" si="40"/>
        <v>0.25850340136054423</v>
      </c>
      <c r="F74" s="29">
        <f t="shared" si="40"/>
        <v>1.47</v>
      </c>
      <c r="G74" s="8">
        <f t="shared" si="40"/>
        <v>30</v>
      </c>
      <c r="H74" s="8">
        <f t="shared" si="40"/>
        <v>0</v>
      </c>
      <c r="I74" s="8">
        <f t="shared" si="40"/>
        <v>0.73499999999999999</v>
      </c>
      <c r="J74" s="1">
        <v>79.229846104372996</v>
      </c>
      <c r="K74" s="8">
        <f>-C74/($J$74*SQRT(2)) + (I74/(2*$J$74))*(2*(C74/I74)^2 +4*$J$74^2)^0.5</f>
        <v>0.63566455430641566</v>
      </c>
      <c r="L74" s="8">
        <f t="shared" si="12"/>
        <v>0.86484973375022545</v>
      </c>
      <c r="M74" s="8">
        <f t="shared" si="13"/>
        <v>1.5215995941655784E-2</v>
      </c>
    </row>
    <row r="75" spans="3:13" x14ac:dyDescent="0.25">
      <c r="C75" s="8">
        <f>C10</f>
        <v>12</v>
      </c>
      <c r="D75" s="8">
        <f t="shared" si="40"/>
        <v>0.57823129251700678</v>
      </c>
      <c r="E75" s="8">
        <f t="shared" si="40"/>
        <v>0.42176870748299322</v>
      </c>
      <c r="F75" s="29">
        <f t="shared" si="40"/>
        <v>1.47</v>
      </c>
      <c r="G75" s="8">
        <f t="shared" si="40"/>
        <v>0</v>
      </c>
      <c r="H75" s="8">
        <f t="shared" si="40"/>
        <v>1</v>
      </c>
      <c r="I75" s="8">
        <f t="shared" si="40"/>
        <v>0.73499999999999999</v>
      </c>
      <c r="K75" s="8">
        <f t="shared" ref="K75:K82" si="41">-C75/($J$74*SQRT(2)) + (I75/(2*$J$74))*(2*(C75/I75)^2 +4*$J$74^2)^0.5</f>
        <v>0.63566455430641566</v>
      </c>
      <c r="L75" s="8">
        <f t="shared" si="12"/>
        <v>0.86484973375022545</v>
      </c>
      <c r="M75" s="8">
        <f t="shared" si="13"/>
        <v>8.2150130854960021E-2</v>
      </c>
    </row>
    <row r="76" spans="3:13" x14ac:dyDescent="0.25">
      <c r="C76">
        <f>C13</f>
        <v>12</v>
      </c>
      <c r="D76" s="8">
        <f t="shared" ref="D76:I76" si="42">D13</f>
        <v>0.80838323353293418</v>
      </c>
      <c r="E76" s="8">
        <f t="shared" si="42"/>
        <v>0.19161676646706588</v>
      </c>
      <c r="F76" s="29">
        <f t="shared" si="42"/>
        <v>1.67</v>
      </c>
      <c r="G76" s="8">
        <f t="shared" si="42"/>
        <v>60</v>
      </c>
      <c r="H76" s="8">
        <f t="shared" si="42"/>
        <v>0</v>
      </c>
      <c r="I76" s="8">
        <f t="shared" si="42"/>
        <v>0.83499999999999996</v>
      </c>
      <c r="K76" s="8">
        <f t="shared" si="41"/>
        <v>0.7347430799368232</v>
      </c>
      <c r="L76" s="8">
        <f t="shared" si="12"/>
        <v>0.87993183225966853</v>
      </c>
      <c r="M76" s="8">
        <f t="shared" si="13"/>
        <v>5.1192019797592532E-3</v>
      </c>
    </row>
    <row r="77" spans="3:13" x14ac:dyDescent="0.25">
      <c r="C77">
        <f>C21</f>
        <v>27</v>
      </c>
      <c r="D77" s="8">
        <f t="shared" ref="D77:I78" si="43">D21</f>
        <v>0.58278145695364236</v>
      </c>
      <c r="E77" s="8">
        <f t="shared" si="43"/>
        <v>0.41721854304635764</v>
      </c>
      <c r="F77" s="29">
        <f t="shared" si="43"/>
        <v>1.51</v>
      </c>
      <c r="G77" s="8">
        <f t="shared" si="43"/>
        <v>30</v>
      </c>
      <c r="H77" s="8">
        <f t="shared" si="43"/>
        <v>0</v>
      </c>
      <c r="I77" s="8">
        <f t="shared" si="43"/>
        <v>0.755</v>
      </c>
      <c r="K77" s="8">
        <f t="shared" si="41"/>
        <v>0.55155343282700398</v>
      </c>
      <c r="L77" s="8">
        <f t="shared" si="12"/>
        <v>0.7305343481152371</v>
      </c>
      <c r="M77" s="8">
        <f t="shared" si="13"/>
        <v>2.1830916846610059E-2</v>
      </c>
    </row>
    <row r="78" spans="3:13" x14ac:dyDescent="0.25">
      <c r="C78" s="8">
        <f>C22</f>
        <v>27</v>
      </c>
      <c r="D78" s="8">
        <f t="shared" si="43"/>
        <v>0.6333333333333333</v>
      </c>
      <c r="E78" s="8">
        <f t="shared" si="43"/>
        <v>0.3666666666666667</v>
      </c>
      <c r="F78" s="29">
        <f t="shared" si="43"/>
        <v>1.5</v>
      </c>
      <c r="G78" s="8">
        <f t="shared" si="43"/>
        <v>0</v>
      </c>
      <c r="H78" s="8">
        <f t="shared" si="43"/>
        <v>1</v>
      </c>
      <c r="I78" s="8">
        <f t="shared" si="43"/>
        <v>0.75</v>
      </c>
      <c r="K78" s="8">
        <f t="shared" si="41"/>
        <v>0.54679162359063005</v>
      </c>
      <c r="L78" s="8">
        <f t="shared" si="12"/>
        <v>0.72905549812084003</v>
      </c>
      <c r="M78" s="8">
        <f t="shared" si="13"/>
        <v>9.1627328316065924E-3</v>
      </c>
    </row>
    <row r="79" spans="3:13" x14ac:dyDescent="0.25">
      <c r="C79">
        <f>C25</f>
        <v>27</v>
      </c>
      <c r="D79" s="8">
        <f t="shared" ref="D79:I79" si="44">D25</f>
        <v>0.90410958904109584</v>
      </c>
      <c r="E79" s="8">
        <f t="shared" si="44"/>
        <v>9.5890410958904104E-2</v>
      </c>
      <c r="F79" s="29">
        <f t="shared" si="44"/>
        <v>1.46</v>
      </c>
      <c r="G79" s="8">
        <f t="shared" si="44"/>
        <v>60</v>
      </c>
      <c r="H79" s="8">
        <f t="shared" si="44"/>
        <v>0</v>
      </c>
      <c r="I79" s="8">
        <f t="shared" si="44"/>
        <v>0.73</v>
      </c>
      <c r="K79" s="8">
        <f>-C79/($J$74*SQRT(2)) + (I79/(2*$J$74))*(2*(C79/I79)^2 +4*$J$74^2)^0.5</f>
        <v>0.52777463366752897</v>
      </c>
      <c r="L79" s="8">
        <f t="shared" si="12"/>
        <v>0.72297895022949177</v>
      </c>
      <c r="M79" s="8">
        <f t="shared" si="13"/>
        <v>3.2808308316299772E-2</v>
      </c>
    </row>
    <row r="80" spans="3:13" x14ac:dyDescent="0.25">
      <c r="C80">
        <f>C33</f>
        <v>42</v>
      </c>
      <c r="D80" s="8">
        <f t="shared" ref="D80:I81" si="45">D33</f>
        <v>0.54794520547945202</v>
      </c>
      <c r="E80" s="8">
        <f t="shared" si="45"/>
        <v>0.45205479452054792</v>
      </c>
      <c r="F80" s="29">
        <f t="shared" si="45"/>
        <v>1.46</v>
      </c>
      <c r="G80" s="8">
        <f t="shared" si="45"/>
        <v>30</v>
      </c>
      <c r="H80" s="8">
        <f t="shared" si="45"/>
        <v>0</v>
      </c>
      <c r="I80" s="8">
        <f t="shared" si="45"/>
        <v>0.73</v>
      </c>
      <c r="K80" s="8">
        <f t="shared" si="41"/>
        <v>0.44577280217926751</v>
      </c>
      <c r="L80" s="8">
        <f t="shared" si="12"/>
        <v>0.61064767421817467</v>
      </c>
      <c r="M80" s="8">
        <f t="shared" si="13"/>
        <v>3.9315995859304908E-3</v>
      </c>
    </row>
    <row r="81" spans="1:13" x14ac:dyDescent="0.25">
      <c r="C81" s="8">
        <f>C34</f>
        <v>42</v>
      </c>
      <c r="D81" s="8">
        <f t="shared" si="45"/>
        <v>0.64189189189189189</v>
      </c>
      <c r="E81" s="8">
        <f t="shared" si="45"/>
        <v>0.35810810810810811</v>
      </c>
      <c r="F81" s="29">
        <f t="shared" si="45"/>
        <v>1.48</v>
      </c>
      <c r="G81" s="8">
        <f t="shared" si="45"/>
        <v>0</v>
      </c>
      <c r="H81" s="8">
        <f t="shared" si="45"/>
        <v>1</v>
      </c>
      <c r="I81" s="8">
        <f t="shared" si="45"/>
        <v>0.74</v>
      </c>
      <c r="K81" s="8">
        <f t="shared" si="41"/>
        <v>0.454681173934113</v>
      </c>
      <c r="L81" s="8">
        <f t="shared" si="12"/>
        <v>0.61443401882988247</v>
      </c>
      <c r="M81" s="8">
        <f t="shared" si="13"/>
        <v>7.5393479308942253E-4</v>
      </c>
    </row>
    <row r="82" spans="1:13" x14ac:dyDescent="0.25">
      <c r="C82">
        <f>C37</f>
        <v>42</v>
      </c>
      <c r="D82" s="8">
        <f t="shared" ref="D82:I82" si="46">D37</f>
        <v>0.91275167785234901</v>
      </c>
      <c r="E82" s="8">
        <f t="shared" si="46"/>
        <v>8.7248322147651006E-2</v>
      </c>
      <c r="F82" s="29">
        <f t="shared" si="46"/>
        <v>1.49</v>
      </c>
      <c r="G82" s="8">
        <f t="shared" si="46"/>
        <v>60</v>
      </c>
      <c r="H82" s="8">
        <f t="shared" si="46"/>
        <v>0</v>
      </c>
      <c r="I82" s="8">
        <f t="shared" si="46"/>
        <v>0.745</v>
      </c>
      <c r="K82" s="8">
        <f t="shared" si="41"/>
        <v>0.45914464102433106</v>
      </c>
      <c r="L82" s="8">
        <f t="shared" si="12"/>
        <v>0.61630153157628331</v>
      </c>
      <c r="M82" s="8">
        <f t="shared" si="13"/>
        <v>8.7882689227100741E-2</v>
      </c>
    </row>
    <row r="83" spans="1:13" x14ac:dyDescent="0.25">
      <c r="K83" s="8"/>
    </row>
    <row r="84" spans="1:13" x14ac:dyDescent="0.25">
      <c r="K84" s="8"/>
    </row>
    <row r="85" spans="1:13" x14ac:dyDescent="0.25">
      <c r="K85" s="8"/>
    </row>
    <row r="86" spans="1:13" x14ac:dyDescent="0.25">
      <c r="A86" t="s">
        <v>249</v>
      </c>
      <c r="K86" s="8"/>
    </row>
    <row r="87" spans="1:13" x14ac:dyDescent="0.25">
      <c r="A87" t="str">
        <f>Sheet1!A1</f>
        <v>sample files from polar</v>
      </c>
      <c r="B87" s="8" t="str">
        <f>Sheet1!B1</f>
        <v>sample number</v>
      </c>
      <c r="C87" s="8" t="str">
        <f>Sheet1!C1</f>
        <v>Distance from injection point</v>
      </c>
      <c r="D87" s="8" t="str">
        <f>Sheet1!D1</f>
        <v>core fraction</v>
      </c>
      <c r="E87" s="8" t="str">
        <f>Sheet1!E1</f>
        <v>skin fraction</v>
      </c>
      <c r="F87" s="8" t="str">
        <f>Sheet1!F1</f>
        <v>thickness</v>
      </c>
      <c r="G87" s="8" t="str">
        <f>Sheet1!G1</f>
        <v>annealing time</v>
      </c>
      <c r="H87" s="8" t="str">
        <f>Sheet1!H1</f>
        <v>cooling</v>
      </c>
      <c r="I87" s="8" t="s">
        <v>235</v>
      </c>
      <c r="J87" s="8" t="s">
        <v>215</v>
      </c>
      <c r="K87" s="8" t="s">
        <v>236</v>
      </c>
      <c r="L87" t="s">
        <v>208</v>
      </c>
      <c r="M87" t="s">
        <v>250</v>
      </c>
    </row>
    <row r="88" spans="1:13" x14ac:dyDescent="0.25">
      <c r="A88" s="8" t="str">
        <f>Sheet1!A2</f>
        <v>462 (2)</v>
      </c>
      <c r="B88" s="8">
        <f>Sheet1!B2</f>
        <v>2</v>
      </c>
      <c r="C88" s="8">
        <f>Sheet1!C2</f>
        <v>12</v>
      </c>
      <c r="D88" s="8">
        <f>Sheet1!D2</f>
        <v>0.39285714285714285</v>
      </c>
      <c r="E88" s="8">
        <f>Sheet1!E2</f>
        <v>0.60714285714285721</v>
      </c>
      <c r="F88" s="8">
        <f>Sheet1!F2</f>
        <v>0.84</v>
      </c>
      <c r="G88" s="8">
        <f>Sheet1!G2</f>
        <v>0</v>
      </c>
      <c r="H88" s="8">
        <f>Sheet1!H2</f>
        <v>0</v>
      </c>
      <c r="I88">
        <f>F88/2</f>
        <v>0.42</v>
      </c>
      <c r="J88">
        <v>36.290530670188787</v>
      </c>
      <c r="K88" s="8">
        <f>-C88/($J$88*SQRT(2)) + (I88/(2*$J$88))*(2*(C88/I88)^2 +4*$J$88^2)^0.5</f>
        <v>0.24688168742462652</v>
      </c>
      <c r="L88">
        <f>(K88/I88 -D88)^2</f>
        <v>3.8007997366804089E-2</v>
      </c>
      <c r="M88">
        <f>SUM(L88:L90)</f>
        <v>7.5334242958815065E-2</v>
      </c>
    </row>
    <row r="89" spans="1:13" x14ac:dyDescent="0.25">
      <c r="A89" s="8" t="str">
        <f>Sheet1!A3</f>
        <v>510 (2)</v>
      </c>
      <c r="B89" s="8">
        <f>Sheet1!B3</f>
        <v>2</v>
      </c>
      <c r="C89" s="8">
        <f>Sheet1!C3</f>
        <v>27</v>
      </c>
      <c r="D89" s="8">
        <f>Sheet1!D3</f>
        <v>0.40740740740740738</v>
      </c>
      <c r="E89" s="8">
        <f>Sheet1!E3</f>
        <v>0.59259259259259256</v>
      </c>
      <c r="F89" s="8">
        <f>Sheet1!F3</f>
        <v>0.81</v>
      </c>
      <c r="G89" s="8">
        <f>Sheet1!G3</f>
        <v>0</v>
      </c>
      <c r="H89" s="8">
        <f>Sheet1!H3</f>
        <v>0</v>
      </c>
      <c r="I89" s="8">
        <f t="shared" ref="I89:I123" si="47">F89/2</f>
        <v>0.40500000000000003</v>
      </c>
      <c r="K89" s="8">
        <f t="shared" ref="K89" si="48">-C89/($J$88*SQRT(2)) + (I89/(2*$J$88))*(2*(C89/I89)^2 +4*$J$88^2)^0.5</f>
        <v>0.13783561629182406</v>
      </c>
      <c r="L89" s="8">
        <f t="shared" ref="L89:L123" si="49">(K89/I89 -D89)^2</f>
        <v>4.4987272808719057E-3</v>
      </c>
      <c r="M89">
        <f>SUM(L91:L93)</f>
        <v>8.0715803427776744E-3</v>
      </c>
    </row>
    <row r="90" spans="1:13" x14ac:dyDescent="0.25">
      <c r="A90" s="8" t="str">
        <f>Sheet1!A4</f>
        <v>503 (2)</v>
      </c>
      <c r="B90" s="8">
        <f>Sheet1!B4</f>
        <v>2</v>
      </c>
      <c r="C90" s="8">
        <f>Sheet1!C4</f>
        <v>42</v>
      </c>
      <c r="D90" s="8">
        <f>Sheet1!D4</f>
        <v>0.41249999999999998</v>
      </c>
      <c r="E90" s="8">
        <f>Sheet1!E4</f>
        <v>0.58749999999999991</v>
      </c>
      <c r="F90" s="8">
        <f>Sheet1!F4</f>
        <v>0.8</v>
      </c>
      <c r="G90" s="8">
        <f>Sheet1!G4</f>
        <v>0</v>
      </c>
      <c r="H90" s="8">
        <f>Sheet1!H4</f>
        <v>0</v>
      </c>
      <c r="I90" s="8">
        <f t="shared" si="47"/>
        <v>0.4</v>
      </c>
      <c r="K90" s="8">
        <f>-C90/($J$88*SQRT(2)) + (I90/(2*$J$88))*(2*(C90/I90)^2 +4*$J$88^2)^0.5</f>
        <v>9.2526536375151403E-2</v>
      </c>
      <c r="L90" s="8">
        <f t="shared" si="49"/>
        <v>3.2827518311139073E-2</v>
      </c>
      <c r="M90">
        <f>SUM(L94:L96)</f>
        <v>6.387724784880441E-3</v>
      </c>
    </row>
    <row r="91" spans="1:13" x14ac:dyDescent="0.25">
      <c r="A91" s="8" t="str">
        <f>Sheet1!A5</f>
        <v>442 (3)</v>
      </c>
      <c r="B91" s="8">
        <f>Sheet1!B5</f>
        <v>3</v>
      </c>
      <c r="C91" s="8">
        <f>Sheet1!C5</f>
        <v>12</v>
      </c>
      <c r="D91" s="8">
        <f>Sheet1!D5</f>
        <v>0.59756097560975607</v>
      </c>
      <c r="E91" s="8">
        <f>Sheet1!E5</f>
        <v>0.40243902439024393</v>
      </c>
      <c r="F91" s="8">
        <f>Sheet1!F5</f>
        <v>0.82</v>
      </c>
      <c r="G91" s="8">
        <f>Sheet1!G5</f>
        <v>60</v>
      </c>
      <c r="H91" s="8">
        <f>Sheet1!H5</f>
        <v>0</v>
      </c>
      <c r="I91" s="8">
        <f t="shared" si="47"/>
        <v>0.41</v>
      </c>
      <c r="J91">
        <v>50.46211239948839</v>
      </c>
      <c r="K91" s="8">
        <f>-C91/($J$91*SQRT(2)) + (I91/(2*$J$91))*(2*(C91/I91)^2 +4*$J$91^2)^0.5</f>
        <v>0.27499058873671967</v>
      </c>
      <c r="L91" s="8">
        <f t="shared" si="49"/>
        <v>5.3505973395303824E-3</v>
      </c>
      <c r="M91">
        <f>SUM(L97:L99)</f>
        <v>6.0186421517040628E-3</v>
      </c>
    </row>
    <row r="92" spans="1:13" x14ac:dyDescent="0.25">
      <c r="A92" s="8" t="str">
        <f>Sheet1!A6</f>
        <v>505 (3)</v>
      </c>
      <c r="B92" s="8">
        <f>Sheet1!B6</f>
        <v>3</v>
      </c>
      <c r="C92" s="8">
        <f>Sheet1!C6</f>
        <v>27</v>
      </c>
      <c r="D92" s="8">
        <f>Sheet1!D6</f>
        <v>0.44155844155844154</v>
      </c>
      <c r="E92" s="8">
        <f>Sheet1!E6</f>
        <v>0.55844155844155841</v>
      </c>
      <c r="F92" s="8">
        <f>Sheet1!F6</f>
        <v>0.77</v>
      </c>
      <c r="G92" s="8">
        <f>Sheet1!G6</f>
        <v>60</v>
      </c>
      <c r="H92" s="8">
        <f>Sheet1!H6</f>
        <v>0</v>
      </c>
      <c r="I92" s="8">
        <f t="shared" si="47"/>
        <v>0.38500000000000001</v>
      </c>
      <c r="K92" s="8">
        <f t="shared" ref="K92" si="50">-C92/($J$91*SQRT(2)) + (I92/(2*$J$91))*(2*(C92/I92)^2 +4*$J$91^2)^0.5</f>
        <v>0.16144315252646002</v>
      </c>
      <c r="L92" s="8">
        <f t="shared" si="49"/>
        <v>4.9397631091534905E-4</v>
      </c>
      <c r="M92">
        <f>SUM(L100:L102)</f>
        <v>2.0122825473016179E-2</v>
      </c>
    </row>
    <row r="93" spans="1:13" x14ac:dyDescent="0.25">
      <c r="A93" s="8" t="str">
        <f>Sheet1!A7</f>
        <v>499 (3)</v>
      </c>
      <c r="B93" s="8">
        <f>Sheet1!B7</f>
        <v>3</v>
      </c>
      <c r="C93" s="8">
        <f>Sheet1!C7</f>
        <v>42</v>
      </c>
      <c r="D93" s="8">
        <f>Sheet1!D7</f>
        <v>0.35802469135802467</v>
      </c>
      <c r="E93" s="8">
        <f>Sheet1!E7</f>
        <v>0.64197530864197527</v>
      </c>
      <c r="F93" s="8">
        <f>Sheet1!F7</f>
        <v>0.81</v>
      </c>
      <c r="G93" s="8">
        <f>Sheet1!G7</f>
        <v>60</v>
      </c>
      <c r="H93" s="8">
        <f>Sheet1!H7</f>
        <v>0</v>
      </c>
      <c r="I93" s="8">
        <f t="shared" si="47"/>
        <v>0.40500000000000003</v>
      </c>
      <c r="K93" s="8">
        <f>-C93/($J$91*SQRT(2)) + (I93/(2*$J$91))*(2*(C93/I93)^2 +4*$J$91^2)^0.5</f>
        <v>0.12588757543612672</v>
      </c>
      <c r="L93" s="8">
        <f t="shared" si="49"/>
        <v>2.2270066923319428E-3</v>
      </c>
      <c r="M93">
        <f>SUM(L103:L105)</f>
        <v>1.30722299709873E-2</v>
      </c>
    </row>
    <row r="94" spans="1:13" x14ac:dyDescent="0.25">
      <c r="A94" s="8" t="str">
        <f>Sheet1!A8</f>
        <v>453 (4)</v>
      </c>
      <c r="B94" s="8">
        <f>Sheet1!B8</f>
        <v>4</v>
      </c>
      <c r="C94" s="8">
        <f>Sheet1!C8</f>
        <v>12</v>
      </c>
      <c r="D94" s="8">
        <f>Sheet1!D8</f>
        <v>0.5662650602409639</v>
      </c>
      <c r="E94" s="8">
        <f>Sheet1!E8</f>
        <v>0.43373493975903615</v>
      </c>
      <c r="F94" s="8">
        <f>Sheet1!F8</f>
        <v>0.83</v>
      </c>
      <c r="G94" s="8">
        <f>Sheet1!G8</f>
        <v>30</v>
      </c>
      <c r="H94" s="8">
        <f>Sheet1!H8</f>
        <v>0</v>
      </c>
      <c r="I94" s="8">
        <f t="shared" si="47"/>
        <v>0.41499999999999998</v>
      </c>
      <c r="J94">
        <v>42.292517484862167</v>
      </c>
      <c r="K94" s="8">
        <f>-C94/($J$94*SQRT(2)) + (I94/(2*$J$94))*(2*(C94/I94)^2 +4*$J$94^2)^0.5</f>
        <v>0.26032092181870925</v>
      </c>
      <c r="L94" s="8">
        <f t="shared" si="49"/>
        <v>3.7227410756230823E-3</v>
      </c>
      <c r="M94">
        <f>SUM(L106:L108)</f>
        <v>3.0937378792781793E-2</v>
      </c>
    </row>
    <row r="95" spans="1:13" x14ac:dyDescent="0.25">
      <c r="A95" s="8" t="str">
        <f>Sheet1!A9</f>
        <v>508 (4)</v>
      </c>
      <c r="B95" s="8">
        <f>Sheet1!B9</f>
        <v>4</v>
      </c>
      <c r="C95" s="8">
        <f>Sheet1!C9</f>
        <v>27</v>
      </c>
      <c r="D95" s="8">
        <f>Sheet1!D9</f>
        <v>0.40963855421686746</v>
      </c>
      <c r="E95" s="8">
        <f>Sheet1!E9</f>
        <v>0.59036144578313254</v>
      </c>
      <c r="F95" s="8">
        <f>Sheet1!F9</f>
        <v>0.83</v>
      </c>
      <c r="G95" s="8">
        <f>Sheet1!G9</f>
        <v>30</v>
      </c>
      <c r="H95" s="8">
        <f>Sheet1!H9</f>
        <v>0</v>
      </c>
      <c r="I95" s="8">
        <f t="shared" si="47"/>
        <v>0.41499999999999998</v>
      </c>
      <c r="K95" s="8">
        <f t="shared" ref="K95:K96" si="51">-C95/($J$94*SQRT(2)) + (I95/(2*$J$94))*(2*(C95/I95)^2 +4*$J$94^2)^0.5</f>
        <v>0.16177126362255478</v>
      </c>
      <c r="L95" s="8">
        <f t="shared" si="49"/>
        <v>3.9316070471470378E-4</v>
      </c>
      <c r="M95">
        <f>SUM(L109:L111)</f>
        <v>9.125386561099803E-3</v>
      </c>
    </row>
    <row r="96" spans="1:13" x14ac:dyDescent="0.25">
      <c r="A96" s="8" t="str">
        <f>Sheet1!A10</f>
        <v>501 (4)</v>
      </c>
      <c r="B96" s="8">
        <f>Sheet1!B10</f>
        <v>4</v>
      </c>
      <c r="C96" s="8">
        <f>Sheet1!C10</f>
        <v>42</v>
      </c>
      <c r="D96" s="8">
        <f>Sheet1!D10</f>
        <v>0.3125</v>
      </c>
      <c r="E96" s="8">
        <f>Sheet1!E10</f>
        <v>0.6875</v>
      </c>
      <c r="F96" s="8">
        <f>Sheet1!F10</f>
        <v>0.8</v>
      </c>
      <c r="G96" s="8">
        <f>Sheet1!G10</f>
        <v>30</v>
      </c>
      <c r="H96" s="8">
        <f>Sheet1!H10</f>
        <v>0</v>
      </c>
      <c r="I96" s="8">
        <f t="shared" si="47"/>
        <v>0.4</v>
      </c>
      <c r="K96" s="8">
        <f t="shared" si="51"/>
        <v>0.1059345422104051</v>
      </c>
      <c r="L96" s="8">
        <f t="shared" si="49"/>
        <v>2.2718230045426545E-3</v>
      </c>
      <c r="M96">
        <f>SUM(L112:L114)</f>
        <v>7.2493717327895696E-2</v>
      </c>
    </row>
    <row r="97" spans="1:13" x14ac:dyDescent="0.25">
      <c r="A97" s="8" t="str">
        <f>Sheet1!A11</f>
        <v>639 (5)</v>
      </c>
      <c r="B97" s="8">
        <f>Sheet1!B11</f>
        <v>5</v>
      </c>
      <c r="C97" s="8">
        <f>Sheet1!C11</f>
        <v>12</v>
      </c>
      <c r="D97" s="8">
        <f>Sheet1!D11</f>
        <v>0.2978723404255319</v>
      </c>
      <c r="E97" s="8">
        <f>Sheet1!E11</f>
        <v>0.7021276595744681</v>
      </c>
      <c r="F97" s="8">
        <f>Sheet1!F11</f>
        <v>0.47</v>
      </c>
      <c r="G97" s="8">
        <f>Sheet1!G11</f>
        <v>0</v>
      </c>
      <c r="H97" s="8">
        <f>Sheet1!H11</f>
        <v>0</v>
      </c>
      <c r="I97" s="8">
        <f t="shared" si="47"/>
        <v>0.23499999999999999</v>
      </c>
      <c r="J97">
        <v>21.218698674001562</v>
      </c>
      <c r="K97" s="8">
        <f>-C97/($J$97*SQRT(2)) + (I97/(2*$J$97))*(2*(C97/I97)^2 +4*$J$97^2)^0.5</f>
        <v>6.3937761913221369E-2</v>
      </c>
      <c r="L97" s="8">
        <f t="shared" si="49"/>
        <v>6.6547271382144657E-4</v>
      </c>
      <c r="M97" t="e">
        <f>SUM(L115:L117)</f>
        <v>#DIV/0!</v>
      </c>
    </row>
    <row r="98" spans="1:13" x14ac:dyDescent="0.25">
      <c r="A98" s="8" t="str">
        <f>Sheet1!A12</f>
        <v>650 (5)</v>
      </c>
      <c r="B98" s="8">
        <f>Sheet1!B12</f>
        <v>5</v>
      </c>
      <c r="C98" s="8">
        <f>Sheet1!C12</f>
        <v>27</v>
      </c>
      <c r="D98" s="8">
        <f>Sheet1!D12</f>
        <v>0.11363636363636363</v>
      </c>
      <c r="E98" s="8">
        <f>Sheet1!E12</f>
        <v>0.88636363636363646</v>
      </c>
      <c r="F98" s="8">
        <f>Sheet1!F12</f>
        <v>0.44</v>
      </c>
      <c r="G98" s="8">
        <f>Sheet1!G12</f>
        <v>0</v>
      </c>
      <c r="H98" s="8">
        <f>Sheet1!H12</f>
        <v>0</v>
      </c>
      <c r="I98" s="8">
        <f t="shared" si="47"/>
        <v>0.22</v>
      </c>
      <c r="K98" s="8">
        <f t="shared" ref="K98" si="52">-C98/($J$97*SQRT(2)) + (I98/(2*$J$97))*(2*(C98/I98)^2 +4*$J$97^2)^0.5</f>
        <v>2.6505453806365376E-2</v>
      </c>
      <c r="L98" s="8">
        <f t="shared" si="49"/>
        <v>4.6826263700413307E-5</v>
      </c>
      <c r="M98">
        <f>SUM(L118:L120)</f>
        <v>0.15505948950540366</v>
      </c>
    </row>
    <row r="99" spans="1:13" x14ac:dyDescent="0.25">
      <c r="A99" s="8" t="str">
        <f>Sheet1!A13</f>
        <v>661 (5)</v>
      </c>
      <c r="B99" s="8">
        <f>Sheet1!B13</f>
        <v>5</v>
      </c>
      <c r="C99" s="8">
        <f>Sheet1!C13</f>
        <v>42</v>
      </c>
      <c r="D99" s="8">
        <f>Sheet1!D13</f>
        <v>0</v>
      </c>
      <c r="E99" s="8">
        <f>Sheet1!E13</f>
        <v>1</v>
      </c>
      <c r="F99" s="8">
        <f>Sheet1!F13</f>
        <v>0.41</v>
      </c>
      <c r="G99" s="8">
        <f>Sheet1!G13</f>
        <v>0</v>
      </c>
      <c r="H99" s="8">
        <f>Sheet1!H13</f>
        <v>0</v>
      </c>
      <c r="I99" s="8">
        <f t="shared" si="47"/>
        <v>0.20499999999999999</v>
      </c>
      <c r="K99" s="8">
        <f>-C99/($J$97*SQRT(2)) + (I99/(2*$J$97))*(2*(C99/I99)^2 +4*$J$97^2)^0.5</f>
        <v>1.4933153447782122E-2</v>
      </c>
      <c r="L99" s="8">
        <f t="shared" si="49"/>
        <v>5.3063431741822032E-3</v>
      </c>
      <c r="M99">
        <f>SUM(L121:L123)</f>
        <v>0.6621650172253617</v>
      </c>
    </row>
    <row r="100" spans="1:13" x14ac:dyDescent="0.25">
      <c r="A100" s="8" t="str">
        <f>Sheet1!A14</f>
        <v>514 (8)</v>
      </c>
      <c r="B100" s="8">
        <f>Sheet1!B14</f>
        <v>8</v>
      </c>
      <c r="C100" s="8">
        <f>Sheet1!C14</f>
        <v>12</v>
      </c>
      <c r="D100" s="8">
        <f>Sheet1!D14</f>
        <v>0.36666666666666664</v>
      </c>
      <c r="E100" s="8">
        <f>Sheet1!E14</f>
        <v>0.6333333333333333</v>
      </c>
      <c r="F100" s="8">
        <f>Sheet1!F14</f>
        <v>0.6</v>
      </c>
      <c r="G100" s="8">
        <f>Sheet1!G14</f>
        <v>0</v>
      </c>
      <c r="H100" s="8">
        <f>Sheet1!H14</f>
        <v>0</v>
      </c>
      <c r="I100" s="8">
        <f t="shared" si="47"/>
        <v>0.3</v>
      </c>
      <c r="J100">
        <v>27.961403224463126</v>
      </c>
      <c r="K100" s="8">
        <f>-C100/($J$100*SQRT(2)) + (I100/(2*$J$100))*(2*(C100/I100)^2 +4*$J$100^2)^0.5</f>
        <v>0.12325649485343559</v>
      </c>
      <c r="L100" s="8">
        <f t="shared" si="49"/>
        <v>1.9526072866573861E-3</v>
      </c>
    </row>
    <row r="101" spans="1:13" x14ac:dyDescent="0.25">
      <c r="A101" s="8" t="str">
        <f>Sheet1!A15</f>
        <v>523 (8)</v>
      </c>
      <c r="B101" s="8">
        <f>Sheet1!B15</f>
        <v>8</v>
      </c>
      <c r="C101" s="8">
        <f>Sheet1!C15</f>
        <v>27</v>
      </c>
      <c r="D101" s="8">
        <f>Sheet1!D15</f>
        <v>0.31578947368421051</v>
      </c>
      <c r="E101" s="8">
        <f>Sheet1!E15</f>
        <v>0.68421052631578938</v>
      </c>
      <c r="F101" s="8">
        <f>Sheet1!F15</f>
        <v>0.56999999999999995</v>
      </c>
      <c r="G101" s="8">
        <f>Sheet1!G15</f>
        <v>0</v>
      </c>
      <c r="H101" s="8">
        <f>Sheet1!H15</f>
        <v>0</v>
      </c>
      <c r="I101" s="8">
        <f t="shared" si="47"/>
        <v>0.28499999999999998</v>
      </c>
      <c r="K101" s="8">
        <f t="shared" ref="K101:K102" si="53">-C101/($J$100*SQRT(2)) + (I101/(2*$J$100))*(2*(C101/I101)^2 +4*$J$100^2)^0.5</f>
        <v>5.7092901549299246E-2</v>
      </c>
      <c r="L101" s="8">
        <f t="shared" si="49"/>
        <v>1.3331820602574469E-2</v>
      </c>
    </row>
    <row r="102" spans="1:13" x14ac:dyDescent="0.25">
      <c r="A102" s="8" t="str">
        <f>Sheet1!A16</f>
        <v>532 (8)</v>
      </c>
      <c r="B102" s="8">
        <f>Sheet1!B16</f>
        <v>8</v>
      </c>
      <c r="C102" s="8">
        <f>Sheet1!C16</f>
        <v>42</v>
      </c>
      <c r="D102" s="8">
        <f>Sheet1!D16</f>
        <v>5.5555555555555552E-2</v>
      </c>
      <c r="E102" s="8">
        <f>Sheet1!E16</f>
        <v>0.94444444444444442</v>
      </c>
      <c r="F102" s="8">
        <f>Sheet1!F16</f>
        <v>0.54</v>
      </c>
      <c r="G102" s="8">
        <f>Sheet1!G16</f>
        <v>0</v>
      </c>
      <c r="H102" s="8">
        <f>Sheet1!H16</f>
        <v>0</v>
      </c>
      <c r="I102" s="8">
        <f t="shared" si="47"/>
        <v>0.27</v>
      </c>
      <c r="K102" s="8">
        <f t="shared" si="53"/>
        <v>3.378081957364687E-2</v>
      </c>
      <c r="L102" s="8">
        <f t="shared" si="49"/>
        <v>4.8383975837843259E-3</v>
      </c>
    </row>
    <row r="103" spans="1:13" x14ac:dyDescent="0.25">
      <c r="A103" s="8" t="str">
        <f>Sheet1!A17</f>
        <v>517 (9)</v>
      </c>
      <c r="B103" s="8">
        <f>Sheet1!B17</f>
        <v>9</v>
      </c>
      <c r="C103" s="8">
        <f>Sheet1!C17</f>
        <v>12</v>
      </c>
      <c r="D103" s="8">
        <f>Sheet1!D17</f>
        <v>0.56666666666666665</v>
      </c>
      <c r="E103" s="8">
        <f>Sheet1!E17</f>
        <v>0.43333333333333335</v>
      </c>
      <c r="F103" s="8">
        <f>Sheet1!F17</f>
        <v>0.6</v>
      </c>
      <c r="G103" s="8">
        <f>Sheet1!G17</f>
        <v>60</v>
      </c>
      <c r="H103" s="8">
        <f>Sheet1!H17</f>
        <v>1</v>
      </c>
      <c r="I103" s="8">
        <f t="shared" si="47"/>
        <v>0.3</v>
      </c>
      <c r="J103">
        <v>63.914939024467721</v>
      </c>
      <c r="K103" s="8">
        <f>-C103/($J$103*SQRT(2)) + (I103/(2*$J$103))*(2*(C103/I103)^2 +4*$J$103^2)^0.5</f>
        <v>0.19530343978810469</v>
      </c>
      <c r="L103" s="8">
        <f t="shared" si="49"/>
        <v>7.1140451678915551E-3</v>
      </c>
    </row>
    <row r="104" spans="1:13" x14ac:dyDescent="0.25">
      <c r="A104" s="8" t="str">
        <f>Sheet1!A18</f>
        <v>525 (9)</v>
      </c>
      <c r="B104" s="8">
        <f>Sheet1!B18</f>
        <v>9</v>
      </c>
      <c r="C104" s="8">
        <f>Sheet1!C18</f>
        <v>27</v>
      </c>
      <c r="D104" s="8">
        <f>Sheet1!D18</f>
        <v>0.48275862068965519</v>
      </c>
      <c r="E104" s="8">
        <f>Sheet1!E18</f>
        <v>0.51724137931034486</v>
      </c>
      <c r="F104" s="8">
        <f>Sheet1!F18</f>
        <v>0.57999999999999996</v>
      </c>
      <c r="G104" s="8">
        <f>Sheet1!G18</f>
        <v>60</v>
      </c>
      <c r="H104" s="8">
        <f>Sheet1!H18</f>
        <v>1</v>
      </c>
      <c r="I104" s="8">
        <f t="shared" si="47"/>
        <v>0.28999999999999998</v>
      </c>
      <c r="K104" s="8">
        <f t="shared" ref="K104:K105" si="54">-C104/($J$103*SQRT(2)) + (I104/(2*$J$103))*(2*(C104/I104)^2 +4*$J$103^2)^0.5</f>
        <v>0.11761704700598158</v>
      </c>
      <c r="L104" s="8">
        <f t="shared" si="49"/>
        <v>5.9571532072822597E-3</v>
      </c>
    </row>
    <row r="105" spans="1:13" x14ac:dyDescent="0.25">
      <c r="A105" s="8" t="str">
        <f>Sheet1!A19</f>
        <v>534 (9)</v>
      </c>
      <c r="B105" s="8">
        <f>Sheet1!B19</f>
        <v>9</v>
      </c>
      <c r="C105" s="8">
        <f>Sheet1!C19</f>
        <v>42</v>
      </c>
      <c r="D105" s="8">
        <f>Sheet1!D19</f>
        <v>0.27272727272727271</v>
      </c>
      <c r="E105" s="8">
        <f>Sheet1!E19</f>
        <v>0.72727272727272729</v>
      </c>
      <c r="F105" s="8">
        <f>Sheet1!F19</f>
        <v>0.55000000000000004</v>
      </c>
      <c r="G105" s="8">
        <f>Sheet1!G19</f>
        <v>60</v>
      </c>
      <c r="H105" s="8">
        <f>Sheet1!H19</f>
        <v>1</v>
      </c>
      <c r="I105" s="8">
        <f t="shared" si="47"/>
        <v>0.27500000000000002</v>
      </c>
      <c r="K105" s="8">
        <f t="shared" si="54"/>
        <v>7.527931063960186E-2</v>
      </c>
      <c r="L105" s="8">
        <f t="shared" si="49"/>
        <v>1.0315958134849884E-6</v>
      </c>
    </row>
    <row r="106" spans="1:13" x14ac:dyDescent="0.25">
      <c r="A106" s="8" t="str">
        <f>Sheet1!A20</f>
        <v>520 (10)</v>
      </c>
      <c r="B106" s="8">
        <f>Sheet1!B20</f>
        <v>10</v>
      </c>
      <c r="C106" s="8">
        <f>Sheet1!C20</f>
        <v>12</v>
      </c>
      <c r="D106" s="8">
        <f>Sheet1!D20</f>
        <v>0.41176470588235292</v>
      </c>
      <c r="E106" s="8">
        <f>Sheet1!E20</f>
        <v>0.58823529411764708</v>
      </c>
      <c r="F106" s="8">
        <f>Sheet1!F20</f>
        <v>0.68</v>
      </c>
      <c r="G106" s="8">
        <f>Sheet1!G20</f>
        <v>30</v>
      </c>
      <c r="H106" s="8">
        <f>Sheet1!H20</f>
        <v>0</v>
      </c>
      <c r="I106" s="8">
        <f t="shared" si="47"/>
        <v>0.34</v>
      </c>
      <c r="J106">
        <v>35.162806897834201</v>
      </c>
      <c r="K106" s="8">
        <f>-C106/($J$106*SQRT(2)) + (I106/(2*$J$106))*(2*(C106/I106)^2 +4*$J$106^2)^0.5</f>
        <v>0.17561813924245315</v>
      </c>
      <c r="L106" s="8">
        <f t="shared" si="49"/>
        <v>1.09744969125846E-2</v>
      </c>
    </row>
    <row r="107" spans="1:13" x14ac:dyDescent="0.25">
      <c r="A107" s="8" t="str">
        <f>Sheet1!A21</f>
        <v>530 (10)</v>
      </c>
      <c r="B107" s="8">
        <f>Sheet1!B21</f>
        <v>10</v>
      </c>
      <c r="C107" s="8">
        <f>Sheet1!C21</f>
        <v>27</v>
      </c>
      <c r="D107" s="8">
        <f>Sheet1!D21</f>
        <v>0.31147540983606559</v>
      </c>
      <c r="E107" s="8">
        <f>Sheet1!E21</f>
        <v>0.68852459016393441</v>
      </c>
      <c r="F107" s="8">
        <f>Sheet1!F21</f>
        <v>0.61</v>
      </c>
      <c r="G107" s="8">
        <f>Sheet1!G21</f>
        <v>30</v>
      </c>
      <c r="H107" s="8">
        <f>Sheet1!H21</f>
        <v>0</v>
      </c>
      <c r="I107" s="8">
        <f t="shared" si="47"/>
        <v>0.30499999999999999</v>
      </c>
      <c r="K107" s="8">
        <f t="shared" ref="K107:K108" si="55">-C107/($J$106*SQRT(2)) + (I107/(2*$J$106))*(2*(C107/I107)^2 +4*$J$106^2)^0.5</f>
        <v>7.980085417691174E-2</v>
      </c>
      <c r="L107" s="8">
        <f t="shared" si="49"/>
        <v>2.4833542999355179E-3</v>
      </c>
    </row>
    <row r="108" spans="1:13" x14ac:dyDescent="0.25">
      <c r="A108" s="8" t="str">
        <f>Sheet1!A22</f>
        <v>536(10)</v>
      </c>
      <c r="B108" s="8">
        <f>Sheet1!B22</f>
        <v>10</v>
      </c>
      <c r="C108" s="8">
        <f>Sheet1!C22</f>
        <v>42</v>
      </c>
      <c r="D108" s="8">
        <f>Sheet1!D22</f>
        <v>0.29090909090909089</v>
      </c>
      <c r="E108" s="8">
        <f>Sheet1!E22</f>
        <v>0.70909090909090899</v>
      </c>
      <c r="F108" s="8">
        <f>Sheet1!F22</f>
        <v>0.55000000000000004</v>
      </c>
      <c r="G108" s="8">
        <f>Sheet1!G22</f>
        <v>30</v>
      </c>
      <c r="H108" s="8">
        <f>Sheet1!H22</f>
        <v>0</v>
      </c>
      <c r="I108" s="8">
        <f t="shared" si="47"/>
        <v>0.27500000000000002</v>
      </c>
      <c r="K108" s="8">
        <f t="shared" si="55"/>
        <v>4.3642204780029781E-2</v>
      </c>
      <c r="L108" s="8">
        <f t="shared" si="49"/>
        <v>1.7479527580261674E-2</v>
      </c>
    </row>
    <row r="109" spans="1:13" x14ac:dyDescent="0.25">
      <c r="A109" s="8" t="str">
        <f>Sheet1!A23</f>
        <v>584 (11)</v>
      </c>
      <c r="B109" s="8">
        <f>Sheet1!B23</f>
        <v>11</v>
      </c>
      <c r="C109" s="8">
        <f>Sheet1!C23</f>
        <v>12</v>
      </c>
      <c r="D109" s="8">
        <f>Sheet1!D23</f>
        <v>0.74149659863945583</v>
      </c>
      <c r="E109" s="8">
        <f>Sheet1!E23</f>
        <v>0.25850340136054423</v>
      </c>
      <c r="F109" s="8">
        <f>Sheet1!F23</f>
        <v>1.47</v>
      </c>
      <c r="G109" s="8">
        <f>Sheet1!G23</f>
        <v>30</v>
      </c>
      <c r="H109" s="8">
        <f>Sheet1!H23</f>
        <v>0</v>
      </c>
      <c r="I109" s="8">
        <f t="shared" si="47"/>
        <v>0.73499999999999999</v>
      </c>
      <c r="J109">
        <v>50.855132691128745</v>
      </c>
      <c r="K109" s="8">
        <f>-C109/($J$109*SQRT(2)) + (I109/(2*$J$109))*(2*(C109/I109)^2 +4*$J$109^2)^0.5</f>
        <v>0.58684858513318106</v>
      </c>
      <c r="L109" s="8">
        <f t="shared" si="49"/>
        <v>3.2418049472888221E-3</v>
      </c>
    </row>
    <row r="110" spans="1:13" x14ac:dyDescent="0.25">
      <c r="A110" s="8" t="str">
        <f>Sheet1!A24</f>
        <v>602 (11)</v>
      </c>
      <c r="B110" s="8">
        <f>Sheet1!B24</f>
        <v>11</v>
      </c>
      <c r="C110" s="8">
        <f>Sheet1!C24</f>
        <v>27</v>
      </c>
      <c r="D110" s="8">
        <f>Sheet1!D24</f>
        <v>0.58278145695364236</v>
      </c>
      <c r="E110" s="8">
        <f>Sheet1!E24</f>
        <v>0.41721854304635764</v>
      </c>
      <c r="F110" s="8">
        <f>Sheet1!F24</f>
        <v>1.51</v>
      </c>
      <c r="G110" s="8">
        <f>Sheet1!G24</f>
        <v>30</v>
      </c>
      <c r="H110" s="8">
        <f>Sheet1!H24</f>
        <v>0</v>
      </c>
      <c r="I110" s="8">
        <f t="shared" si="47"/>
        <v>0.755</v>
      </c>
      <c r="K110" s="8">
        <f t="shared" ref="K110:K111" si="56">-C110/($J$109*SQRT(2)) + (I110/(2*$J$109))*(2*(C110/I110)^2 +4*$J$109^2)^0.5</f>
        <v>0.46776915491073179</v>
      </c>
      <c r="L110" s="8">
        <f t="shared" si="49"/>
        <v>1.3527932361847644E-3</v>
      </c>
    </row>
    <row r="111" spans="1:13" x14ac:dyDescent="0.25">
      <c r="A111" s="8" t="str">
        <f>Sheet1!A25</f>
        <v>614 (11)</v>
      </c>
      <c r="B111" s="8">
        <f>Sheet1!B25</f>
        <v>11</v>
      </c>
      <c r="C111" s="8">
        <f>Sheet1!C25</f>
        <v>42</v>
      </c>
      <c r="D111" s="8">
        <f>Sheet1!D25</f>
        <v>0.54794520547945202</v>
      </c>
      <c r="E111" s="8">
        <f>Sheet1!E25</f>
        <v>0.45205479452054792</v>
      </c>
      <c r="F111" s="8">
        <f>Sheet1!F25</f>
        <v>1.46</v>
      </c>
      <c r="G111" s="8">
        <f>Sheet1!G25</f>
        <v>30</v>
      </c>
      <c r="H111" s="8">
        <f>Sheet1!H25</f>
        <v>0</v>
      </c>
      <c r="I111" s="8">
        <f t="shared" si="47"/>
        <v>0.73</v>
      </c>
      <c r="K111" s="8">
        <f t="shared" si="56"/>
        <v>0.35086287425543683</v>
      </c>
      <c r="L111" s="8">
        <f t="shared" si="49"/>
        <v>4.5307883776262168E-3</v>
      </c>
    </row>
    <row r="112" spans="1:13" x14ac:dyDescent="0.25">
      <c r="A112" s="8" t="str">
        <f>Sheet1!A26</f>
        <v>588 (12)</v>
      </c>
      <c r="B112" s="8">
        <f>Sheet1!B26</f>
        <v>12</v>
      </c>
      <c r="C112" s="8">
        <f>Sheet1!C26</f>
        <v>12</v>
      </c>
      <c r="D112" s="8">
        <f>Sheet1!D26</f>
        <v>0.57823129251700678</v>
      </c>
      <c r="E112" s="8">
        <f>Sheet1!E26</f>
        <v>0.42176870748299322</v>
      </c>
      <c r="F112" s="8">
        <f>Sheet1!F26</f>
        <v>1.47</v>
      </c>
      <c r="G112" s="8">
        <f>Sheet1!G26</f>
        <v>0</v>
      </c>
      <c r="H112" s="8">
        <f>Sheet1!H26</f>
        <v>1</v>
      </c>
      <c r="I112" s="8">
        <f t="shared" si="47"/>
        <v>0.73499999999999999</v>
      </c>
      <c r="J112">
        <v>54.84068366975017</v>
      </c>
      <c r="K112" s="8">
        <f>-C112/($J$112*SQRT(2)) + (I112/(2*$J$112))*(2*(C112/I112)^2 +4*$J$112^2)^0.5</f>
        <v>0.59638324435411783</v>
      </c>
      <c r="L112" s="8">
        <f t="shared" si="49"/>
        <v>5.437033910934011E-2</v>
      </c>
    </row>
    <row r="113" spans="1:12" x14ac:dyDescent="0.25">
      <c r="A113" s="8" t="str">
        <f>Sheet1!A27</f>
        <v>607(12)</v>
      </c>
      <c r="B113" s="8">
        <f>Sheet1!B27</f>
        <v>12</v>
      </c>
      <c r="C113" s="8">
        <f>Sheet1!C27</f>
        <v>27</v>
      </c>
      <c r="D113" s="8">
        <f>Sheet1!D27</f>
        <v>0.6333333333333333</v>
      </c>
      <c r="E113" s="8">
        <f>Sheet1!E27</f>
        <v>0.3666666666666667</v>
      </c>
      <c r="F113" s="8">
        <f>Sheet1!F27</f>
        <v>1.5</v>
      </c>
      <c r="G113" s="8">
        <f>Sheet1!G27</f>
        <v>0</v>
      </c>
      <c r="H113" s="8">
        <f>Sheet1!H27</f>
        <v>1</v>
      </c>
      <c r="I113" s="8">
        <f t="shared" si="47"/>
        <v>0.75</v>
      </c>
      <c r="K113" s="8">
        <f t="shared" ref="K113" si="57">-C113/($J$112*SQRT(2)) + (I113/(2*$J$112))*(2*(C113/I113)^2 +4*$J$112^2)^0.5</f>
        <v>0.47872614042883738</v>
      </c>
      <c r="L113" s="8">
        <f t="shared" si="49"/>
        <v>2.4682884436295731E-5</v>
      </c>
    </row>
    <row r="114" spans="1:12" x14ac:dyDescent="0.25">
      <c r="A114" s="8" t="str">
        <f>Sheet1!A28</f>
        <v>617 (12)</v>
      </c>
      <c r="B114" s="8">
        <f>Sheet1!B28</f>
        <v>12</v>
      </c>
      <c r="C114" s="8">
        <f>Sheet1!C28</f>
        <v>42</v>
      </c>
      <c r="D114" s="8">
        <f>Sheet1!D28</f>
        <v>0.64189189189189189</v>
      </c>
      <c r="E114" s="8">
        <f>Sheet1!E28</f>
        <v>0.35810810810810811</v>
      </c>
      <c r="F114" s="8">
        <f>Sheet1!F28</f>
        <v>1.48</v>
      </c>
      <c r="G114" s="8">
        <f>Sheet1!G28</f>
        <v>0</v>
      </c>
      <c r="H114" s="8">
        <f>Sheet1!H28</f>
        <v>1</v>
      </c>
      <c r="I114" s="8">
        <f t="shared" si="47"/>
        <v>0.74</v>
      </c>
      <c r="K114" s="8">
        <f>-C114/($J$112*SQRT(2)) + (I114/(2*$J$112))*(2*(C114/I114)^2 +4*$J$112^2)^0.5</f>
        <v>0.37544677019320905</v>
      </c>
      <c r="L114" s="8">
        <f t="shared" si="49"/>
        <v>1.8098695334119286E-2</v>
      </c>
    </row>
    <row r="115" spans="1:12" x14ac:dyDescent="0.25">
      <c r="A115" s="8" t="str">
        <f>Sheet1!A29</f>
        <v>642 (6)</v>
      </c>
      <c r="B115" s="8">
        <f>Sheet1!B29</f>
        <v>6</v>
      </c>
      <c r="C115" s="8">
        <f>Sheet1!C29</f>
        <v>12</v>
      </c>
      <c r="D115" s="8">
        <f>Sheet1!D29</f>
        <v>0</v>
      </c>
      <c r="E115" s="8">
        <f>Sheet1!E29</f>
        <v>1</v>
      </c>
      <c r="F115" s="8">
        <f>Sheet1!F29</f>
        <v>0.84</v>
      </c>
      <c r="G115" s="8">
        <f>Sheet1!G29</f>
        <v>60</v>
      </c>
      <c r="H115" s="8">
        <f>Sheet1!H29</f>
        <v>0</v>
      </c>
      <c r="I115" s="8">
        <f t="shared" si="47"/>
        <v>0.42</v>
      </c>
      <c r="J115">
        <v>0</v>
      </c>
      <c r="K115" s="8" t="e">
        <f>-C115/($J$115*SQRT(2)) + (I115/(2*$J$115))*(2*(C115/I115)^2 +4*$J$115^2)^0.5</f>
        <v>#DIV/0!</v>
      </c>
      <c r="L115" s="8" t="e">
        <f>(K115/I115 -D115)^2</f>
        <v>#DIV/0!</v>
      </c>
    </row>
    <row r="116" spans="1:12" x14ac:dyDescent="0.25">
      <c r="A116" s="8" t="str">
        <f>Sheet1!A30</f>
        <v>654 (6)</v>
      </c>
      <c r="B116" s="8">
        <f>Sheet1!B30</f>
        <v>6</v>
      </c>
      <c r="C116" s="8">
        <f>Sheet1!C30</f>
        <v>27</v>
      </c>
      <c r="D116" s="8">
        <f>Sheet1!D30</f>
        <v>0.3</v>
      </c>
      <c r="E116" s="8">
        <f>Sheet1!E30</f>
        <v>0.7</v>
      </c>
      <c r="F116" s="8">
        <f>Sheet1!F30</f>
        <v>0.7</v>
      </c>
      <c r="G116" s="8">
        <f>Sheet1!G30</f>
        <v>60</v>
      </c>
      <c r="H116" s="8">
        <f>Sheet1!H30</f>
        <v>0</v>
      </c>
      <c r="I116" s="8">
        <f t="shared" si="47"/>
        <v>0.35</v>
      </c>
      <c r="K116" s="8" t="e">
        <f t="shared" ref="K116:K117" si="58">-C116/($J$115*SQRT(2)) + (I116/(2*$J$115))*(2*(C116/I116)^2 +4*$J$115^2)^0.5</f>
        <v>#DIV/0!</v>
      </c>
      <c r="L116" s="8" t="e">
        <f>(K116/I116 -D116)^2</f>
        <v>#DIV/0!</v>
      </c>
    </row>
    <row r="117" spans="1:12" x14ac:dyDescent="0.25">
      <c r="A117" s="8" t="str">
        <f>Sheet1!A31</f>
        <v>666 (6)</v>
      </c>
      <c r="B117" s="8">
        <f>Sheet1!B31</f>
        <v>6</v>
      </c>
      <c r="C117" s="8">
        <f>Sheet1!C31</f>
        <v>42</v>
      </c>
      <c r="D117" s="8">
        <f>Sheet1!D31</f>
        <v>0.31746031746031744</v>
      </c>
      <c r="E117" s="8">
        <f>Sheet1!E31</f>
        <v>0.68253968253968256</v>
      </c>
      <c r="F117" s="8">
        <f>Sheet1!F31</f>
        <v>0.63</v>
      </c>
      <c r="G117" s="8">
        <f>Sheet1!G31</f>
        <v>60</v>
      </c>
      <c r="H117" s="8">
        <f>Sheet1!H31</f>
        <v>0</v>
      </c>
      <c r="I117" s="8">
        <f t="shared" si="47"/>
        <v>0.315</v>
      </c>
      <c r="K117" s="8" t="e">
        <f t="shared" si="58"/>
        <v>#DIV/0!</v>
      </c>
      <c r="L117" s="8" t="e">
        <f>(K117/I117 -D117)^2</f>
        <v>#DIV/0!</v>
      </c>
    </row>
    <row r="118" spans="1:12" x14ac:dyDescent="0.25">
      <c r="A118" s="8" t="str">
        <f>Sheet1!A32</f>
        <v>635 (7)</v>
      </c>
      <c r="B118" s="8">
        <f>Sheet1!B32</f>
        <v>7</v>
      </c>
      <c r="C118" s="8">
        <f>Sheet1!C32</f>
        <v>12</v>
      </c>
      <c r="D118" s="8">
        <f>Sheet1!D32</f>
        <v>0.8</v>
      </c>
      <c r="E118" s="8">
        <f>Sheet1!E32</f>
        <v>0.2</v>
      </c>
      <c r="F118" s="8">
        <f>Sheet1!F32</f>
        <v>0.73</v>
      </c>
      <c r="G118" s="8">
        <f>Sheet1!G32</f>
        <v>30</v>
      </c>
      <c r="H118" s="8">
        <f>Sheet1!H32</f>
        <v>0</v>
      </c>
      <c r="I118" s="8">
        <f t="shared" si="47"/>
        <v>0.36499999999999999</v>
      </c>
      <c r="J118">
        <v>25</v>
      </c>
      <c r="K118" s="8">
        <f>-C118/($J$118*SQRT(2)) + (I118/(2*$J$118))*(2*(C118/I118)^2 +4*$J$118^2)^0.5</f>
        <v>0.15901125656058468</v>
      </c>
      <c r="L118" s="8">
        <f t="shared" si="49"/>
        <v>0.13275290584796123</v>
      </c>
    </row>
    <row r="119" spans="1:12" x14ac:dyDescent="0.25">
      <c r="A119" s="8" t="str">
        <f>Sheet1!A33</f>
        <v>646 (7)</v>
      </c>
      <c r="B119" s="8">
        <f>Sheet1!B33</f>
        <v>7</v>
      </c>
      <c r="C119" s="8">
        <f>Sheet1!C33</f>
        <v>27</v>
      </c>
      <c r="D119" s="8">
        <f>Sheet1!D33</f>
        <v>0.30303030303030304</v>
      </c>
      <c r="E119" s="8">
        <f>Sheet1!E33</f>
        <v>0.69696969696969702</v>
      </c>
      <c r="F119" s="8">
        <f>Sheet1!F33</f>
        <v>0.66</v>
      </c>
      <c r="G119" s="8">
        <f>Sheet1!G33</f>
        <v>30</v>
      </c>
      <c r="H119" s="8">
        <f>Sheet1!H33</f>
        <v>0</v>
      </c>
      <c r="I119" s="8">
        <f t="shared" si="47"/>
        <v>0.33</v>
      </c>
      <c r="K119" s="8">
        <f t="shared" ref="K119:K120" si="59">-C119/($J$118*SQRT(2)) + (I119/(2*$J$118))*(2*(C119/I119)^2 +4*$J$118^2)^0.5</f>
        <v>6.8250153750251563E-2</v>
      </c>
      <c r="L119" s="8">
        <f t="shared" si="49"/>
        <v>9.2566826160024335E-3</v>
      </c>
    </row>
    <row r="120" spans="1:12" x14ac:dyDescent="0.25">
      <c r="A120" s="8" t="str">
        <f>Sheet1!A34</f>
        <v>657 (7)</v>
      </c>
      <c r="B120" s="8">
        <f>Sheet1!B34</f>
        <v>7</v>
      </c>
      <c r="C120" s="8">
        <f>Sheet1!C34</f>
        <v>42</v>
      </c>
      <c r="D120" s="8">
        <f>Sheet1!D34</f>
        <v>0</v>
      </c>
      <c r="E120" s="8">
        <f>Sheet1!E34</f>
        <v>1</v>
      </c>
      <c r="F120" s="8">
        <f>Sheet1!F34</f>
        <v>0.55000000000000004</v>
      </c>
      <c r="G120" s="8">
        <f>Sheet1!G34</f>
        <v>30</v>
      </c>
      <c r="H120" s="8">
        <f>Sheet1!H34</f>
        <v>0</v>
      </c>
      <c r="I120" s="8">
        <f t="shared" si="47"/>
        <v>0.27500000000000002</v>
      </c>
      <c r="K120" s="8">
        <f t="shared" si="59"/>
        <v>3.141494495075392E-2</v>
      </c>
      <c r="L120" s="8">
        <f t="shared" si="49"/>
        <v>1.3049901041439988E-2</v>
      </c>
    </row>
    <row r="121" spans="1:12" x14ac:dyDescent="0.25">
      <c r="A121" s="8" t="str">
        <f>Sheet1!A35</f>
        <v>596 (14)</v>
      </c>
      <c r="B121" s="8">
        <f>Sheet1!B35</f>
        <v>14</v>
      </c>
      <c r="C121" s="8">
        <f>Sheet1!C35</f>
        <v>12</v>
      </c>
      <c r="D121" s="8">
        <f>Sheet1!D35</f>
        <v>0.80838323353293418</v>
      </c>
      <c r="E121" s="8">
        <f>Sheet1!E35</f>
        <v>0.19161676646706588</v>
      </c>
      <c r="F121" s="8">
        <f>Sheet1!F35</f>
        <v>1.67</v>
      </c>
      <c r="G121" s="8">
        <f>Sheet1!G35</f>
        <v>60</v>
      </c>
      <c r="H121" s="8">
        <f>Sheet1!H35</f>
        <v>0</v>
      </c>
      <c r="I121" s="8">
        <f t="shared" si="47"/>
        <v>0.83499999999999996</v>
      </c>
      <c r="J121">
        <v>25</v>
      </c>
      <c r="K121" s="8">
        <f>-C121/($J$121*SQRT(2)) + (I121/(2*$J$121))*(2*(C121/I121)^2 +4*$J$121^2)^0.5</f>
        <v>0.56193496042163527</v>
      </c>
      <c r="L121" s="8">
        <f t="shared" si="49"/>
        <v>1.833511875629415E-2</v>
      </c>
    </row>
    <row r="122" spans="1:12" x14ac:dyDescent="0.25">
      <c r="A122" s="8" t="str">
        <f>Sheet1!A36</f>
        <v>610 (14)</v>
      </c>
      <c r="B122" s="8">
        <f>Sheet1!B36</f>
        <v>14</v>
      </c>
      <c r="C122" s="8">
        <f>Sheet1!C36</f>
        <v>27</v>
      </c>
      <c r="D122" s="8">
        <f>Sheet1!D36</f>
        <v>0.90410958904109584</v>
      </c>
      <c r="E122" s="8">
        <f>Sheet1!E36</f>
        <v>9.5890410958904104E-2</v>
      </c>
      <c r="F122" s="8">
        <f>Sheet1!F36</f>
        <v>1.46</v>
      </c>
      <c r="G122" s="8">
        <f>Sheet1!G36</f>
        <v>60</v>
      </c>
      <c r="H122" s="8">
        <f>Sheet1!H36</f>
        <v>0</v>
      </c>
      <c r="I122" s="8">
        <f t="shared" si="47"/>
        <v>0.73</v>
      </c>
      <c r="K122" s="8">
        <f t="shared" ref="K122:K123" si="60">-C122/($J$121*SQRT(2)) + (I122/(2*$J$121))*(2*(C122/I122)^2 +4*$J$121^2)^0.5</f>
        <v>0.29278101711070748</v>
      </c>
      <c r="L122" s="8">
        <f t="shared" si="49"/>
        <v>0.25304894237989589</v>
      </c>
    </row>
    <row r="123" spans="1:12" x14ac:dyDescent="0.25">
      <c r="A123" s="8" t="str">
        <f>Sheet1!A37</f>
        <v>631 (14)</v>
      </c>
      <c r="B123" s="8">
        <f>Sheet1!B37</f>
        <v>14</v>
      </c>
      <c r="C123" s="8">
        <f>Sheet1!C37</f>
        <v>42</v>
      </c>
      <c r="D123" s="8">
        <f>Sheet1!D37</f>
        <v>0.91275167785234901</v>
      </c>
      <c r="E123" s="8">
        <f>Sheet1!E37</f>
        <v>8.7248322147651006E-2</v>
      </c>
      <c r="F123" s="8">
        <f>Sheet1!F37</f>
        <v>1.49</v>
      </c>
      <c r="G123" s="8">
        <f>Sheet1!G37</f>
        <v>60</v>
      </c>
      <c r="H123" s="8">
        <f>Sheet1!H37</f>
        <v>0</v>
      </c>
      <c r="I123" s="8">
        <f t="shared" si="47"/>
        <v>0.745</v>
      </c>
      <c r="K123" s="8">
        <f t="shared" si="60"/>
        <v>0.21428205944650092</v>
      </c>
      <c r="L123" s="8">
        <f t="shared" si="49"/>
        <v>0.39078095608917163</v>
      </c>
    </row>
    <row r="124" spans="1:12" x14ac:dyDescent="0.25">
      <c r="A124" s="8"/>
      <c r="B124" s="8"/>
      <c r="C124" s="8"/>
      <c r="D124" s="8"/>
      <c r="E124" s="8"/>
      <c r="F124" s="8"/>
      <c r="G124" s="8"/>
      <c r="H124" s="8"/>
      <c r="K124" s="8"/>
    </row>
    <row r="125" spans="1:12" x14ac:dyDescent="0.25">
      <c r="A125" s="8"/>
      <c r="B125" s="8"/>
      <c r="C125" s="8"/>
      <c r="D125" s="8"/>
      <c r="E125" s="8"/>
      <c r="F125" s="8"/>
      <c r="G125" s="8"/>
      <c r="H125" s="8"/>
      <c r="K125" s="8"/>
    </row>
    <row r="126" spans="1:12" x14ac:dyDescent="0.25">
      <c r="A126" s="8"/>
      <c r="B126" s="8"/>
      <c r="C126" s="8"/>
      <c r="D126" s="8"/>
      <c r="E126" s="8"/>
      <c r="F126" s="8"/>
      <c r="G126" s="8"/>
      <c r="H126" s="8"/>
      <c r="K126" s="8"/>
    </row>
    <row r="127" spans="1:12" x14ac:dyDescent="0.25">
      <c r="A127" s="8"/>
      <c r="B127" s="8"/>
      <c r="C127" s="8"/>
      <c r="D127" s="8" t="s">
        <v>251</v>
      </c>
      <c r="E127" s="8"/>
      <c r="F127" s="8"/>
      <c r="G127" s="8"/>
      <c r="H127" s="8"/>
      <c r="K127" s="8"/>
    </row>
    <row r="128" spans="1:12" x14ac:dyDescent="0.25">
      <c r="A128" s="8"/>
      <c r="B128" s="8"/>
      <c r="C128" s="8"/>
      <c r="D128" s="8"/>
      <c r="E128" s="8"/>
      <c r="F128" s="8"/>
      <c r="G128" s="8"/>
      <c r="H128" s="8"/>
      <c r="K128" s="8"/>
    </row>
    <row r="129" spans="1:13" x14ac:dyDescent="0.25">
      <c r="A129" s="8"/>
      <c r="B129" s="8"/>
      <c r="C129" s="8"/>
      <c r="D129" s="8"/>
      <c r="E129" s="8"/>
      <c r="F129" s="8"/>
      <c r="G129" s="8"/>
      <c r="H129" s="8"/>
      <c r="K129" s="8"/>
    </row>
    <row r="130" spans="1:13" x14ac:dyDescent="0.25">
      <c r="A130" s="8"/>
      <c r="B130" s="8"/>
      <c r="C130" s="8"/>
      <c r="D130" s="8"/>
      <c r="E130" s="8"/>
      <c r="F130" s="8"/>
      <c r="G130" s="8"/>
      <c r="H130" s="8"/>
      <c r="K130" s="8"/>
    </row>
    <row r="131" spans="1:13" x14ac:dyDescent="0.25">
      <c r="A131" s="8" t="s">
        <v>252</v>
      </c>
      <c r="B131" s="8"/>
      <c r="C131" s="8"/>
      <c r="D131" s="8"/>
      <c r="E131" s="8"/>
      <c r="F131" s="8"/>
      <c r="G131" s="8"/>
      <c r="H131" s="8"/>
      <c r="K131" s="8"/>
    </row>
    <row r="132" spans="1:13" x14ac:dyDescent="0.25">
      <c r="A132" s="8"/>
      <c r="B132" s="8"/>
      <c r="C132" s="8"/>
      <c r="D132" s="8"/>
      <c r="E132" s="8"/>
      <c r="F132" s="8"/>
      <c r="G132" s="8"/>
      <c r="H132" s="8"/>
      <c r="K132" s="8"/>
    </row>
    <row r="133" spans="1:13" x14ac:dyDescent="0.25">
      <c r="A133" s="8"/>
      <c r="B133" s="8"/>
      <c r="C133" s="8"/>
      <c r="D133" s="8"/>
      <c r="E133" s="8"/>
      <c r="F133" s="8"/>
      <c r="G133" s="8"/>
      <c r="H133" s="8"/>
      <c r="K133" s="8"/>
    </row>
    <row r="134" spans="1:13" x14ac:dyDescent="0.25">
      <c r="A134" s="8" t="str">
        <f>A46</f>
        <v>bundle thicknesses</v>
      </c>
      <c r="B134" s="8">
        <f t="shared" ref="B134:J134" si="61">B46</f>
        <v>0</v>
      </c>
      <c r="C134" s="8" t="str">
        <f t="shared" si="61"/>
        <v>dist</v>
      </c>
      <c r="D134" s="8" t="str">
        <f t="shared" si="61"/>
        <v>core</v>
      </c>
      <c r="E134" s="8" t="str">
        <f t="shared" si="61"/>
        <v>skin</v>
      </c>
      <c r="F134" s="8" t="str">
        <f t="shared" si="61"/>
        <v>thickness</v>
      </c>
      <c r="G134" s="8">
        <f t="shared" si="61"/>
        <v>0</v>
      </c>
      <c r="H134" s="8">
        <f t="shared" si="61"/>
        <v>0</v>
      </c>
      <c r="I134" s="8" t="str">
        <f t="shared" si="61"/>
        <v>b</v>
      </c>
      <c r="J134" s="8" t="str">
        <f t="shared" si="61"/>
        <v>psi optimal</v>
      </c>
      <c r="K134" s="8" t="s">
        <v>236</v>
      </c>
      <c r="L134" s="8" t="s">
        <v>208</v>
      </c>
      <c r="M134" s="8" t="s">
        <v>253</v>
      </c>
    </row>
    <row r="135" spans="1:13" x14ac:dyDescent="0.25">
      <c r="A135" s="8">
        <f t="shared" ref="A135:H135" si="62">A47</f>
        <v>0</v>
      </c>
      <c r="B135" s="8">
        <f t="shared" si="62"/>
        <v>0</v>
      </c>
      <c r="C135" s="8">
        <f t="shared" si="62"/>
        <v>12</v>
      </c>
      <c r="D135" s="8">
        <f t="shared" si="62"/>
        <v>0.39285714285714285</v>
      </c>
      <c r="E135" s="8">
        <f t="shared" si="62"/>
        <v>0.60714285714285721</v>
      </c>
      <c r="F135" s="8">
        <f t="shared" si="62"/>
        <v>0.84</v>
      </c>
      <c r="G135" s="8">
        <f t="shared" si="62"/>
        <v>0</v>
      </c>
      <c r="H135" s="8">
        <f t="shared" si="62"/>
        <v>0</v>
      </c>
      <c r="I135" s="8">
        <f>I47</f>
        <v>0.42</v>
      </c>
      <c r="J135" s="8">
        <v>18.665780993167736</v>
      </c>
      <c r="K135" s="8">
        <f>-C135/($J$135*SQRT(2)) + (I135/(2*$J$135))*(2*(C135/I135)^2 +4*$J$135^2)^0.5</f>
        <v>0.16432194672914424</v>
      </c>
      <c r="L135" s="8">
        <f>(K135/I135 - D135)^2</f>
        <v>2.6063278804885689E-6</v>
      </c>
      <c r="M135" s="8">
        <f>SUM(L135:L138)</f>
        <v>0.23038345711898017</v>
      </c>
    </row>
    <row r="136" spans="1:13" x14ac:dyDescent="0.25">
      <c r="A136" s="8">
        <f t="shared" ref="A136:J136" si="63">A48</f>
        <v>0</v>
      </c>
      <c r="B136" s="8">
        <f t="shared" si="63"/>
        <v>0</v>
      </c>
      <c r="C136" s="8">
        <f t="shared" si="63"/>
        <v>12</v>
      </c>
      <c r="D136" s="8">
        <f t="shared" si="63"/>
        <v>0.59756097560975607</v>
      </c>
      <c r="E136" s="8">
        <f t="shared" si="63"/>
        <v>0.40243902439024393</v>
      </c>
      <c r="F136" s="8">
        <f t="shared" si="63"/>
        <v>0.82</v>
      </c>
      <c r="G136" s="8">
        <f t="shared" si="63"/>
        <v>60</v>
      </c>
      <c r="H136" s="8">
        <f t="shared" si="63"/>
        <v>0</v>
      </c>
      <c r="I136" s="8">
        <f t="shared" si="63"/>
        <v>0.41</v>
      </c>
      <c r="J136" s="8">
        <f t="shared" si="63"/>
        <v>0</v>
      </c>
      <c r="K136" s="8">
        <f t="shared" ref="K136:K137" si="64">-C136/($J$135*SQRT(2)) + (I136/(2*$J$135))*(2*(C136/I136)^2 +4*$J$135^2)^0.5</f>
        <v>0.15757991161626139</v>
      </c>
      <c r="L136" s="8">
        <f t="shared" ref="L136:L170" si="65">(K136/I136 - D136)^2</f>
        <v>4.5462652308272858E-2</v>
      </c>
      <c r="M136" s="8">
        <f>SUM(L139:L141)</f>
        <v>1.7784053370070965E-3</v>
      </c>
    </row>
    <row r="137" spans="1:13" x14ac:dyDescent="0.25">
      <c r="A137" s="8">
        <f t="shared" ref="A137:J137" si="66">A49</f>
        <v>0</v>
      </c>
      <c r="B137" s="8">
        <f t="shared" si="66"/>
        <v>0</v>
      </c>
      <c r="C137" s="8">
        <f t="shared" si="66"/>
        <v>12</v>
      </c>
      <c r="D137" s="8">
        <f t="shared" si="66"/>
        <v>0.5662650602409639</v>
      </c>
      <c r="E137" s="8">
        <f t="shared" si="66"/>
        <v>0.43373493975903615</v>
      </c>
      <c r="F137" s="8">
        <f t="shared" si="66"/>
        <v>0.83</v>
      </c>
      <c r="G137" s="8">
        <f t="shared" si="66"/>
        <v>30</v>
      </c>
      <c r="H137" s="8">
        <f t="shared" si="66"/>
        <v>0</v>
      </c>
      <c r="I137" s="8">
        <f t="shared" si="66"/>
        <v>0.41499999999999998</v>
      </c>
      <c r="J137" s="8">
        <f t="shared" si="66"/>
        <v>0</v>
      </c>
      <c r="K137" s="8">
        <f t="shared" si="64"/>
        <v>0.16093985244494724</v>
      </c>
      <c r="L137" s="8">
        <f t="shared" si="65"/>
        <v>3.1847324464370372E-2</v>
      </c>
      <c r="M137" s="8">
        <f>SUM(L142:L144)</f>
        <v>5.0419054957144003E-3</v>
      </c>
    </row>
    <row r="138" spans="1:13" x14ac:dyDescent="0.25">
      <c r="A138" s="8">
        <f t="shared" ref="A138:J138" si="67">A50</f>
        <v>0</v>
      </c>
      <c r="B138" s="8">
        <f t="shared" si="67"/>
        <v>0</v>
      </c>
      <c r="C138" s="8">
        <f t="shared" si="67"/>
        <v>12</v>
      </c>
      <c r="D138" s="8">
        <f t="shared" si="67"/>
        <v>0</v>
      </c>
      <c r="E138" s="8">
        <f t="shared" si="67"/>
        <v>1</v>
      </c>
      <c r="F138" s="8">
        <f t="shared" si="67"/>
        <v>0.84</v>
      </c>
      <c r="G138" s="8">
        <f t="shared" si="67"/>
        <v>60</v>
      </c>
      <c r="H138" s="8">
        <f t="shared" si="67"/>
        <v>0</v>
      </c>
      <c r="I138" s="8">
        <f t="shared" si="67"/>
        <v>0.42</v>
      </c>
      <c r="J138" s="8">
        <f t="shared" si="67"/>
        <v>0</v>
      </c>
      <c r="K138" s="8">
        <f>-C138/($J$135*SQRT(2)) + (I138/(2*$J$135))*(2*(C138/I138)^2 +4*$J$135^2)^0.5</f>
        <v>0.16432194672914424</v>
      </c>
      <c r="L138" s="8">
        <f t="shared" si="65"/>
        <v>0.15307087401845645</v>
      </c>
      <c r="M138" s="8">
        <f>SUM(L146:L148)</f>
        <v>4.5261101388436566E-2</v>
      </c>
    </row>
    <row r="139" spans="1:13" x14ac:dyDescent="0.25">
      <c r="A139" s="8">
        <f t="shared" ref="A139:I139" si="68">A51</f>
        <v>0</v>
      </c>
      <c r="B139" s="8">
        <f t="shared" si="68"/>
        <v>0</v>
      </c>
      <c r="C139" s="8">
        <f t="shared" si="68"/>
        <v>27</v>
      </c>
      <c r="D139" s="8">
        <f t="shared" si="68"/>
        <v>0.40740740740740738</v>
      </c>
      <c r="E139" s="8">
        <f t="shared" si="68"/>
        <v>0.59259259259259256</v>
      </c>
      <c r="F139" s="8">
        <f t="shared" si="68"/>
        <v>0.81</v>
      </c>
      <c r="G139" s="8">
        <f t="shared" si="68"/>
        <v>0</v>
      </c>
      <c r="H139" s="8">
        <f t="shared" si="68"/>
        <v>0</v>
      </c>
      <c r="I139" s="8">
        <f t="shared" si="68"/>
        <v>0.40500000000000003</v>
      </c>
      <c r="J139" s="8">
        <v>48.396197764902027</v>
      </c>
      <c r="K139" s="8">
        <f>-C139/($J$139*SQRT(2)) + (I139/(2*$J$139))*(2*(C139/I139)^2 +4*$J$139^2)^0.5</f>
        <v>0.1708832277919054</v>
      </c>
      <c r="L139" s="8">
        <f t="shared" si="65"/>
        <v>2.1101886451119163E-4</v>
      </c>
      <c r="M139" s="8">
        <f>SUM(L149:L153)</f>
        <v>7.7727810942905651E-2</v>
      </c>
    </row>
    <row r="140" spans="1:13" x14ac:dyDescent="0.25">
      <c r="A140" s="8">
        <f t="shared" ref="A140:J140" si="69">A52</f>
        <v>0</v>
      </c>
      <c r="B140" s="8">
        <f t="shared" si="69"/>
        <v>0</v>
      </c>
      <c r="C140" s="8">
        <f t="shared" si="69"/>
        <v>27</v>
      </c>
      <c r="D140" s="8">
        <f t="shared" si="69"/>
        <v>0.44155844155844154</v>
      </c>
      <c r="E140" s="8">
        <f t="shared" si="69"/>
        <v>0.55844155844155841</v>
      </c>
      <c r="F140" s="8">
        <f t="shared" si="69"/>
        <v>0.77</v>
      </c>
      <c r="G140" s="8">
        <f t="shared" si="69"/>
        <v>60</v>
      </c>
      <c r="H140" s="8">
        <f t="shared" si="69"/>
        <v>0</v>
      </c>
      <c r="I140" s="8">
        <f t="shared" si="69"/>
        <v>0.38500000000000001</v>
      </c>
      <c r="J140" s="8">
        <f t="shared" si="69"/>
        <v>0</v>
      </c>
      <c r="K140" s="8">
        <f t="shared" ref="K140" si="70">-C140/($J$139*SQRT(2)) + (I140/(2*$J$139))*(2*(C140/I140)^2 +4*$J$139^2)^0.5</f>
        <v>0.15673311807810691</v>
      </c>
      <c r="L140" s="8">
        <f t="shared" si="65"/>
        <v>1.1874525615075304E-3</v>
      </c>
      <c r="M140" s="8">
        <f>SUM(L154:L157)</f>
        <v>0.26879214763417403</v>
      </c>
    </row>
    <row r="141" spans="1:13" x14ac:dyDescent="0.25">
      <c r="A141" s="8">
        <f t="shared" ref="A141:J141" si="71">A53</f>
        <v>0</v>
      </c>
      <c r="B141" s="8">
        <f t="shared" si="71"/>
        <v>0</v>
      </c>
      <c r="C141" s="8">
        <f t="shared" si="71"/>
        <v>27</v>
      </c>
      <c r="D141" s="8">
        <f t="shared" si="71"/>
        <v>0.40963855421686746</v>
      </c>
      <c r="E141" s="8">
        <f t="shared" si="71"/>
        <v>0.59036144578313254</v>
      </c>
      <c r="F141" s="8">
        <f t="shared" si="71"/>
        <v>0.83</v>
      </c>
      <c r="G141" s="8">
        <f t="shared" si="71"/>
        <v>30</v>
      </c>
      <c r="H141" s="8">
        <f t="shared" si="71"/>
        <v>0</v>
      </c>
      <c r="I141" s="8">
        <f t="shared" si="71"/>
        <v>0.41499999999999998</v>
      </c>
      <c r="J141" s="8">
        <f t="shared" si="71"/>
        <v>0</v>
      </c>
      <c r="K141" s="8">
        <f>-C141/($J$139*SQRT(2)) + (I141/(2*$J$139))*(2*(C141/I141)^2 +4*$J$139^2)^0.5</f>
        <v>0.17808913578943836</v>
      </c>
      <c r="L141" s="8">
        <f t="shared" si="65"/>
        <v>3.7993391098837436E-4</v>
      </c>
      <c r="M141" s="8">
        <f>SUM(L158:L160)</f>
        <v>1.0827458193809118E-3</v>
      </c>
    </row>
    <row r="142" spans="1:13" x14ac:dyDescent="0.25">
      <c r="A142" s="8">
        <f t="shared" ref="A142:I142" si="72">A54</f>
        <v>0</v>
      </c>
      <c r="B142" s="8">
        <f t="shared" si="72"/>
        <v>0</v>
      </c>
      <c r="C142" s="8">
        <f t="shared" si="72"/>
        <v>42</v>
      </c>
      <c r="D142" s="8">
        <f t="shared" si="72"/>
        <v>0.41249999999999998</v>
      </c>
      <c r="E142" s="8">
        <f t="shared" si="72"/>
        <v>0.58749999999999991</v>
      </c>
      <c r="F142" s="8">
        <f t="shared" si="72"/>
        <v>0.8</v>
      </c>
      <c r="G142" s="8">
        <f t="shared" si="72"/>
        <v>0</v>
      </c>
      <c r="H142" s="8">
        <f t="shared" si="72"/>
        <v>0</v>
      </c>
      <c r="I142" s="8">
        <f t="shared" si="72"/>
        <v>0.4</v>
      </c>
      <c r="J142" s="8">
        <v>61.38355486863415</v>
      </c>
      <c r="K142" s="8">
        <f>-C142/($J$142*SQRT(2)) + (I142/(2*$J$142))*(2*(C142/I142)^2 +4*$J$142^2)^0.5</f>
        <v>0.14393974133272996</v>
      </c>
      <c r="L142" s="8">
        <f t="shared" si="65"/>
        <v>2.772090594577017E-3</v>
      </c>
      <c r="M142" s="8">
        <f>SUM(L162:L164)</f>
        <v>2.2756334560287403E-2</v>
      </c>
    </row>
    <row r="143" spans="1:13" x14ac:dyDescent="0.25">
      <c r="A143" s="8">
        <f t="shared" ref="A143:J143" si="73">A55</f>
        <v>0</v>
      </c>
      <c r="B143" s="8">
        <f t="shared" si="73"/>
        <v>0</v>
      </c>
      <c r="C143" s="8">
        <f t="shared" si="73"/>
        <v>42</v>
      </c>
      <c r="D143" s="8">
        <f t="shared" si="73"/>
        <v>0.35802469135802467</v>
      </c>
      <c r="E143" s="8">
        <f t="shared" si="73"/>
        <v>0.64197530864197527</v>
      </c>
      <c r="F143" s="8">
        <f t="shared" si="73"/>
        <v>0.81</v>
      </c>
      <c r="G143" s="8">
        <f t="shared" si="73"/>
        <v>60</v>
      </c>
      <c r="H143" s="8">
        <f t="shared" si="73"/>
        <v>0</v>
      </c>
      <c r="I143" s="8">
        <f t="shared" si="73"/>
        <v>0.40500000000000003</v>
      </c>
      <c r="J143" s="8">
        <f t="shared" si="73"/>
        <v>0</v>
      </c>
      <c r="K143" s="8">
        <f t="shared" ref="K143" si="74">-C143/($J$142*SQRT(2)) + (I143/(2*$J$142))*(2*(C143/I143)^2 +4*$J$142^2)^0.5</f>
        <v>0.14713745019428487</v>
      </c>
      <c r="L143" s="8">
        <f t="shared" si="65"/>
        <v>2.7853640195387197E-5</v>
      </c>
      <c r="M143" s="8">
        <f>SUM(L165:L167)</f>
        <v>6.2653104060518286E-2</v>
      </c>
    </row>
    <row r="144" spans="1:13" x14ac:dyDescent="0.25">
      <c r="A144" s="8">
        <f t="shared" ref="A144:J144" si="75">A56</f>
        <v>0</v>
      </c>
      <c r="B144" s="8">
        <f t="shared" si="75"/>
        <v>0</v>
      </c>
      <c r="C144" s="8">
        <f t="shared" si="75"/>
        <v>42</v>
      </c>
      <c r="D144" s="8">
        <f t="shared" si="75"/>
        <v>0.3125</v>
      </c>
      <c r="E144" s="8">
        <f t="shared" si="75"/>
        <v>0.6875</v>
      </c>
      <c r="F144" s="8">
        <f t="shared" si="75"/>
        <v>0.8</v>
      </c>
      <c r="G144" s="8">
        <f t="shared" si="75"/>
        <v>30</v>
      </c>
      <c r="H144" s="8">
        <f t="shared" si="75"/>
        <v>0</v>
      </c>
      <c r="I144" s="8">
        <f t="shared" si="75"/>
        <v>0.4</v>
      </c>
      <c r="J144" s="8">
        <f t="shared" si="75"/>
        <v>0</v>
      </c>
      <c r="K144" s="8">
        <f>-C144/($J$142*SQRT(2)) + (I144/(2*$J$142))*(2*(C144/I144)^2 +4*$J$142^2)^0.5</f>
        <v>0.14393974133272996</v>
      </c>
      <c r="L144" s="8">
        <f t="shared" si="65"/>
        <v>2.2419612609419961E-3</v>
      </c>
      <c r="M144" s="8">
        <f>SUM(L168:L170)</f>
        <v>7.0091615165579144E-2</v>
      </c>
    </row>
    <row r="145" spans="1:13" x14ac:dyDescent="0.25">
      <c r="A145" s="8">
        <f t="shared" ref="A145:I145" si="76">A57</f>
        <v>0</v>
      </c>
      <c r="B145" s="8">
        <f t="shared" si="76"/>
        <v>0</v>
      </c>
      <c r="C145" s="8">
        <f t="shared" si="76"/>
        <v>12</v>
      </c>
      <c r="D145" s="8">
        <f t="shared" si="76"/>
        <v>0.2978723404255319</v>
      </c>
      <c r="E145" s="8">
        <f t="shared" si="76"/>
        <v>0.7021276595744681</v>
      </c>
      <c r="F145" s="8">
        <f t="shared" si="76"/>
        <v>0.47</v>
      </c>
      <c r="G145" s="8">
        <f t="shared" si="76"/>
        <v>0</v>
      </c>
      <c r="H145" s="8">
        <f t="shared" si="76"/>
        <v>0</v>
      </c>
      <c r="I145" s="8">
        <f t="shared" si="76"/>
        <v>0.23499999999999999</v>
      </c>
      <c r="J145" s="8">
        <v>35.67885756633963</v>
      </c>
      <c r="K145" s="8">
        <f>-C145/($J$145*SQRT(2)) + (I145/(2*$J$145))*(2*(C145/I145)^2 +4*$J$145^2)^0.5</f>
        <v>9.6519078571656425E-2</v>
      </c>
      <c r="L145" s="8">
        <f t="shared" si="65"/>
        <v>1.2734477651239248E-2</v>
      </c>
      <c r="M145" s="8"/>
    </row>
    <row r="146" spans="1:13" x14ac:dyDescent="0.25">
      <c r="A146" s="8">
        <f t="shared" ref="A146:I146" si="77">A58</f>
        <v>0</v>
      </c>
      <c r="B146" s="8">
        <f t="shared" si="77"/>
        <v>0</v>
      </c>
      <c r="C146" s="8">
        <f t="shared" si="77"/>
        <v>27</v>
      </c>
      <c r="D146" s="8">
        <f t="shared" si="77"/>
        <v>0.11363636363636363</v>
      </c>
      <c r="E146" s="8">
        <f t="shared" si="77"/>
        <v>0.88636363636363646</v>
      </c>
      <c r="F146" s="8">
        <f t="shared" si="77"/>
        <v>0.44</v>
      </c>
      <c r="G146" s="8">
        <f t="shared" si="77"/>
        <v>0</v>
      </c>
      <c r="H146" s="8">
        <f t="shared" si="77"/>
        <v>0</v>
      </c>
      <c r="I146" s="8">
        <f t="shared" si="77"/>
        <v>0.22</v>
      </c>
      <c r="J146" s="8">
        <v>49.799716613420244</v>
      </c>
      <c r="K146" s="8">
        <f>-C146/($J$146*SQRT(2)) + (I146/(2*$J$146))*(2*(C146/I146)^2 +4*$J$146^2)^0.5</f>
        <v>5.8639238134306493E-2</v>
      </c>
      <c r="L146" s="8">
        <f t="shared" si="65"/>
        <v>2.3380131038359092E-2</v>
      </c>
      <c r="M146" s="8"/>
    </row>
    <row r="147" spans="1:13" x14ac:dyDescent="0.25">
      <c r="A147" s="8">
        <f t="shared" ref="A147:J147" si="78">A59</f>
        <v>0</v>
      </c>
      <c r="B147" s="8">
        <f t="shared" si="78"/>
        <v>0</v>
      </c>
      <c r="C147" s="8">
        <f t="shared" si="78"/>
        <v>27</v>
      </c>
      <c r="D147" s="8">
        <f t="shared" si="78"/>
        <v>0.31578947368421051</v>
      </c>
      <c r="E147" s="8">
        <f t="shared" si="78"/>
        <v>0.68421052631578938</v>
      </c>
      <c r="F147" s="8">
        <f t="shared" si="78"/>
        <v>0.56999999999999995</v>
      </c>
      <c r="G147" s="8">
        <f t="shared" si="78"/>
        <v>0</v>
      </c>
      <c r="H147" s="8">
        <f t="shared" si="78"/>
        <v>0</v>
      </c>
      <c r="I147" s="8">
        <f t="shared" si="78"/>
        <v>0.28499999999999998</v>
      </c>
      <c r="J147" s="8">
        <f t="shared" si="78"/>
        <v>0</v>
      </c>
      <c r="K147" s="8">
        <f t="shared" ref="K147" si="79">-C147/($J$146*SQRT(2)) + (I147/(2*$J$146))*(2*(C147/I147)^2 +4*$J$146^2)^0.5</f>
        <v>9.432962218968427E-2</v>
      </c>
      <c r="L147" s="8">
        <f t="shared" si="65"/>
        <v>2.3078643650854496E-4</v>
      </c>
      <c r="M147" s="8"/>
    </row>
    <row r="148" spans="1:13" x14ac:dyDescent="0.25">
      <c r="A148" s="8">
        <f t="shared" ref="A148:J148" si="80">A60</f>
        <v>0</v>
      </c>
      <c r="B148" s="8">
        <f t="shared" si="80"/>
        <v>0</v>
      </c>
      <c r="C148" s="8">
        <f t="shared" si="80"/>
        <v>27</v>
      </c>
      <c r="D148" s="8">
        <f t="shared" si="80"/>
        <v>0.48275862068965519</v>
      </c>
      <c r="E148" s="8">
        <f t="shared" si="80"/>
        <v>0.51724137931034486</v>
      </c>
      <c r="F148" s="8">
        <f t="shared" si="80"/>
        <v>0.57999999999999996</v>
      </c>
      <c r="G148" s="8">
        <f t="shared" si="80"/>
        <v>60</v>
      </c>
      <c r="H148" s="8">
        <f t="shared" si="80"/>
        <v>1</v>
      </c>
      <c r="I148" s="8">
        <f t="shared" si="80"/>
        <v>0.28999999999999998</v>
      </c>
      <c r="J148" s="8">
        <f t="shared" si="80"/>
        <v>0</v>
      </c>
      <c r="K148" s="8">
        <f>-C148/($J$146*SQRT(2)) + (I148/(2*$J$146))*(2*(C148/I148)^2 +4*$J$146^2)^0.5</f>
        <v>9.7329395749167713E-2</v>
      </c>
      <c r="L148" s="8">
        <f t="shared" si="65"/>
        <v>2.1650183913568929E-2</v>
      </c>
      <c r="M148" s="8"/>
    </row>
    <row r="149" spans="1:13" x14ac:dyDescent="0.25">
      <c r="A149" s="8">
        <f t="shared" ref="A149:I149" si="81">A61</f>
        <v>0</v>
      </c>
      <c r="B149" s="8">
        <f t="shared" si="81"/>
        <v>0</v>
      </c>
      <c r="C149" s="8">
        <f t="shared" si="81"/>
        <v>42</v>
      </c>
      <c r="D149" s="8">
        <f t="shared" si="81"/>
        <v>0</v>
      </c>
      <c r="E149" s="8">
        <f t="shared" si="81"/>
        <v>1</v>
      </c>
      <c r="F149" s="8">
        <f t="shared" si="81"/>
        <v>0.41</v>
      </c>
      <c r="G149" s="8">
        <f t="shared" si="81"/>
        <v>0</v>
      </c>
      <c r="H149" s="8">
        <f t="shared" si="81"/>
        <v>0</v>
      </c>
      <c r="I149" s="8">
        <f t="shared" si="81"/>
        <v>0.20499999999999999</v>
      </c>
      <c r="J149" s="8">
        <v>29.966963542737741</v>
      </c>
      <c r="K149" s="8">
        <f>-C149/($J$149*SQRT(2)) + (I149/(2*$J$149))*(2*(C149/I149)^2 +4*$J$149^2)^0.5</f>
        <v>2.0980378366698971E-2</v>
      </c>
      <c r="L149" s="8">
        <f t="shared" si="65"/>
        <v>1.0474152918735281E-2</v>
      </c>
      <c r="M149" s="8"/>
    </row>
    <row r="150" spans="1:13" x14ac:dyDescent="0.25">
      <c r="A150" s="8">
        <f t="shared" ref="A150:J150" si="82">A62</f>
        <v>0</v>
      </c>
      <c r="B150" s="8">
        <f t="shared" si="82"/>
        <v>0</v>
      </c>
      <c r="C150" s="8">
        <f t="shared" si="82"/>
        <v>42</v>
      </c>
      <c r="D150" s="8">
        <f t="shared" si="82"/>
        <v>5.5555555555555552E-2</v>
      </c>
      <c r="E150" s="8">
        <f t="shared" si="82"/>
        <v>0.94444444444444442</v>
      </c>
      <c r="F150" s="8">
        <f t="shared" si="82"/>
        <v>0.54</v>
      </c>
      <c r="G150" s="8">
        <f t="shared" si="82"/>
        <v>0</v>
      </c>
      <c r="H150" s="8">
        <f t="shared" si="82"/>
        <v>0</v>
      </c>
      <c r="I150" s="8">
        <f t="shared" si="82"/>
        <v>0.27</v>
      </c>
      <c r="J150" s="8">
        <f t="shared" si="82"/>
        <v>0</v>
      </c>
      <c r="K150" s="8">
        <f t="shared" ref="K150:K153" si="83">-C150/($J$149*SQRT(2)) + (I150/(2*$J$149))*(2*(C150/I150)^2 +4*$J$149^2)^0.5</f>
        <v>3.6121243770278588E-2</v>
      </c>
      <c r="L150" s="8">
        <f t="shared" si="65"/>
        <v>6.1194367407891893E-3</v>
      </c>
      <c r="M150" s="8"/>
    </row>
    <row r="151" spans="1:13" x14ac:dyDescent="0.25">
      <c r="A151" s="8">
        <f t="shared" ref="A151:J151" si="84">A63</f>
        <v>0</v>
      </c>
      <c r="B151" s="8">
        <f t="shared" si="84"/>
        <v>0</v>
      </c>
      <c r="C151" s="8">
        <f t="shared" si="84"/>
        <v>42</v>
      </c>
      <c r="D151" s="8">
        <f t="shared" si="84"/>
        <v>0.27272727272727271</v>
      </c>
      <c r="E151" s="8">
        <f t="shared" si="84"/>
        <v>0.72727272727272729</v>
      </c>
      <c r="F151" s="8">
        <f t="shared" si="84"/>
        <v>0.55000000000000004</v>
      </c>
      <c r="G151" s="8">
        <f t="shared" si="84"/>
        <v>60</v>
      </c>
      <c r="H151" s="8">
        <f t="shared" si="84"/>
        <v>1</v>
      </c>
      <c r="I151" s="8">
        <f t="shared" si="84"/>
        <v>0.27500000000000002</v>
      </c>
      <c r="J151" s="8">
        <f t="shared" si="84"/>
        <v>0</v>
      </c>
      <c r="K151" s="8">
        <f t="shared" si="83"/>
        <v>3.7446858675827088E-2</v>
      </c>
      <c r="L151" s="8">
        <f t="shared" si="65"/>
        <v>1.8647780804142849E-2</v>
      </c>
      <c r="M151" s="8"/>
    </row>
    <row r="152" spans="1:13" x14ac:dyDescent="0.25">
      <c r="A152" s="8">
        <f t="shared" ref="A152:J152" si="85">A64</f>
        <v>0</v>
      </c>
      <c r="B152" s="8">
        <f t="shared" si="85"/>
        <v>0</v>
      </c>
      <c r="C152" s="8">
        <f t="shared" si="85"/>
        <v>42</v>
      </c>
      <c r="D152" s="8">
        <f t="shared" si="85"/>
        <v>0.29090909090909089</v>
      </c>
      <c r="E152" s="8">
        <f t="shared" si="85"/>
        <v>0.70909090909090899</v>
      </c>
      <c r="F152" s="8">
        <f t="shared" si="85"/>
        <v>0.55000000000000004</v>
      </c>
      <c r="G152" s="8">
        <f t="shared" si="85"/>
        <v>30</v>
      </c>
      <c r="H152" s="8">
        <f t="shared" si="85"/>
        <v>0</v>
      </c>
      <c r="I152" s="8">
        <f t="shared" si="85"/>
        <v>0.27500000000000002</v>
      </c>
      <c r="J152" s="8">
        <f t="shared" si="85"/>
        <v>0</v>
      </c>
      <c r="K152" s="8">
        <f t="shared" si="83"/>
        <v>3.7446858675827088E-2</v>
      </c>
      <c r="L152" s="8">
        <f t="shared" si="65"/>
        <v>2.3944063954446707E-2</v>
      </c>
      <c r="M152" s="8"/>
    </row>
    <row r="153" spans="1:13" x14ac:dyDescent="0.25">
      <c r="A153" s="8">
        <f t="shared" ref="A153:J153" si="86">A65</f>
        <v>0</v>
      </c>
      <c r="B153" s="8">
        <f t="shared" si="86"/>
        <v>0</v>
      </c>
      <c r="C153" s="8">
        <f t="shared" si="86"/>
        <v>42</v>
      </c>
      <c r="D153" s="8">
        <f t="shared" si="86"/>
        <v>0</v>
      </c>
      <c r="E153" s="8">
        <f t="shared" si="86"/>
        <v>1</v>
      </c>
      <c r="F153" s="8">
        <f t="shared" si="86"/>
        <v>0.55000000000000004</v>
      </c>
      <c r="G153" s="8">
        <f t="shared" si="86"/>
        <v>30</v>
      </c>
      <c r="H153" s="8">
        <f t="shared" si="86"/>
        <v>0</v>
      </c>
      <c r="I153" s="8">
        <f t="shared" si="86"/>
        <v>0.27500000000000002</v>
      </c>
      <c r="J153" s="8">
        <f t="shared" si="86"/>
        <v>0</v>
      </c>
      <c r="K153" s="8">
        <f t="shared" si="83"/>
        <v>3.7446858675827088E-2</v>
      </c>
      <c r="L153" s="8">
        <f t="shared" si="65"/>
        <v>1.8542376524791619E-2</v>
      </c>
      <c r="M153" s="8"/>
    </row>
    <row r="154" spans="1:13" x14ac:dyDescent="0.25">
      <c r="A154" s="8">
        <f t="shared" ref="A154:I154" si="87">A66</f>
        <v>0</v>
      </c>
      <c r="B154" s="8">
        <f t="shared" si="87"/>
        <v>0</v>
      </c>
      <c r="C154" s="8">
        <f t="shared" si="87"/>
        <v>12</v>
      </c>
      <c r="D154" s="8">
        <f t="shared" si="87"/>
        <v>0.36666666666666664</v>
      </c>
      <c r="E154" s="8">
        <f t="shared" si="87"/>
        <v>0.6333333333333333</v>
      </c>
      <c r="F154" s="8">
        <f t="shared" si="87"/>
        <v>0.6</v>
      </c>
      <c r="G154" s="8">
        <f t="shared" si="87"/>
        <v>0</v>
      </c>
      <c r="H154" s="8">
        <f t="shared" si="87"/>
        <v>0</v>
      </c>
      <c r="I154" s="8">
        <f t="shared" si="87"/>
        <v>0.3</v>
      </c>
      <c r="J154" s="8">
        <v>19.246934010605617</v>
      </c>
      <c r="K154" s="8">
        <f>-C154/($J$154*SQRT(2)) + (I154/(2*$J$154))*(2*(C154/I154)^2 +4*$J$154^2)^0.5</f>
        <v>9.239115124836822E-2</v>
      </c>
      <c r="L154" s="8">
        <f t="shared" si="65"/>
        <v>3.4452394928649317E-3</v>
      </c>
      <c r="M154" s="8"/>
    </row>
    <row r="155" spans="1:13" x14ac:dyDescent="0.25">
      <c r="A155" s="8">
        <f t="shared" ref="A155:J155" si="88">A67</f>
        <v>0</v>
      </c>
      <c r="B155" s="8">
        <f t="shared" si="88"/>
        <v>0</v>
      </c>
      <c r="C155" s="8">
        <f t="shared" si="88"/>
        <v>12</v>
      </c>
      <c r="D155" s="8">
        <f t="shared" si="88"/>
        <v>0.56666666666666665</v>
      </c>
      <c r="E155" s="8">
        <f t="shared" si="88"/>
        <v>0.43333333333333335</v>
      </c>
      <c r="F155" s="8">
        <f t="shared" si="88"/>
        <v>0.6</v>
      </c>
      <c r="G155" s="8">
        <f t="shared" si="88"/>
        <v>60</v>
      </c>
      <c r="H155" s="8">
        <f t="shared" si="88"/>
        <v>1</v>
      </c>
      <c r="I155" s="8">
        <f t="shared" si="88"/>
        <v>0.3</v>
      </c>
      <c r="J155" s="8">
        <f t="shared" si="88"/>
        <v>0</v>
      </c>
      <c r="K155" s="8">
        <f t="shared" ref="K155:K156" si="89">-C155/($J$154*SQRT(2)) + (I155/(2*$J$154))*(2*(C155/I155)^2 +4*$J$154^2)^0.5</f>
        <v>9.239115124836822E-2</v>
      </c>
      <c r="L155" s="8">
        <f t="shared" si="65"/>
        <v>6.6923704495040634E-2</v>
      </c>
      <c r="M155" s="8"/>
    </row>
    <row r="156" spans="1:13" x14ac:dyDescent="0.25">
      <c r="A156" s="8">
        <f t="shared" ref="A156:J156" si="90">A68</f>
        <v>0</v>
      </c>
      <c r="B156" s="8">
        <f t="shared" si="90"/>
        <v>0</v>
      </c>
      <c r="C156" s="8">
        <f t="shared" si="90"/>
        <v>12</v>
      </c>
      <c r="D156" s="8">
        <f t="shared" si="90"/>
        <v>0.41176470588235292</v>
      </c>
      <c r="E156" s="8">
        <f t="shared" si="90"/>
        <v>0.58823529411764708</v>
      </c>
      <c r="F156" s="8">
        <f t="shared" si="90"/>
        <v>0.68</v>
      </c>
      <c r="G156" s="8">
        <f t="shared" si="90"/>
        <v>30</v>
      </c>
      <c r="H156" s="8">
        <f t="shared" si="90"/>
        <v>0</v>
      </c>
      <c r="I156" s="8">
        <f t="shared" si="90"/>
        <v>0.34</v>
      </c>
      <c r="J156" s="8">
        <f t="shared" si="90"/>
        <v>0</v>
      </c>
      <c r="K156" s="8">
        <f t="shared" si="89"/>
        <v>0.11587746041893837</v>
      </c>
      <c r="L156" s="8">
        <f t="shared" si="65"/>
        <v>5.0337103446356805E-3</v>
      </c>
      <c r="M156" s="8"/>
    </row>
    <row r="157" spans="1:13" x14ac:dyDescent="0.25">
      <c r="A157" s="8">
        <f t="shared" ref="A157:J157" si="91">A69</f>
        <v>0</v>
      </c>
      <c r="B157" s="8">
        <f t="shared" si="91"/>
        <v>0</v>
      </c>
      <c r="C157" s="8">
        <f t="shared" si="91"/>
        <v>12</v>
      </c>
      <c r="D157" s="8">
        <f t="shared" si="91"/>
        <v>0.8</v>
      </c>
      <c r="E157" s="8">
        <f t="shared" si="91"/>
        <v>0.2</v>
      </c>
      <c r="F157" s="8">
        <f t="shared" si="91"/>
        <v>0.73</v>
      </c>
      <c r="G157" s="8">
        <f t="shared" si="91"/>
        <v>30</v>
      </c>
      <c r="H157" s="8">
        <f t="shared" si="91"/>
        <v>0</v>
      </c>
      <c r="I157" s="8">
        <f t="shared" si="91"/>
        <v>0.36499999999999999</v>
      </c>
      <c r="J157" s="8">
        <f t="shared" si="91"/>
        <v>0</v>
      </c>
      <c r="K157" s="8">
        <f>-C157/($J$154*SQRT(2)) + (I157/(2*$J$154))*(2*(C157/I157)^2 +4*$J$154^2)^0.5</f>
        <v>0.13148733618461744</v>
      </c>
      <c r="L157" s="8">
        <f t="shared" si="65"/>
        <v>0.19338949330163277</v>
      </c>
      <c r="M157" s="8"/>
    </row>
    <row r="158" spans="1:13" x14ac:dyDescent="0.25">
      <c r="A158" s="8">
        <f t="shared" ref="A158:I158" si="92">A70</f>
        <v>0</v>
      </c>
      <c r="B158" s="8">
        <f t="shared" si="92"/>
        <v>0</v>
      </c>
      <c r="C158" s="8">
        <f t="shared" si="92"/>
        <v>27</v>
      </c>
      <c r="D158" s="8">
        <f t="shared" si="92"/>
        <v>0.31147540983606559</v>
      </c>
      <c r="E158" s="8">
        <f t="shared" si="92"/>
        <v>0.68852459016393441</v>
      </c>
      <c r="F158" s="8">
        <f t="shared" si="92"/>
        <v>0.61</v>
      </c>
      <c r="G158" s="8">
        <f t="shared" si="92"/>
        <v>30</v>
      </c>
      <c r="H158" s="8">
        <f t="shared" si="92"/>
        <v>0</v>
      </c>
      <c r="I158" s="8">
        <f t="shared" si="92"/>
        <v>0.30499999999999999</v>
      </c>
      <c r="J158" s="8">
        <v>39.025948590495247</v>
      </c>
      <c r="K158" s="8">
        <f>-C158/($J$158*SQRT(2)) + (I158/(2*$J$158))*(2*(C158/I158)^2 +4*$J$158^2)^0.5</f>
        <v>8.7289288419541478E-2</v>
      </c>
      <c r="L158" s="8">
        <f t="shared" si="65"/>
        <v>6.391300518894616E-4</v>
      </c>
      <c r="M158" s="8"/>
    </row>
    <row r="159" spans="1:13" x14ac:dyDescent="0.25">
      <c r="A159" s="8">
        <f t="shared" ref="A159:J159" si="93">A71</f>
        <v>0</v>
      </c>
      <c r="B159" s="8">
        <f t="shared" si="93"/>
        <v>0</v>
      </c>
      <c r="C159" s="8">
        <f t="shared" si="93"/>
        <v>27</v>
      </c>
      <c r="D159" s="8">
        <f t="shared" si="93"/>
        <v>0.3</v>
      </c>
      <c r="E159" s="8">
        <f t="shared" si="93"/>
        <v>0.7</v>
      </c>
      <c r="F159" s="8">
        <f t="shared" si="93"/>
        <v>0.7</v>
      </c>
      <c r="G159" s="8">
        <f t="shared" si="93"/>
        <v>60</v>
      </c>
      <c r="H159" s="8">
        <f t="shared" si="93"/>
        <v>0</v>
      </c>
      <c r="I159" s="8">
        <f t="shared" si="93"/>
        <v>0.35</v>
      </c>
      <c r="J159" s="8">
        <f t="shared" si="93"/>
        <v>0</v>
      </c>
      <c r="K159" s="8">
        <f t="shared" ref="K159" si="94">-C159/($J$158*SQRT(2)) + (I159/(2*$J$158))*(2*(C159/I159)^2 +4*$J$158^2)^0.5</f>
        <v>0.11231010033741468</v>
      </c>
      <c r="L159" s="8">
        <f t="shared" si="65"/>
        <v>4.3622503626996223E-4</v>
      </c>
      <c r="M159" s="8"/>
    </row>
    <row r="160" spans="1:13" x14ac:dyDescent="0.25">
      <c r="A160" s="8">
        <f t="shared" ref="A160:J160" si="95">A72</f>
        <v>0</v>
      </c>
      <c r="B160" s="8">
        <f t="shared" si="95"/>
        <v>0</v>
      </c>
      <c r="C160" s="8">
        <f t="shared" si="95"/>
        <v>27</v>
      </c>
      <c r="D160" s="8">
        <f t="shared" si="95"/>
        <v>0.30303030303030304</v>
      </c>
      <c r="E160" s="8">
        <f t="shared" si="95"/>
        <v>0.69696969696969702</v>
      </c>
      <c r="F160" s="8">
        <f t="shared" si="95"/>
        <v>0.66</v>
      </c>
      <c r="G160" s="8">
        <f t="shared" si="95"/>
        <v>30</v>
      </c>
      <c r="H160" s="8">
        <f t="shared" si="95"/>
        <v>0</v>
      </c>
      <c r="I160" s="8">
        <f t="shared" si="95"/>
        <v>0.33</v>
      </c>
      <c r="J160" s="8">
        <f t="shared" si="95"/>
        <v>0</v>
      </c>
      <c r="K160" s="8">
        <f>-C160/($J$158*SQRT(2)) + (I160/(2*$J$158))*(2*(C160/I160)^2 +4*$J$158^2)^0.5</f>
        <v>0.10089713467774913</v>
      </c>
      <c r="L160" s="8">
        <f t="shared" si="65"/>
        <v>7.3907312214879391E-6</v>
      </c>
      <c r="M160" s="8"/>
    </row>
    <row r="161" spans="1:13" x14ac:dyDescent="0.25">
      <c r="A161" s="8">
        <f t="shared" ref="A161:I161" si="96">A73</f>
        <v>0</v>
      </c>
      <c r="B161" s="8">
        <f t="shared" si="96"/>
        <v>0</v>
      </c>
      <c r="C161" s="8">
        <f t="shared" si="96"/>
        <v>42</v>
      </c>
      <c r="D161" s="8">
        <f t="shared" si="96"/>
        <v>0.31746031746031744</v>
      </c>
      <c r="E161" s="8">
        <f t="shared" si="96"/>
        <v>0.68253968253968256</v>
      </c>
      <c r="F161" s="8">
        <f t="shared" si="96"/>
        <v>0.63</v>
      </c>
      <c r="G161" s="8">
        <f t="shared" si="96"/>
        <v>60</v>
      </c>
      <c r="H161" s="8">
        <f t="shared" si="96"/>
        <v>0</v>
      </c>
      <c r="I161" s="8">
        <f t="shared" si="96"/>
        <v>0.315</v>
      </c>
      <c r="J161" s="8">
        <v>25</v>
      </c>
      <c r="K161" s="8">
        <f>-C161/($J$161*SQRT(2)) + (I161/(2*$J$161))*(2*(C161/I161)^2 +4*$J$161^2)^0.5</f>
        <v>4.1054098232160996E-2</v>
      </c>
      <c r="L161" s="8">
        <f t="shared" si="65"/>
        <v>3.5017579594091464E-2</v>
      </c>
      <c r="M161" s="8"/>
    </row>
    <row r="162" spans="1:13" x14ac:dyDescent="0.25">
      <c r="A162" s="8">
        <f t="shared" ref="A162:I162" si="97">A74</f>
        <v>0</v>
      </c>
      <c r="B162" s="8">
        <f t="shared" si="97"/>
        <v>0</v>
      </c>
      <c r="C162" s="8">
        <f t="shared" si="97"/>
        <v>12</v>
      </c>
      <c r="D162" s="8">
        <f t="shared" si="97"/>
        <v>0.74149659863945583</v>
      </c>
      <c r="E162" s="8">
        <f t="shared" si="97"/>
        <v>0.25850340136054423</v>
      </c>
      <c r="F162" s="8">
        <f t="shared" si="97"/>
        <v>1.47</v>
      </c>
      <c r="G162" s="8">
        <f t="shared" si="97"/>
        <v>30</v>
      </c>
      <c r="H162" s="8">
        <f t="shared" si="97"/>
        <v>0</v>
      </c>
      <c r="I162" s="8">
        <f t="shared" si="97"/>
        <v>0.73499999999999999</v>
      </c>
      <c r="J162" s="8">
        <v>31.375575739717142</v>
      </c>
      <c r="K162" s="8">
        <f>-C162/($J$162*SQRT(2)) + (I162/(2*$J$162))*(2*(C162/I162)^2 +4*$J$162^2)^0.5</f>
        <v>0.51273334212248234</v>
      </c>
      <c r="L162" s="8">
        <f t="shared" si="65"/>
        <v>1.9272288594285249E-3</v>
      </c>
      <c r="M162" s="8"/>
    </row>
    <row r="163" spans="1:13" x14ac:dyDescent="0.25">
      <c r="A163" s="8">
        <f t="shared" ref="A163:J163" si="98">A75</f>
        <v>0</v>
      </c>
      <c r="B163" s="8">
        <f t="shared" si="98"/>
        <v>0</v>
      </c>
      <c r="C163" s="8">
        <f t="shared" si="98"/>
        <v>12</v>
      </c>
      <c r="D163" s="8">
        <f t="shared" si="98"/>
        <v>0.57823129251700678</v>
      </c>
      <c r="E163" s="8">
        <f t="shared" si="98"/>
        <v>0.42176870748299322</v>
      </c>
      <c r="F163" s="8">
        <f t="shared" si="98"/>
        <v>1.47</v>
      </c>
      <c r="G163" s="8">
        <f t="shared" si="98"/>
        <v>0</v>
      </c>
      <c r="H163" s="8">
        <f t="shared" si="98"/>
        <v>1</v>
      </c>
      <c r="I163" s="8">
        <f t="shared" si="98"/>
        <v>0.73499999999999999</v>
      </c>
      <c r="J163" s="8">
        <f t="shared" si="98"/>
        <v>0</v>
      </c>
      <c r="K163" s="8">
        <f t="shared" ref="K163" si="99">-C163/($J$162*SQRT(2)) + (I163/(2*$J$162))*(2*(C163/I163)^2 +4*$J$162^2)^0.5</f>
        <v>0.51273334212248234</v>
      </c>
      <c r="L163" s="8">
        <f t="shared" si="65"/>
        <v>1.4248025026573255E-2</v>
      </c>
      <c r="M163" s="8"/>
    </row>
    <row r="164" spans="1:13" x14ac:dyDescent="0.25">
      <c r="A164" s="8">
        <f t="shared" ref="A164:J164" si="100">A76</f>
        <v>0</v>
      </c>
      <c r="B164" s="8">
        <f t="shared" si="100"/>
        <v>0</v>
      </c>
      <c r="C164" s="8">
        <f t="shared" si="100"/>
        <v>12</v>
      </c>
      <c r="D164" s="8">
        <f t="shared" si="100"/>
        <v>0.80838323353293418</v>
      </c>
      <c r="E164" s="8">
        <f t="shared" si="100"/>
        <v>0.19161676646706588</v>
      </c>
      <c r="F164" s="8">
        <f t="shared" si="100"/>
        <v>1.67</v>
      </c>
      <c r="G164" s="8">
        <f t="shared" si="100"/>
        <v>60</v>
      </c>
      <c r="H164" s="8">
        <f t="shared" si="100"/>
        <v>0</v>
      </c>
      <c r="I164" s="8">
        <f t="shared" si="100"/>
        <v>0.83499999999999996</v>
      </c>
      <c r="J164" s="8">
        <f t="shared" si="100"/>
        <v>0</v>
      </c>
      <c r="K164" s="8">
        <f>-C164/($J$162*SQRT(2)) + (I164/(2*$J$162))*(2*(C164/I164)^2 +4*$J$162^2)^0.5</f>
        <v>0.60726157683316806</v>
      </c>
      <c r="L164" s="8">
        <f t="shared" si="65"/>
        <v>6.5810806742856226E-3</v>
      </c>
      <c r="M164" s="8"/>
    </row>
    <row r="165" spans="1:13" x14ac:dyDescent="0.25">
      <c r="A165" s="8">
        <f t="shared" ref="A165:I165" si="101">A77</f>
        <v>0</v>
      </c>
      <c r="B165" s="8">
        <f t="shared" si="101"/>
        <v>0</v>
      </c>
      <c r="C165" s="8">
        <f t="shared" si="101"/>
        <v>27</v>
      </c>
      <c r="D165" s="8">
        <f t="shared" si="101"/>
        <v>0.58278145695364236</v>
      </c>
      <c r="E165" s="8">
        <f t="shared" si="101"/>
        <v>0.41721854304635764</v>
      </c>
      <c r="F165" s="8">
        <f t="shared" si="101"/>
        <v>1.51</v>
      </c>
      <c r="G165" s="8">
        <f t="shared" si="101"/>
        <v>30</v>
      </c>
      <c r="H165" s="8">
        <f t="shared" si="101"/>
        <v>0</v>
      </c>
      <c r="I165" s="8">
        <f t="shared" si="101"/>
        <v>0.755</v>
      </c>
      <c r="J165" s="8">
        <v>72.743316600605169</v>
      </c>
      <c r="K165" s="8">
        <f>-C165/($J$165*SQRT(2)) + (I165/(2*$J$165))*(2*(C165/I165)^2 +4*$J$165^2)^0.5</f>
        <v>0.53686164353303756</v>
      </c>
      <c r="L165" s="8">
        <f t="shared" si="65"/>
        <v>1.6459239485849285E-2</v>
      </c>
      <c r="M165" s="8"/>
    </row>
    <row r="166" spans="1:13" x14ac:dyDescent="0.25">
      <c r="A166" s="8">
        <f t="shared" ref="A166:J166" si="102">A78</f>
        <v>0</v>
      </c>
      <c r="B166" s="8">
        <f t="shared" si="102"/>
        <v>0</v>
      </c>
      <c r="C166" s="8">
        <f t="shared" si="102"/>
        <v>27</v>
      </c>
      <c r="D166" s="8">
        <f t="shared" si="102"/>
        <v>0.6333333333333333</v>
      </c>
      <c r="E166" s="8">
        <f t="shared" si="102"/>
        <v>0.3666666666666667</v>
      </c>
      <c r="F166" s="8">
        <f t="shared" si="102"/>
        <v>1.5</v>
      </c>
      <c r="G166" s="8">
        <f t="shared" si="102"/>
        <v>0</v>
      </c>
      <c r="H166" s="8">
        <f t="shared" si="102"/>
        <v>1</v>
      </c>
      <c r="I166" s="8">
        <f t="shared" si="102"/>
        <v>0.75</v>
      </c>
      <c r="J166" s="8">
        <f t="shared" si="102"/>
        <v>0</v>
      </c>
      <c r="K166" s="8">
        <f t="shared" ref="K166" si="103">-C166/($J$165*SQRT(2)) + (I166/(2*$J$165))*(2*(C166/I166)^2 +4*$J$165^2)^0.5</f>
        <v>0.53214055831451068</v>
      </c>
      <c r="L166" s="8">
        <f t="shared" si="65"/>
        <v>5.8045216079893247E-3</v>
      </c>
      <c r="M166" s="8"/>
    </row>
    <row r="167" spans="1:13" x14ac:dyDescent="0.25">
      <c r="A167" s="8">
        <f t="shared" ref="A167:J167" si="104">A79</f>
        <v>0</v>
      </c>
      <c r="B167" s="8">
        <f t="shared" si="104"/>
        <v>0</v>
      </c>
      <c r="C167" s="8">
        <f t="shared" si="104"/>
        <v>27</v>
      </c>
      <c r="D167" s="8">
        <f t="shared" si="104"/>
        <v>0.90410958904109584</v>
      </c>
      <c r="E167" s="8">
        <f t="shared" si="104"/>
        <v>9.5890410958904104E-2</v>
      </c>
      <c r="F167" s="8">
        <f t="shared" si="104"/>
        <v>1.46</v>
      </c>
      <c r="G167" s="8">
        <f t="shared" si="104"/>
        <v>60</v>
      </c>
      <c r="H167" s="8">
        <f t="shared" si="104"/>
        <v>0</v>
      </c>
      <c r="I167" s="8">
        <f t="shared" si="104"/>
        <v>0.73</v>
      </c>
      <c r="J167" s="8">
        <f t="shared" si="104"/>
        <v>0</v>
      </c>
      <c r="K167" s="8">
        <f>-C167/($J$165*SQRT(2)) + (I167/(2*$J$165))*(2*(C167/I167)^2 +4*$J$165^2)^0.5</f>
        <v>0.51329116977174272</v>
      </c>
      <c r="L167" s="8">
        <f t="shared" si="65"/>
        <v>4.0389342966679675E-2</v>
      </c>
      <c r="M167" s="8"/>
    </row>
    <row r="168" spans="1:13" x14ac:dyDescent="0.25">
      <c r="A168" s="8">
        <f t="shared" ref="A168:I168" si="105">A80</f>
        <v>0</v>
      </c>
      <c r="B168" s="8">
        <f t="shared" si="105"/>
        <v>0</v>
      </c>
      <c r="C168" s="8">
        <f t="shared" si="105"/>
        <v>42</v>
      </c>
      <c r="D168" s="8">
        <f t="shared" si="105"/>
        <v>0.54794520547945202</v>
      </c>
      <c r="E168" s="8">
        <f t="shared" si="105"/>
        <v>0.45205479452054792</v>
      </c>
      <c r="F168" s="8">
        <f t="shared" si="105"/>
        <v>1.46</v>
      </c>
      <c r="G168" s="8">
        <f t="shared" si="105"/>
        <v>30</v>
      </c>
      <c r="H168" s="8">
        <f t="shared" si="105"/>
        <v>0</v>
      </c>
      <c r="I168" s="8">
        <f t="shared" si="105"/>
        <v>0.73</v>
      </c>
      <c r="J168" s="1">
        <v>110.53462695538346</v>
      </c>
      <c r="K168" s="8">
        <f>-C168/($J$168*SQRT(2)) + (I168/(2*$J$168))*(2*(C168/I168)^2 +4*$J$168^2)^0.5</f>
        <v>0.50919438731997313</v>
      </c>
      <c r="L168" s="8">
        <f t="shared" si="65"/>
        <v>2.2374581013669188E-2</v>
      </c>
      <c r="M168" s="8"/>
    </row>
    <row r="169" spans="1:13" x14ac:dyDescent="0.25">
      <c r="A169" s="8">
        <f t="shared" ref="A169:J169" si="106">A81</f>
        <v>0</v>
      </c>
      <c r="B169" s="8">
        <f t="shared" si="106"/>
        <v>0</v>
      </c>
      <c r="C169" s="8">
        <f t="shared" si="106"/>
        <v>42</v>
      </c>
      <c r="D169" s="8">
        <f t="shared" si="106"/>
        <v>0.64189189189189189</v>
      </c>
      <c r="E169" s="8">
        <f t="shared" si="106"/>
        <v>0.35810810810810811</v>
      </c>
      <c r="F169" s="8">
        <f t="shared" si="106"/>
        <v>1.48</v>
      </c>
      <c r="G169" s="8">
        <f t="shared" si="106"/>
        <v>0</v>
      </c>
      <c r="H169" s="8">
        <f t="shared" si="106"/>
        <v>1</v>
      </c>
      <c r="I169" s="8">
        <f t="shared" si="106"/>
        <v>0.74</v>
      </c>
      <c r="J169" s="8">
        <f t="shared" si="106"/>
        <v>0</v>
      </c>
      <c r="K169" s="8">
        <f t="shared" ref="K169:K170" si="107">-C169/($J$168*SQRT(2)) + (I169/(2*$J$168))*(2*(C169/I169)^2 +4*$J$168^2)^0.5</f>
        <v>0.51858650852185617</v>
      </c>
      <c r="L169" s="8">
        <f t="shared" si="65"/>
        <v>3.4692909516541976E-3</v>
      </c>
      <c r="M169" s="8"/>
    </row>
    <row r="170" spans="1:13" x14ac:dyDescent="0.25">
      <c r="A170" s="8">
        <f t="shared" ref="A170:J170" si="108">A82</f>
        <v>0</v>
      </c>
      <c r="B170" s="8">
        <f t="shared" si="108"/>
        <v>0</v>
      </c>
      <c r="C170" s="8">
        <f t="shared" si="108"/>
        <v>42</v>
      </c>
      <c r="D170" s="8">
        <f t="shared" si="108"/>
        <v>0.91275167785234901</v>
      </c>
      <c r="E170" s="8">
        <f t="shared" si="108"/>
        <v>8.7248322147651006E-2</v>
      </c>
      <c r="F170" s="8">
        <f t="shared" si="108"/>
        <v>1.49</v>
      </c>
      <c r="G170" s="8">
        <f t="shared" si="108"/>
        <v>60</v>
      </c>
      <c r="H170" s="8">
        <f t="shared" si="108"/>
        <v>0</v>
      </c>
      <c r="I170" s="8">
        <f t="shared" si="108"/>
        <v>0.745</v>
      </c>
      <c r="J170" s="8">
        <f t="shared" si="108"/>
        <v>0</v>
      </c>
      <c r="K170" s="8">
        <f t="shared" si="107"/>
        <v>0.52328815083178315</v>
      </c>
      <c r="L170" s="8">
        <f t="shared" si="65"/>
        <v>4.4247743200255756E-2</v>
      </c>
      <c r="M170" s="8"/>
    </row>
    <row r="171" spans="1:13" x14ac:dyDescent="0.25">
      <c r="A171" s="8"/>
      <c r="B171" s="8"/>
      <c r="C171" s="8"/>
      <c r="D171" s="8"/>
      <c r="E171" s="8"/>
      <c r="F171" s="8"/>
      <c r="G171" s="8"/>
      <c r="H171" s="8"/>
      <c r="I171" s="8"/>
      <c r="J171" s="8"/>
      <c r="K171" s="8"/>
      <c r="L171" s="8"/>
      <c r="M171" s="8"/>
    </row>
    <row r="172" spans="1:13" x14ac:dyDescent="0.25">
      <c r="A172" s="8"/>
      <c r="B172" s="8"/>
      <c r="C172" s="8"/>
      <c r="D172" s="8"/>
      <c r="E172" s="8"/>
      <c r="F172" s="8"/>
      <c r="G172" s="8"/>
      <c r="H172" s="8"/>
      <c r="I172" s="8"/>
      <c r="J172" s="8"/>
      <c r="K172" s="8"/>
      <c r="L172" s="8"/>
      <c r="M172" s="8"/>
    </row>
    <row r="173" spans="1:13" x14ac:dyDescent="0.25">
      <c r="A173" s="8"/>
      <c r="B173" s="8"/>
      <c r="C173" s="8"/>
      <c r="D173" s="8"/>
      <c r="E173" s="8"/>
      <c r="F173" s="8"/>
      <c r="G173" s="8"/>
      <c r="H173" s="8"/>
      <c r="I173" s="8"/>
      <c r="J173" s="8"/>
      <c r="K173" s="8"/>
      <c r="L173" s="8"/>
      <c r="M173" s="8"/>
    </row>
    <row r="174" spans="1:13" x14ac:dyDescent="0.25">
      <c r="A174" s="8"/>
      <c r="B174" s="8"/>
      <c r="C174" s="8"/>
      <c r="D174" s="8"/>
      <c r="E174" s="8"/>
      <c r="F174" s="8"/>
      <c r="G174" s="8"/>
      <c r="H174" s="8"/>
      <c r="I174" s="8"/>
      <c r="J174" s="8"/>
      <c r="K174" s="8"/>
      <c r="L174" s="8"/>
      <c r="M174" s="8"/>
    </row>
    <row r="175" spans="1:13" x14ac:dyDescent="0.25">
      <c r="A175" s="8" t="s">
        <v>254</v>
      </c>
      <c r="B175" s="8"/>
      <c r="C175" s="8"/>
      <c r="D175" s="8"/>
      <c r="E175" s="8"/>
      <c r="F175" s="8"/>
      <c r="G175" s="8"/>
      <c r="H175" s="8"/>
      <c r="I175" s="8"/>
      <c r="J175" s="8"/>
      <c r="K175" s="8"/>
      <c r="L175" s="8"/>
      <c r="M175" s="8"/>
    </row>
    <row r="176" spans="1:13" x14ac:dyDescent="0.25">
      <c r="A176" s="8">
        <f>K2</f>
        <v>43.946552650758179</v>
      </c>
      <c r="B176" s="8"/>
      <c r="C176" s="8"/>
      <c r="D176" s="8"/>
      <c r="E176" s="8"/>
      <c r="F176" s="8"/>
      <c r="G176" s="8"/>
      <c r="H176" s="8"/>
      <c r="I176" s="8"/>
      <c r="J176" s="8"/>
      <c r="K176" s="8"/>
      <c r="L176" s="8"/>
      <c r="M176" s="8"/>
    </row>
    <row r="177" spans="1:13" x14ac:dyDescent="0.25">
      <c r="A177" s="8"/>
      <c r="B177" s="8"/>
      <c r="C177" s="8"/>
      <c r="D177" s="8"/>
      <c r="E177" s="8"/>
      <c r="F177" s="8"/>
      <c r="G177" s="8"/>
      <c r="H177" s="8"/>
      <c r="I177" s="8"/>
      <c r="J177" s="8"/>
      <c r="K177" s="8"/>
      <c r="L177" s="8"/>
      <c r="M177" s="8"/>
    </row>
    <row r="178" spans="1:13" x14ac:dyDescent="0.25">
      <c r="A178" s="8"/>
      <c r="B178" s="8"/>
      <c r="C178" s="8"/>
      <c r="D178" s="8"/>
      <c r="E178" s="8"/>
      <c r="F178" s="8"/>
      <c r="G178" s="8"/>
      <c r="H178" s="8"/>
      <c r="I178" s="8"/>
      <c r="J178" s="8"/>
      <c r="K178" s="8"/>
      <c r="L178" s="8"/>
      <c r="M178" s="8"/>
    </row>
    <row r="179" spans="1:13" x14ac:dyDescent="0.25">
      <c r="A179" s="8"/>
      <c r="B179" s="8"/>
      <c r="C179" s="8"/>
      <c r="D179" s="8"/>
      <c r="E179" s="8"/>
      <c r="F179" s="8"/>
      <c r="G179" s="8"/>
      <c r="H179" s="8"/>
      <c r="I179" s="8"/>
      <c r="J179" s="8"/>
      <c r="K179" s="8"/>
      <c r="L179" s="8"/>
      <c r="M179" s="8"/>
    </row>
    <row r="180" spans="1:13" x14ac:dyDescent="0.25">
      <c r="A180" s="8" t="s">
        <v>255</v>
      </c>
      <c r="B180" s="8"/>
      <c r="C180" s="8"/>
      <c r="D180" s="8"/>
      <c r="E180" s="8"/>
      <c r="F180" s="8"/>
      <c r="G180" s="8"/>
      <c r="H180" s="8"/>
      <c r="I180" s="8"/>
      <c r="J180" s="8"/>
      <c r="K180" s="8"/>
      <c r="L180" s="8"/>
      <c r="M180" s="8"/>
    </row>
    <row r="181" spans="1:13" x14ac:dyDescent="0.25">
      <c r="A181" s="8" t="s">
        <v>252</v>
      </c>
      <c r="B181" s="8"/>
      <c r="C181" s="8" t="s">
        <v>233</v>
      </c>
      <c r="D181" s="8"/>
      <c r="E181" s="8"/>
      <c r="F181" s="8"/>
      <c r="G181" s="8"/>
      <c r="H181" s="8"/>
      <c r="I181" s="8"/>
      <c r="J181" s="8"/>
      <c r="K181" s="8"/>
      <c r="L181" s="8"/>
      <c r="M181" s="8"/>
    </row>
    <row r="182" spans="1:13" x14ac:dyDescent="0.25">
      <c r="A182" s="8">
        <f>AVERAGE(F47:F56)</f>
        <v>0.81500000000000006</v>
      </c>
      <c r="B182" s="8">
        <f>_xlfn.STDEV.S(F47:F56)</f>
        <v>2.1730674684008799E-2</v>
      </c>
      <c r="C182" s="8">
        <f>J47</f>
        <v>31.155523575722388</v>
      </c>
      <c r="D182" s="8">
        <f>AVERAGE(C182:C185)</f>
        <v>42.753511118092895</v>
      </c>
      <c r="E182" s="8"/>
      <c r="F182" s="8"/>
      <c r="G182" s="8"/>
      <c r="H182" s="8"/>
      <c r="I182" s="8"/>
      <c r="J182" s="8"/>
      <c r="K182" s="8"/>
      <c r="L182" s="8"/>
      <c r="M182" s="8"/>
    </row>
    <row r="183" spans="1:13" x14ac:dyDescent="0.25">
      <c r="A183" s="8">
        <f>AVERAGE(F57:F65)</f>
        <v>0.51777777777777778</v>
      </c>
      <c r="B183" s="8">
        <f>_xlfn.STDEV.S(F57:F65)</f>
        <v>6.1395801521312812E-2</v>
      </c>
      <c r="C183" s="8">
        <f>J57</f>
        <v>35.67885756633963</v>
      </c>
      <c r="D183" s="8"/>
      <c r="E183" s="8"/>
      <c r="F183" s="8"/>
      <c r="G183" s="8"/>
      <c r="H183" s="8"/>
      <c r="I183" s="8"/>
      <c r="J183" s="8"/>
      <c r="K183" s="8"/>
      <c r="L183" s="8"/>
      <c r="M183" s="8"/>
    </row>
    <row r="184" spans="1:13" x14ac:dyDescent="0.25">
      <c r="A184" s="8">
        <f>AVERAGE(F66:F73)</f>
        <v>0.65125</v>
      </c>
      <c r="B184" s="8">
        <f>_xlfn.STDEV.S(F66:F73)</f>
        <v>4.9117206760971255E-2</v>
      </c>
      <c r="C184" s="8">
        <f>J66</f>
        <v>24.949817225936577</v>
      </c>
      <c r="D184" s="8"/>
      <c r="E184" s="8"/>
      <c r="F184" s="8"/>
      <c r="G184" s="8"/>
      <c r="H184" s="8"/>
      <c r="I184" s="8"/>
      <c r="J184" s="8"/>
      <c r="K184" s="8"/>
      <c r="L184" s="8"/>
      <c r="M184" s="8"/>
    </row>
    <row r="185" spans="1:13" x14ac:dyDescent="0.25">
      <c r="A185" s="29">
        <f>AVERAGE(F74:F82)</f>
        <v>1.5011111111111111</v>
      </c>
      <c r="B185" s="8">
        <f>_xlfn.STDEV.S(F74:F82)</f>
        <v>6.5659052011974015E-2</v>
      </c>
      <c r="C185" s="8">
        <f>J74</f>
        <v>79.229846104372996</v>
      </c>
      <c r="D185" s="8"/>
      <c r="E185" s="8"/>
      <c r="F185" s="8"/>
      <c r="G185" s="8"/>
      <c r="H185" s="8"/>
      <c r="I185" s="8"/>
      <c r="J185" s="8"/>
      <c r="K185" s="8"/>
      <c r="L185" s="8"/>
      <c r="M185" s="8"/>
    </row>
    <row r="186" spans="1:13" x14ac:dyDescent="0.25">
      <c r="A186" s="8"/>
      <c r="B186" s="8"/>
      <c r="C186" s="8"/>
      <c r="D186" s="8"/>
      <c r="E186" s="8"/>
      <c r="F186" s="8"/>
      <c r="G186" s="8"/>
      <c r="H186" s="8"/>
      <c r="I186" s="8"/>
      <c r="J186" s="8"/>
      <c r="K186" s="8"/>
      <c r="L186" s="8"/>
      <c r="M186" s="8"/>
    </row>
    <row r="187" spans="1:13" x14ac:dyDescent="0.25">
      <c r="A187" s="8"/>
      <c r="B187" s="8"/>
      <c r="C187" s="8"/>
      <c r="D187" s="8"/>
      <c r="E187" s="8"/>
      <c r="F187" s="8"/>
      <c r="G187" s="8"/>
      <c r="H187" s="8"/>
      <c r="I187" s="8"/>
      <c r="J187" s="8"/>
      <c r="K187" s="8"/>
      <c r="L187" s="8"/>
      <c r="M187" s="8"/>
    </row>
    <row r="188" spans="1:13" x14ac:dyDescent="0.25">
      <c r="A188" s="8"/>
      <c r="B188" s="8"/>
      <c r="C188" s="8"/>
      <c r="D188" s="8"/>
      <c r="E188" s="8"/>
      <c r="F188" s="8"/>
      <c r="G188" s="8"/>
      <c r="H188" s="8"/>
      <c r="I188" s="8"/>
      <c r="J188" s="8"/>
      <c r="K188" s="8"/>
      <c r="L188" s="8"/>
      <c r="M188" s="8"/>
    </row>
    <row r="189" spans="1:13" x14ac:dyDescent="0.25">
      <c r="A189" s="8"/>
      <c r="B189" s="8"/>
      <c r="C189" s="8"/>
      <c r="D189" s="8"/>
      <c r="E189" s="8"/>
      <c r="F189" s="8"/>
      <c r="G189" s="8"/>
      <c r="H189" s="8"/>
      <c r="I189" s="8"/>
      <c r="J189" s="8"/>
      <c r="K189" s="8"/>
      <c r="L189" s="8"/>
      <c r="M189" s="8"/>
    </row>
    <row r="190" spans="1:13" x14ac:dyDescent="0.25">
      <c r="A190" s="8"/>
      <c r="B190" s="8"/>
      <c r="C190" s="8"/>
      <c r="D190" s="8"/>
      <c r="E190" s="8"/>
      <c r="F190" s="8"/>
      <c r="G190" s="8"/>
      <c r="H190" s="8"/>
      <c r="I190" s="8"/>
      <c r="J190" s="8"/>
      <c r="K190" s="8"/>
      <c r="L190" s="8"/>
      <c r="M190" s="8"/>
    </row>
    <row r="191" spans="1:13" x14ac:dyDescent="0.25">
      <c r="A191" s="8"/>
      <c r="B191" s="8"/>
      <c r="C191" s="8"/>
      <c r="D191" s="8"/>
      <c r="E191" s="8"/>
      <c r="F191" s="8"/>
      <c r="G191" s="8"/>
      <c r="H191" s="8"/>
      <c r="I191" s="8"/>
      <c r="J191" s="8"/>
      <c r="K191" s="8"/>
      <c r="L191" s="8"/>
      <c r="M191" s="8"/>
    </row>
    <row r="192" spans="1:13" x14ac:dyDescent="0.25">
      <c r="A192" s="8" t="s">
        <v>256</v>
      </c>
      <c r="B192" s="8"/>
      <c r="C192" s="8"/>
      <c r="D192" s="8"/>
      <c r="E192" s="8"/>
      <c r="F192" s="8"/>
      <c r="G192" s="8"/>
      <c r="H192" s="8"/>
      <c r="I192" s="8"/>
      <c r="J192" s="8"/>
      <c r="K192" s="8"/>
      <c r="L192" s="8"/>
      <c r="M192" s="8"/>
    </row>
    <row r="193" spans="1:13" x14ac:dyDescent="0.25">
      <c r="A193" s="8" t="s">
        <v>252</v>
      </c>
      <c r="B193" s="8" t="s">
        <v>257</v>
      </c>
      <c r="C193" s="8" t="s">
        <v>233</v>
      </c>
      <c r="D193" s="8"/>
      <c r="E193" s="8"/>
      <c r="F193" s="8"/>
      <c r="G193" s="8"/>
      <c r="H193" s="8"/>
      <c r="I193" s="8"/>
      <c r="J193" s="8"/>
      <c r="K193" s="8"/>
      <c r="L193" s="8"/>
      <c r="M193" s="8"/>
    </row>
    <row r="194" spans="1:13" x14ac:dyDescent="0.25">
      <c r="A194" s="8">
        <f>AVERAGE(F88:F96)</f>
        <v>0.81222222222222218</v>
      </c>
      <c r="B194" s="8">
        <f>_xlfn.STDEV.S(F88:F96)</f>
        <v>2.1081851067789165E-2</v>
      </c>
      <c r="C194" s="8">
        <f>AVERAGE(J88,J91,J94)</f>
        <v>43.015053518179776</v>
      </c>
      <c r="D194" s="8">
        <f>_xlfn.STDEV.S(J88,J91,J94)</f>
        <v>7.1133660047221534</v>
      </c>
      <c r="E194" s="8"/>
      <c r="F194" s="8"/>
      <c r="G194" s="8"/>
      <c r="H194" s="8"/>
      <c r="I194" s="8"/>
      <c r="J194" s="8"/>
      <c r="K194" s="8"/>
      <c r="L194" s="8"/>
      <c r="M194" s="8"/>
    </row>
    <row r="195" spans="1:13" x14ac:dyDescent="0.25">
      <c r="A195" s="8">
        <f>AVERAGE(F97:F99)</f>
        <v>0.43999999999999995</v>
      </c>
      <c r="B195" s="8">
        <f>_xlfn.STDEV.S(F97:F99)</f>
        <v>0.03</v>
      </c>
      <c r="C195" s="8">
        <f>AVERAGE(J97)</f>
        <v>21.218698674001562</v>
      </c>
      <c r="D195" s="8"/>
      <c r="E195" s="8"/>
      <c r="F195" s="8"/>
      <c r="G195" s="8"/>
      <c r="H195" s="8"/>
      <c r="I195" s="8"/>
      <c r="J195" s="8"/>
      <c r="K195" s="8"/>
      <c r="L195" s="8"/>
      <c r="M195" s="8"/>
    </row>
    <row r="196" spans="1:13" x14ac:dyDescent="0.25">
      <c r="A196" s="8">
        <f>AVERAGE(F100:F105)</f>
        <v>0.57333333333333336</v>
      </c>
      <c r="B196" s="8">
        <f>_xlfn.STDEV.S(F100:F105)</f>
        <v>2.5033311140691423E-2</v>
      </c>
      <c r="C196" s="8">
        <f>AVERAGE(J100,J103)</f>
        <v>45.938171124465427</v>
      </c>
      <c r="D196" s="8">
        <f>_xlfn.STDEV.S(J100,J103)</f>
        <v>25.42298897181654</v>
      </c>
      <c r="E196" s="8"/>
      <c r="F196" s="8"/>
      <c r="G196" s="8"/>
      <c r="H196" s="8"/>
      <c r="I196" s="8"/>
      <c r="J196" s="8"/>
      <c r="K196" s="8"/>
      <c r="L196" s="8"/>
      <c r="M196" s="8"/>
    </row>
    <row r="197" spans="1:13" x14ac:dyDescent="0.25">
      <c r="A197" s="8">
        <f>AVERAGE(F106:F108)</f>
        <v>0.6133333333333334</v>
      </c>
      <c r="B197" s="8">
        <f>_xlfn.STDEV.S(F106:F108)</f>
        <v>6.5064070986477124E-2</v>
      </c>
      <c r="C197" s="8">
        <f>J106</f>
        <v>35.162806897834201</v>
      </c>
      <c r="D197" s="8"/>
      <c r="E197" s="8"/>
      <c r="F197" s="8"/>
      <c r="G197" s="8"/>
      <c r="H197" s="8"/>
      <c r="I197" s="8"/>
      <c r="J197" s="8"/>
      <c r="K197" s="8"/>
      <c r="L197" s="8"/>
      <c r="M197" s="8"/>
    </row>
    <row r="198" spans="1:13" x14ac:dyDescent="0.25">
      <c r="A198" s="29">
        <f>AVERAGE(F109:F114)</f>
        <v>1.4816666666666665</v>
      </c>
      <c r="B198" s="8">
        <f>_xlfn.STDEV.S(F109:F114)</f>
        <v>1.9407902170679531E-2</v>
      </c>
      <c r="C198" s="8">
        <f>AVERAGE(J109,J112)</f>
        <v>52.847908180439461</v>
      </c>
      <c r="D198" s="8">
        <f>_xlfn.STDEV.S(J109,J112)</f>
        <v>2.8182101237478907</v>
      </c>
      <c r="E198" s="8"/>
      <c r="F198" s="8"/>
      <c r="G198" s="8"/>
      <c r="H198" s="8"/>
      <c r="I198" s="8"/>
      <c r="J198" s="8"/>
      <c r="K198" s="8"/>
      <c r="L198" s="8"/>
      <c r="M198" s="8"/>
    </row>
    <row r="199" spans="1:13" x14ac:dyDescent="0.25">
      <c r="A199" s="8"/>
      <c r="B199" s="8"/>
      <c r="C199" s="8"/>
      <c r="D199" s="8"/>
      <c r="E199" s="8"/>
      <c r="F199" s="8"/>
      <c r="G199" s="8"/>
      <c r="H199" s="8"/>
      <c r="I199" s="8"/>
      <c r="J199" s="8"/>
      <c r="K199" s="8"/>
      <c r="L199" s="8"/>
      <c r="M199" s="8"/>
    </row>
    <row r="200" spans="1:13" x14ac:dyDescent="0.25">
      <c r="A200" s="8"/>
      <c r="B200" s="8"/>
      <c r="C200" s="8"/>
      <c r="D200" s="8"/>
      <c r="E200" s="8"/>
      <c r="F200" s="8"/>
      <c r="G200" s="8"/>
      <c r="H200" s="8"/>
      <c r="I200" s="8"/>
      <c r="J200" s="8"/>
      <c r="K200" s="8"/>
      <c r="L200" s="8"/>
      <c r="M200" s="8"/>
    </row>
    <row r="201" spans="1:13" x14ac:dyDescent="0.25">
      <c r="A201" s="8" t="s">
        <v>258</v>
      </c>
      <c r="B201" s="8"/>
      <c r="C201" s="8"/>
      <c r="D201" s="8"/>
      <c r="E201" s="8"/>
      <c r="F201" s="8"/>
      <c r="G201" s="8"/>
      <c r="H201" s="8"/>
      <c r="I201" s="8"/>
      <c r="J201" s="8"/>
      <c r="K201" s="8"/>
      <c r="L201" s="8"/>
      <c r="M201" s="8"/>
    </row>
    <row r="202" spans="1:13" x14ac:dyDescent="0.25">
      <c r="A202" s="8" t="s">
        <v>252</v>
      </c>
      <c r="B202" s="8"/>
      <c r="C202" s="8"/>
      <c r="D202" s="8"/>
      <c r="E202" s="8"/>
      <c r="F202" s="8"/>
      <c r="G202" s="8"/>
      <c r="H202" s="8"/>
      <c r="I202" s="8"/>
      <c r="J202" s="8"/>
      <c r="K202" s="8"/>
      <c r="L202" s="8"/>
      <c r="M202" s="8"/>
    </row>
    <row r="203" spans="1:13" x14ac:dyDescent="0.25">
      <c r="A203" s="8">
        <f>AVERAGE(F135:F144)</f>
        <v>0.81500000000000006</v>
      </c>
      <c r="B203" s="8">
        <f>_xlfn.STDEV.S(F135:F144)</f>
        <v>2.1730674684008799E-2</v>
      </c>
      <c r="C203" s="8">
        <f>AVERAGE(J135,J139,J142)</f>
        <v>42.815177875567969</v>
      </c>
      <c r="D203" s="8">
        <f>_xlfn.STDEV.S(J135,J139,J142)</f>
        <v>21.898924367939333</v>
      </c>
      <c r="E203" s="8"/>
      <c r="F203" s="8"/>
      <c r="G203" s="8"/>
      <c r="H203" s="8"/>
      <c r="I203" s="8"/>
      <c r="J203" s="8"/>
      <c r="K203" s="8"/>
      <c r="L203" s="8"/>
      <c r="M203" s="8"/>
    </row>
    <row r="204" spans="1:13" x14ac:dyDescent="0.25">
      <c r="A204" s="8">
        <f>AVERAGE(F145:F153)</f>
        <v>0.51777777777777778</v>
      </c>
      <c r="B204" s="8">
        <f>_xlfn.STDEV.S(F145:F153)</f>
        <v>6.1395801521312812E-2</v>
      </c>
      <c r="C204" s="8">
        <f>AVERAGE(J145,J146,J149)</f>
        <v>38.481845907499206</v>
      </c>
      <c r="D204" s="8">
        <f>_xlfn.STDEV.S(J145,J146,J149)</f>
        <v>10.209166534109114</v>
      </c>
      <c r="E204" s="8"/>
      <c r="F204" s="8"/>
      <c r="G204" s="8"/>
      <c r="H204" s="8"/>
      <c r="I204" s="8"/>
      <c r="J204" s="8"/>
      <c r="K204" s="8"/>
      <c r="L204" s="8"/>
      <c r="M204" s="8"/>
    </row>
    <row r="205" spans="1:13" x14ac:dyDescent="0.25">
      <c r="A205" s="8">
        <f>AVERAGE(F154:F161)</f>
        <v>0.65125</v>
      </c>
      <c r="B205" s="8">
        <f>_xlfn.STDEV.S(F154:F161)</f>
        <v>4.9117206760971255E-2</v>
      </c>
      <c r="C205" s="8">
        <f>AVERAGE(J154,J158)</f>
        <v>29.13644130055043</v>
      </c>
      <c r="D205" s="8">
        <f>_xlfn.STDEV.S(J154,J158)</f>
        <v>13.985875334627556</v>
      </c>
      <c r="E205" s="8"/>
      <c r="F205" s="8"/>
      <c r="G205" s="8"/>
      <c r="H205" s="8"/>
      <c r="I205" s="8"/>
      <c r="J205" s="8"/>
      <c r="K205" s="8"/>
      <c r="L205" s="8"/>
      <c r="M205" s="8"/>
    </row>
    <row r="206" spans="1:13" x14ac:dyDescent="0.25">
      <c r="A206" s="29">
        <f>AVERAGE(F162:F170)</f>
        <v>1.5011111111111111</v>
      </c>
      <c r="B206" s="8">
        <f>_xlfn.STDEV.S(F162:F170)</f>
        <v>6.5659052011974015E-2</v>
      </c>
      <c r="C206" s="8">
        <f>AVERAGE(J162,J165,J168)</f>
        <v>71.551173098568583</v>
      </c>
      <c r="D206" s="8">
        <f>_xlfn.STDEV.S(J162,J165,J168)</f>
        <v>39.592988671458087</v>
      </c>
      <c r="E206" s="8"/>
      <c r="F206" s="8"/>
      <c r="G206" s="8"/>
      <c r="H206" s="8"/>
      <c r="I206" s="8"/>
      <c r="J206" s="8"/>
      <c r="K206" s="8"/>
      <c r="L206" s="8"/>
      <c r="M206" s="8"/>
    </row>
    <row r="207" spans="1:13" x14ac:dyDescent="0.25">
      <c r="A207" s="8"/>
      <c r="B207" s="8"/>
      <c r="C207" s="8"/>
      <c r="D207" s="8"/>
      <c r="E207" s="8"/>
      <c r="F207" s="8"/>
      <c r="G207" s="8"/>
      <c r="H207" s="8"/>
      <c r="I207" s="8"/>
      <c r="J207" s="8"/>
      <c r="K207" s="8"/>
      <c r="L207" s="8"/>
      <c r="M207" s="8"/>
    </row>
    <row r="208" spans="1:13" x14ac:dyDescent="0.25">
      <c r="A208" s="8"/>
      <c r="B208" s="8"/>
      <c r="C208" s="8"/>
      <c r="D208" s="8"/>
      <c r="E208" s="8"/>
      <c r="F208" s="8"/>
      <c r="G208" s="8"/>
      <c r="H208" s="8"/>
      <c r="I208" s="8"/>
      <c r="J208" s="8"/>
      <c r="K208" s="8"/>
      <c r="L208" s="8"/>
      <c r="M208" s="8"/>
    </row>
    <row r="209" spans="1:13" x14ac:dyDescent="0.25">
      <c r="A209" s="8"/>
      <c r="B209" s="8"/>
      <c r="C209" s="8"/>
      <c r="D209" s="8"/>
      <c r="E209" s="8"/>
      <c r="F209" s="8"/>
      <c r="G209" s="8"/>
      <c r="H209" s="8"/>
      <c r="I209" s="8"/>
      <c r="J209" s="8"/>
      <c r="K209" s="8"/>
      <c r="L209" s="8"/>
      <c r="M209" s="8"/>
    </row>
    <row r="210" spans="1:13" x14ac:dyDescent="0.25">
      <c r="A210" s="8"/>
      <c r="B210" s="8"/>
      <c r="C210" s="8"/>
      <c r="D210" s="8"/>
      <c r="E210" s="8"/>
      <c r="F210" s="8"/>
      <c r="G210" s="8"/>
      <c r="H210" s="8"/>
      <c r="I210" s="8"/>
      <c r="J210" s="8"/>
      <c r="K210" s="8"/>
      <c r="L210" s="8"/>
      <c r="M210" s="8"/>
    </row>
    <row r="211" spans="1:13" x14ac:dyDescent="0.25">
      <c r="A211" s="8"/>
      <c r="B211" s="8"/>
      <c r="C211" s="8"/>
      <c r="D211" s="8"/>
      <c r="E211" s="8"/>
      <c r="F211" s="8"/>
      <c r="G211" s="8"/>
      <c r="H211" s="8"/>
      <c r="I211" s="8"/>
      <c r="J211" s="8"/>
      <c r="K211" s="8"/>
      <c r="L211" s="8"/>
      <c r="M211" s="8"/>
    </row>
    <row r="212" spans="1:13" x14ac:dyDescent="0.25">
      <c r="A212" s="8">
        <f>AVERAGE(A206,A198,A185)</f>
        <v>1.4946296296296298</v>
      </c>
      <c r="B212" s="8">
        <f>AVERAGE(B206,B198,B185)+_xlfn.STDEV.S(A206,A198,A185)</f>
        <v>6.1468257299118666E-2</v>
      </c>
      <c r="C212" s="8">
        <f>AVERAGE(C206,C198,C185)</f>
        <v>67.876309127793675</v>
      </c>
      <c r="D212" s="8">
        <f>AVERAGE(D206,D198)+_xlfn.STDEV.S(C206,C198,C185)</f>
        <v>34.77505521050665</v>
      </c>
      <c r="E212" s="8"/>
      <c r="F212" s="8"/>
      <c r="G212" s="8"/>
      <c r="H212" s="8"/>
      <c r="I212" s="8"/>
      <c r="J212" s="8"/>
      <c r="K212" s="8"/>
      <c r="L212" s="8"/>
      <c r="M212" s="8"/>
    </row>
    <row r="213" spans="1:13" x14ac:dyDescent="0.25">
      <c r="A213" s="8">
        <f>AVERAGE(A205,A184)</f>
        <v>0.65125</v>
      </c>
      <c r="B213" s="8">
        <f>AVERAGE(B205,B184)+_xlfn.STDEV.S(A205,A184)</f>
        <v>4.9117206760971255E-2</v>
      </c>
      <c r="C213" s="8">
        <f>AVERAGE(C205,C184)</f>
        <v>27.043129263243504</v>
      </c>
      <c r="D213" s="8">
        <f>AVERAGE(D205)</f>
        <v>13.985875334627556</v>
      </c>
      <c r="E213" s="8"/>
      <c r="F213" s="8"/>
      <c r="G213" s="8"/>
      <c r="H213" s="8"/>
      <c r="I213" s="8"/>
      <c r="J213" s="8"/>
      <c r="K213" s="8"/>
      <c r="L213" s="8"/>
      <c r="M213" s="8"/>
    </row>
    <row r="214" spans="1:13" x14ac:dyDescent="0.25">
      <c r="A214" s="8">
        <f>AVERAGE(A204,A183)</f>
        <v>0.51777777777777778</v>
      </c>
      <c r="B214" s="8">
        <f>AVERAGE(B204,B183)</f>
        <v>6.1395801521312812E-2</v>
      </c>
      <c r="C214" s="8">
        <f>AVERAGE(C204,C183)</f>
        <v>37.080351736919418</v>
      </c>
      <c r="D214" s="8">
        <f>D204+_xlfn.STDEV.S(C204,C183)</f>
        <v>12.191178597729882</v>
      </c>
      <c r="E214" s="8"/>
      <c r="F214" s="8"/>
      <c r="G214" s="8"/>
      <c r="H214" s="8"/>
      <c r="I214" s="8"/>
      <c r="J214" s="8"/>
      <c r="K214" s="8"/>
      <c r="L214" s="8"/>
      <c r="M214" s="8"/>
    </row>
    <row r="215" spans="1:13" x14ac:dyDescent="0.25">
      <c r="A215" s="8">
        <f>AVERAGE(A203,A194,A182)</f>
        <v>0.81407407407407406</v>
      </c>
      <c r="B215" s="8">
        <f>_xlfn.STDEV.S(A203,A194,A182)+AVERAGE(B203,B194,B182)</f>
        <v>2.3118150893017941E-2</v>
      </c>
      <c r="C215" s="8">
        <f>AVERAGE(C203,C194,C182)</f>
        <v>38.995251656490041</v>
      </c>
      <c r="D215" s="8">
        <f>AVERAGE(D203,D194)</f>
        <v>14.506145186330743</v>
      </c>
      <c r="E215" s="8"/>
      <c r="F215" s="8"/>
      <c r="G215" s="8"/>
      <c r="H215" s="8"/>
      <c r="I215" s="8"/>
      <c r="J215" s="8"/>
      <c r="K215" s="8"/>
      <c r="L215" s="8"/>
      <c r="M215" s="8"/>
    </row>
    <row r="216" spans="1:13" x14ac:dyDescent="0.25">
      <c r="A216" s="8">
        <f>AVERAGE(A197,A196)</f>
        <v>0.59333333333333338</v>
      </c>
      <c r="B216" s="8">
        <f>AVERAGE(B197,B196)+_xlfn.STDEV.S(A197,A196)</f>
        <v>7.333296231104619E-2</v>
      </c>
      <c r="C216" s="8">
        <f>AVERAGE(C197,C196)</f>
        <v>40.550489011149814</v>
      </c>
      <c r="D216" s="8">
        <f>AVERAGE(_xlfn.STDEV.S(C197,C196),D196)</f>
        <v>16.52116104311121</v>
      </c>
      <c r="E216" s="8"/>
      <c r="F216" s="8"/>
      <c r="G216" s="8"/>
      <c r="H216" s="8"/>
      <c r="I216" s="8"/>
      <c r="J216" s="8"/>
      <c r="K216" s="8"/>
      <c r="L216" s="8"/>
      <c r="M216" s="8"/>
    </row>
    <row r="217" spans="1:13" x14ac:dyDescent="0.25">
      <c r="A217" s="8"/>
      <c r="B217" s="8"/>
      <c r="C217" s="8"/>
      <c r="D217" s="8"/>
      <c r="E217" s="8"/>
      <c r="F217" s="8"/>
      <c r="G217" s="8"/>
      <c r="H217" s="8"/>
      <c r="I217" s="8"/>
      <c r="J217" s="8"/>
      <c r="K217" s="8"/>
      <c r="L217" s="8"/>
      <c r="M217" s="8"/>
    </row>
    <row r="218" spans="1:13" x14ac:dyDescent="0.25">
      <c r="A218" s="8"/>
      <c r="B218" s="8"/>
      <c r="C218" s="8"/>
      <c r="D218" s="8"/>
      <c r="E218" s="8"/>
      <c r="F218" s="8"/>
      <c r="G218" s="8"/>
      <c r="H218" s="8"/>
      <c r="I218" s="8"/>
      <c r="J218" s="8"/>
      <c r="K218" s="8"/>
      <c r="L218" s="8"/>
      <c r="M218" s="8"/>
    </row>
    <row r="219" spans="1:13" x14ac:dyDescent="0.25">
      <c r="A219" s="8" t="s">
        <v>252</v>
      </c>
      <c r="B219" s="8"/>
      <c r="C219" s="8"/>
      <c r="D219" s="8"/>
      <c r="E219" s="8"/>
      <c r="F219" s="8"/>
      <c r="G219" s="8"/>
      <c r="H219" s="8"/>
      <c r="I219" s="8"/>
      <c r="J219" s="8"/>
      <c r="K219" s="8"/>
      <c r="L219" s="8"/>
      <c r="M219" s="8"/>
    </row>
    <row r="220" spans="1:13" x14ac:dyDescent="0.25">
      <c r="A220" s="8">
        <f>A214</f>
        <v>0.51777777777777778</v>
      </c>
      <c r="B220" s="8">
        <f t="shared" ref="B220:D220" si="109">B214</f>
        <v>6.1395801521312812E-2</v>
      </c>
      <c r="C220" s="8">
        <f t="shared" si="109"/>
        <v>37.080351736919418</v>
      </c>
      <c r="D220" s="8">
        <f t="shared" si="109"/>
        <v>12.191178597729882</v>
      </c>
      <c r="E220" s="8"/>
      <c r="F220" s="8"/>
      <c r="G220" s="8"/>
      <c r="H220" s="8"/>
      <c r="I220" s="8"/>
      <c r="J220" s="8"/>
      <c r="K220" s="8"/>
      <c r="L220" s="8"/>
      <c r="M220" s="8"/>
    </row>
    <row r="221" spans="1:13" x14ac:dyDescent="0.25">
      <c r="A221" s="8">
        <f>A216</f>
        <v>0.59333333333333338</v>
      </c>
      <c r="B221" s="8">
        <f t="shared" ref="B221:D221" si="110">B216</f>
        <v>7.333296231104619E-2</v>
      </c>
      <c r="C221" s="8">
        <f t="shared" si="110"/>
        <v>40.550489011149814</v>
      </c>
      <c r="D221" s="8">
        <f t="shared" si="110"/>
        <v>16.52116104311121</v>
      </c>
      <c r="E221" s="8"/>
      <c r="F221" s="8"/>
      <c r="G221" s="8"/>
      <c r="H221" s="8"/>
      <c r="I221" s="8"/>
      <c r="J221" s="8"/>
      <c r="K221" s="8"/>
      <c r="L221" s="8"/>
      <c r="M221" s="8"/>
    </row>
    <row r="222" spans="1:13" x14ac:dyDescent="0.25">
      <c r="A222" s="8">
        <f>A213</f>
        <v>0.65125</v>
      </c>
      <c r="B222" s="8">
        <f t="shared" ref="B222:D222" si="111">B213</f>
        <v>4.9117206760971255E-2</v>
      </c>
      <c r="C222" s="8">
        <f t="shared" si="111"/>
        <v>27.043129263243504</v>
      </c>
      <c r="D222" s="8">
        <f t="shared" si="111"/>
        <v>13.985875334627556</v>
      </c>
      <c r="E222" s="8"/>
      <c r="F222" s="8"/>
      <c r="G222" s="8"/>
      <c r="H222" s="8"/>
      <c r="I222" s="8"/>
      <c r="J222" s="8"/>
      <c r="K222" s="8"/>
      <c r="L222" s="8"/>
      <c r="M222" s="8"/>
    </row>
    <row r="223" spans="1:13" x14ac:dyDescent="0.25">
      <c r="A223" s="8">
        <f>A215</f>
        <v>0.81407407407407406</v>
      </c>
      <c r="B223" s="8">
        <f t="shared" ref="B223:D223" si="112">B215</f>
        <v>2.3118150893017941E-2</v>
      </c>
      <c r="C223" s="8">
        <f t="shared" si="112"/>
        <v>38.995251656490041</v>
      </c>
      <c r="D223" s="8">
        <f t="shared" si="112"/>
        <v>14.506145186330743</v>
      </c>
      <c r="E223" s="8"/>
      <c r="F223" s="8"/>
      <c r="G223" s="8"/>
      <c r="H223" s="8"/>
      <c r="I223" s="8"/>
      <c r="J223" s="8"/>
      <c r="K223" s="8"/>
      <c r="L223" s="8"/>
      <c r="M223" s="8"/>
    </row>
    <row r="224" spans="1:13" x14ac:dyDescent="0.25">
      <c r="A224" s="8">
        <f>A212</f>
        <v>1.4946296296296298</v>
      </c>
      <c r="B224" s="8">
        <f t="shared" ref="B224:D224" si="113">B212</f>
        <v>6.1468257299118666E-2</v>
      </c>
      <c r="C224" s="8">
        <f t="shared" si="113"/>
        <v>67.876309127793675</v>
      </c>
      <c r="D224" s="8">
        <f t="shared" si="113"/>
        <v>34.77505521050665</v>
      </c>
      <c r="E224" s="8"/>
      <c r="F224" s="8"/>
      <c r="G224" s="8"/>
      <c r="H224" s="8"/>
      <c r="I224" s="8"/>
      <c r="J224" s="8"/>
      <c r="K224" s="8"/>
      <c r="L224" s="8"/>
      <c r="M224" s="8"/>
    </row>
    <row r="225" spans="1:13" x14ac:dyDescent="0.25">
      <c r="A225" s="8"/>
      <c r="B225" s="8"/>
      <c r="C225" s="8"/>
      <c r="D225" s="8"/>
      <c r="E225" s="8"/>
      <c r="F225" s="8"/>
      <c r="G225" s="8"/>
      <c r="H225" s="8"/>
      <c r="I225" s="8"/>
      <c r="J225" s="8"/>
      <c r="K225" s="8"/>
      <c r="L225" s="8"/>
      <c r="M225" s="8"/>
    </row>
    <row r="226" spans="1:13" x14ac:dyDescent="0.25">
      <c r="A226" s="8"/>
      <c r="B226" s="8"/>
      <c r="C226" s="8"/>
      <c r="D226" s="8"/>
      <c r="E226" s="8"/>
      <c r="F226" s="8"/>
      <c r="G226" s="8"/>
      <c r="H226" s="8"/>
      <c r="I226" s="8"/>
      <c r="J226" s="8"/>
      <c r="K226" s="8"/>
      <c r="L226" s="8"/>
      <c r="M226" s="8"/>
    </row>
    <row r="227" spans="1:13" x14ac:dyDescent="0.25">
      <c r="A227" s="8"/>
      <c r="B227" s="8"/>
      <c r="C227" s="8"/>
      <c r="D227" s="8"/>
      <c r="E227" s="8"/>
      <c r="F227" s="8"/>
      <c r="G227" s="8"/>
      <c r="H227" s="8"/>
      <c r="I227" s="8"/>
      <c r="J227" s="8"/>
      <c r="K227" s="8"/>
      <c r="L227" s="8"/>
      <c r="M227" s="8"/>
    </row>
    <row r="228" spans="1:13" x14ac:dyDescent="0.25">
      <c r="A228" s="8"/>
      <c r="B228" s="8"/>
      <c r="C228" s="8"/>
      <c r="D228" s="8"/>
      <c r="E228" s="8"/>
      <c r="F228" s="8"/>
      <c r="G228" s="8"/>
      <c r="H228" s="8"/>
      <c r="I228" s="8"/>
      <c r="J228" s="8"/>
      <c r="K228" s="8"/>
      <c r="L228" s="8"/>
      <c r="M228" s="8"/>
    </row>
    <row r="229" spans="1:13" x14ac:dyDescent="0.25">
      <c r="A229" s="8"/>
      <c r="B229" s="8"/>
      <c r="C229" s="8"/>
      <c r="D229" s="8"/>
      <c r="E229" s="8"/>
      <c r="F229" s="8"/>
      <c r="G229" s="8"/>
      <c r="H229" s="8"/>
      <c r="I229" s="8"/>
      <c r="J229" s="8"/>
      <c r="K229" s="8"/>
      <c r="L229" s="8"/>
      <c r="M229" s="8"/>
    </row>
    <row r="230" spans="1:13" x14ac:dyDescent="0.25">
      <c r="A230" s="8" t="s">
        <v>259</v>
      </c>
      <c r="B230" s="8"/>
      <c r="C230" s="8"/>
      <c r="D230" s="8"/>
      <c r="E230" s="8"/>
      <c r="F230" s="8"/>
      <c r="G230" s="8"/>
      <c r="H230" s="8"/>
      <c r="I230" s="8"/>
      <c r="J230" s="8"/>
      <c r="K230" s="8"/>
      <c r="L230" s="8"/>
      <c r="M230" s="8"/>
    </row>
    <row r="231" spans="1:13" x14ac:dyDescent="0.25">
      <c r="A231" s="8"/>
      <c r="B231" s="8"/>
      <c r="C231" s="8"/>
      <c r="D231" s="8"/>
      <c r="E231" s="8"/>
      <c r="F231" s="8"/>
      <c r="G231" s="8"/>
      <c r="H231" s="8"/>
      <c r="I231" s="8"/>
      <c r="J231" s="8"/>
      <c r="K231" s="8"/>
      <c r="L231" s="8"/>
      <c r="M231" s="8"/>
    </row>
    <row r="232" spans="1:13" x14ac:dyDescent="0.25">
      <c r="A232" s="8" t="s">
        <v>260</v>
      </c>
      <c r="B232" s="8"/>
      <c r="C232" s="8"/>
      <c r="D232" s="8"/>
      <c r="E232" s="8"/>
      <c r="F232" s="8"/>
      <c r="G232" s="8"/>
      <c r="H232" s="8"/>
      <c r="I232" s="8"/>
      <c r="J232" s="8"/>
      <c r="K232" s="8"/>
      <c r="L232" s="8"/>
      <c r="M232" s="8"/>
    </row>
    <row r="233" spans="1:13" x14ac:dyDescent="0.25">
      <c r="A233" s="8" t="s">
        <v>233</v>
      </c>
      <c r="B233" s="8"/>
      <c r="C233" s="8"/>
      <c r="D233" s="8"/>
      <c r="E233" s="8"/>
      <c r="F233" s="8"/>
      <c r="G233" s="8"/>
      <c r="H233" s="8"/>
      <c r="I233" s="8"/>
      <c r="J233" s="8"/>
      <c r="K233" s="8"/>
      <c r="L233" s="8"/>
      <c r="M233" s="8"/>
    </row>
    <row r="234" spans="1:13" x14ac:dyDescent="0.25">
      <c r="A234" s="8">
        <f>AVERAGE(J135,J145,J154,J162)</f>
        <v>26.241787077457531</v>
      </c>
      <c r="B234" s="8">
        <f>_xlfn.STDEV.S(J135,J145,J154,J162)</f>
        <v>8.5972461299518965</v>
      </c>
      <c r="C234" s="8">
        <f>12</f>
        <v>12</v>
      </c>
      <c r="D234" s="8">
        <f>A234</f>
        <v>26.241787077457531</v>
      </c>
      <c r="E234" s="8">
        <f>B234</f>
        <v>8.5972461299518965</v>
      </c>
      <c r="F234" s="8"/>
      <c r="G234" s="8"/>
      <c r="H234" s="8"/>
      <c r="I234" s="8"/>
      <c r="J234" s="8"/>
      <c r="K234" s="8"/>
      <c r="L234" s="8"/>
      <c r="M234" s="8"/>
    </row>
    <row r="235" spans="1:13" x14ac:dyDescent="0.25">
      <c r="A235" s="8"/>
      <c r="B235" s="8"/>
      <c r="C235" s="8">
        <f>27</f>
        <v>27</v>
      </c>
      <c r="D235" s="8">
        <f>A237</f>
        <v>52.491294892355668</v>
      </c>
      <c r="E235" s="8">
        <f>B237</f>
        <v>14.323341654043272</v>
      </c>
      <c r="F235" s="8"/>
      <c r="G235" s="8"/>
      <c r="H235" s="8"/>
      <c r="I235" s="8"/>
      <c r="J235" s="8"/>
      <c r="K235" s="8"/>
      <c r="L235" s="8"/>
      <c r="M235" s="8"/>
    </row>
    <row r="236" spans="1:13" x14ac:dyDescent="0.25">
      <c r="A236" s="8" t="s">
        <v>261</v>
      </c>
      <c r="B236" s="8"/>
      <c r="C236" s="8">
        <f>42</f>
        <v>42</v>
      </c>
      <c r="D236" s="8">
        <f>A240</f>
        <v>58.315180276618122</v>
      </c>
      <c r="E236" s="8">
        <f>B240</f>
        <v>37.707864867818657</v>
      </c>
      <c r="F236" s="8"/>
      <c r="G236" s="8"/>
      <c r="H236" s="8"/>
      <c r="I236" s="8"/>
      <c r="J236" s="8"/>
      <c r="K236" s="8"/>
      <c r="L236" s="8"/>
      <c r="M236" s="8"/>
    </row>
    <row r="237" spans="1:13" x14ac:dyDescent="0.25">
      <c r="A237" s="8">
        <f>AVERAGE(J139,J146,J158,J165)</f>
        <v>52.491294892355668</v>
      </c>
      <c r="B237" s="8">
        <f>_xlfn.STDEV.S(J139,J146,J158,J165)</f>
        <v>14.323341654043272</v>
      </c>
      <c r="C237" s="8"/>
      <c r="D237" s="8"/>
      <c r="E237" s="8"/>
      <c r="F237" s="8"/>
      <c r="G237" s="8"/>
      <c r="H237" s="8"/>
      <c r="I237" s="8"/>
      <c r="J237" s="8"/>
      <c r="K237" s="8"/>
      <c r="L237" s="8"/>
      <c r="M237" s="8"/>
    </row>
    <row r="238" spans="1:13" x14ac:dyDescent="0.25">
      <c r="A238" s="8"/>
      <c r="B238" s="8"/>
      <c r="C238" s="8"/>
      <c r="D238" s="8"/>
      <c r="E238" s="8"/>
      <c r="F238" s="8"/>
      <c r="G238" s="8"/>
      <c r="H238" s="8"/>
      <c r="I238" s="8"/>
      <c r="J238" s="8"/>
      <c r="K238" s="8"/>
      <c r="L238" s="8"/>
      <c r="M238" s="8"/>
    </row>
    <row r="239" spans="1:13" x14ac:dyDescent="0.25">
      <c r="A239" s="8" t="s">
        <v>262</v>
      </c>
      <c r="B239" s="8"/>
      <c r="C239" s="8"/>
      <c r="D239" s="8"/>
      <c r="E239" s="8"/>
      <c r="F239" s="8"/>
      <c r="G239" s="8"/>
      <c r="H239" s="8"/>
      <c r="I239" s="8"/>
      <c r="J239" s="8"/>
      <c r="K239" s="8"/>
      <c r="L239" s="8"/>
      <c r="M239" s="8"/>
    </row>
    <row r="240" spans="1:13" x14ac:dyDescent="0.25">
      <c r="A240" s="8">
        <f>AVERAGE(J168,J162,J149,J142)</f>
        <v>58.315180276618122</v>
      </c>
      <c r="B240" s="8">
        <f>_xlfn.STDEV.S(J168,J162,J149,J142)</f>
        <v>37.707864867818657</v>
      </c>
      <c r="C240" s="8"/>
      <c r="D240" s="8"/>
      <c r="E240" s="8"/>
      <c r="F240" s="8"/>
      <c r="G240" s="8"/>
      <c r="H240" s="8"/>
      <c r="I240" s="8"/>
      <c r="J240" s="8"/>
      <c r="K240" s="8"/>
      <c r="L240" s="8"/>
      <c r="M240" s="8"/>
    </row>
    <row r="241" spans="1:17" x14ac:dyDescent="0.25">
      <c r="A241" s="8"/>
      <c r="B241" s="8"/>
      <c r="C241" s="8"/>
      <c r="D241" s="8"/>
      <c r="E241" s="8"/>
      <c r="F241" s="8"/>
      <c r="G241" s="8"/>
      <c r="H241" s="8"/>
      <c r="I241" s="8"/>
      <c r="J241" s="8"/>
      <c r="K241" s="8"/>
      <c r="L241" s="8"/>
      <c r="M241" s="8"/>
    </row>
    <row r="242" spans="1:17" x14ac:dyDescent="0.25">
      <c r="A242" s="8"/>
      <c r="B242" s="8"/>
      <c r="C242" s="8"/>
      <c r="D242" s="8"/>
      <c r="E242" s="8"/>
      <c r="F242" s="8"/>
      <c r="G242" s="8"/>
      <c r="H242" s="8"/>
      <c r="I242" s="8"/>
      <c r="J242" s="8"/>
      <c r="K242" s="8"/>
      <c r="L242" s="8"/>
      <c r="M242" s="8"/>
    </row>
    <row r="243" spans="1:17" x14ac:dyDescent="0.25">
      <c r="A243" s="8"/>
      <c r="B243" s="8"/>
      <c r="C243" s="8"/>
      <c r="D243" s="8"/>
      <c r="E243" s="8"/>
      <c r="F243" s="8"/>
      <c r="G243" s="8"/>
      <c r="H243" s="8"/>
      <c r="I243" s="8"/>
      <c r="J243" s="8"/>
      <c r="K243" s="8"/>
      <c r="L243" s="8"/>
      <c r="M243" s="8"/>
    </row>
    <row r="244" spans="1:17" x14ac:dyDescent="0.25">
      <c r="A244" s="8" t="s">
        <v>263</v>
      </c>
      <c r="B244" s="8"/>
      <c r="C244" s="8"/>
      <c r="D244" s="8"/>
      <c r="E244" s="8"/>
      <c r="F244" s="8"/>
      <c r="G244" s="8"/>
      <c r="H244" s="8"/>
      <c r="K244" s="8"/>
    </row>
    <row r="245" spans="1:17" x14ac:dyDescent="0.25">
      <c r="A245" s="8" t="str">
        <f>A1</f>
        <v>sample files from polar</v>
      </c>
      <c r="B245" s="8" t="str">
        <f t="shared" ref="B245:Q245" si="114">B1</f>
        <v>sample number</v>
      </c>
      <c r="C245" s="8" t="str">
        <f t="shared" si="114"/>
        <v>Distance from injection point</v>
      </c>
      <c r="D245" s="8" t="str">
        <f t="shared" si="114"/>
        <v>core fraction</v>
      </c>
      <c r="E245" s="8" t="str">
        <f t="shared" si="114"/>
        <v>skin fraction</v>
      </c>
      <c r="F245" s="8" t="str">
        <f t="shared" si="114"/>
        <v>thickness</v>
      </c>
      <c r="G245" s="8" t="str">
        <f t="shared" si="114"/>
        <v>annealing time</v>
      </c>
      <c r="H245" s="8" t="str">
        <f t="shared" si="114"/>
        <v>cooling</v>
      </c>
      <c r="I245" s="8" t="str">
        <f t="shared" si="114"/>
        <v>b</v>
      </c>
      <c r="J245" s="8" t="s">
        <v>215</v>
      </c>
      <c r="K245" s="8" t="s">
        <v>236</v>
      </c>
      <c r="L245" s="8" t="s">
        <v>264</v>
      </c>
      <c r="M245" s="8" t="s">
        <v>265</v>
      </c>
      <c r="N245" s="8" t="s">
        <v>266</v>
      </c>
      <c r="O245" s="8" t="str">
        <f t="shared" si="114"/>
        <v>at different distances</v>
      </c>
      <c r="P245" s="8" t="str">
        <f t="shared" si="114"/>
        <v>PSI OPTIMAL 12MM</v>
      </c>
      <c r="Q245" s="8" t="str">
        <f t="shared" si="114"/>
        <v>z</v>
      </c>
    </row>
    <row r="246" spans="1:17" x14ac:dyDescent="0.25">
      <c r="A246" s="8" t="str">
        <f t="shared" ref="A246:Q246" si="115">A2</f>
        <v>462 (2)</v>
      </c>
      <c r="B246" s="8">
        <f t="shared" si="115"/>
        <v>2</v>
      </c>
      <c r="C246" s="8">
        <f t="shared" si="115"/>
        <v>12</v>
      </c>
      <c r="D246" s="8">
        <f t="shared" si="115"/>
        <v>0.39285714285714285</v>
      </c>
      <c r="E246" s="8">
        <f t="shared" si="115"/>
        <v>0.60714285714285721</v>
      </c>
      <c r="F246" s="8">
        <f t="shared" si="115"/>
        <v>0.84</v>
      </c>
      <c r="G246" s="8">
        <f t="shared" si="115"/>
        <v>0</v>
      </c>
      <c r="H246" s="8">
        <f t="shared" si="115"/>
        <v>0</v>
      </c>
      <c r="I246" s="8">
        <f t="shared" si="115"/>
        <v>0.42</v>
      </c>
      <c r="J246" s="8">
        <v>21.661949672089747</v>
      </c>
      <c r="K246" s="1">
        <f>-C246/($J$246*SQRT(2)) + (I246/(2*$J$246))*(2*(C246/I246)^2 +4*$J$246^2)^0.5</f>
        <v>0.18260297309344442</v>
      </c>
      <c r="L246" s="8">
        <f>(K246/I246 -D246)^2</f>
        <v>1.7566023907512949E-3</v>
      </c>
      <c r="M246" s="8"/>
      <c r="N246" s="8"/>
      <c r="O246" s="8">
        <f t="shared" si="115"/>
        <v>0</v>
      </c>
      <c r="P246" s="8">
        <f t="shared" si="115"/>
        <v>21.66828858019565</v>
      </c>
      <c r="Q246" s="8">
        <f t="shared" si="115"/>
        <v>0.18263941389244792</v>
      </c>
    </row>
    <row r="247" spans="1:17" x14ac:dyDescent="0.25">
      <c r="A247" s="8" t="str">
        <f t="shared" ref="A247:Q247" si="116">A3</f>
        <v>442 (3)</v>
      </c>
      <c r="B247" s="8">
        <f t="shared" si="116"/>
        <v>3</v>
      </c>
      <c r="C247" s="8">
        <f t="shared" si="116"/>
        <v>12</v>
      </c>
      <c r="D247" s="8">
        <f t="shared" si="116"/>
        <v>0.59756097560975607</v>
      </c>
      <c r="E247" s="8">
        <f t="shared" si="116"/>
        <v>0.40243902439024393</v>
      </c>
      <c r="F247" s="8">
        <f t="shared" si="116"/>
        <v>0.82</v>
      </c>
      <c r="G247" s="8">
        <f t="shared" si="116"/>
        <v>60</v>
      </c>
      <c r="H247" s="8">
        <f t="shared" si="116"/>
        <v>0</v>
      </c>
      <c r="I247" s="8">
        <f t="shared" si="116"/>
        <v>0.41</v>
      </c>
      <c r="J247" s="8">
        <v>42.9237455502968</v>
      </c>
      <c r="K247" s="30">
        <f>-C247/($J$247*SQRT(2)) + (I247/(2*$J$247))*(2*(C247/I247)^2 +4*$J$247^2)^0.5</f>
        <v>0.25748590212557609</v>
      </c>
      <c r="L247" s="8"/>
      <c r="M247" s="8">
        <f>(K247/I247 -D247)^2</f>
        <v>9.2741077864049164E-4</v>
      </c>
      <c r="N247" s="8"/>
      <c r="O247" s="8">
        <f t="shared" si="116"/>
        <v>0</v>
      </c>
      <c r="P247" s="8">
        <f t="shared" si="116"/>
        <v>0</v>
      </c>
      <c r="Q247" s="8">
        <f t="shared" si="116"/>
        <v>0.17536639296367657</v>
      </c>
    </row>
    <row r="248" spans="1:17" x14ac:dyDescent="0.25">
      <c r="A248" s="8" t="str">
        <f t="shared" ref="A248:Q248" si="117">A4</f>
        <v>453 (4)</v>
      </c>
      <c r="B248" s="8">
        <f t="shared" si="117"/>
        <v>4</v>
      </c>
      <c r="C248" s="8">
        <f t="shared" si="117"/>
        <v>12</v>
      </c>
      <c r="D248" s="8">
        <f t="shared" si="117"/>
        <v>0.5662650602409639</v>
      </c>
      <c r="E248" s="8">
        <f t="shared" si="117"/>
        <v>0.43373493975903615</v>
      </c>
      <c r="F248" s="8">
        <f t="shared" si="117"/>
        <v>0.83</v>
      </c>
      <c r="G248" s="8">
        <f t="shared" si="117"/>
        <v>30</v>
      </c>
      <c r="H248" s="8">
        <f t="shared" si="117"/>
        <v>0</v>
      </c>
      <c r="I248" s="8">
        <f t="shared" si="117"/>
        <v>0.41499999999999998</v>
      </c>
      <c r="J248" s="8">
        <v>30.938570250313646</v>
      </c>
      <c r="K248" s="8">
        <f>-C248/($J$248*SQRT(2)) + (I248/(2*$J$248))*(2*(C248/I248)^2 +4*$J$248^2)^0.5</f>
        <v>0.22317597651286714</v>
      </c>
      <c r="L248" s="8"/>
      <c r="M248" s="8"/>
      <c r="N248" s="8">
        <f t="shared" ref="N248:N280" si="118">(K248/I248 -D248)^2</f>
        <v>8.11772573228452E-4</v>
      </c>
      <c r="O248" s="8">
        <f t="shared" si="117"/>
        <v>0</v>
      </c>
      <c r="P248" s="8">
        <f t="shared" si="117"/>
        <v>0</v>
      </c>
      <c r="Q248" s="8">
        <f t="shared" si="117"/>
        <v>0.1789925845902926</v>
      </c>
    </row>
    <row r="249" spans="1:17" x14ac:dyDescent="0.25">
      <c r="A249" s="8" t="str">
        <f t="shared" ref="A249:Q249" si="119">A5</f>
        <v>639 (5)</v>
      </c>
      <c r="B249" s="8">
        <f t="shared" si="119"/>
        <v>5</v>
      </c>
      <c r="C249" s="8">
        <f t="shared" si="119"/>
        <v>12</v>
      </c>
      <c r="D249" s="8">
        <f t="shared" si="119"/>
        <v>0.2978723404255319</v>
      </c>
      <c r="E249" s="8">
        <f t="shared" si="119"/>
        <v>0.7021276595744681</v>
      </c>
      <c r="F249" s="8">
        <f t="shared" si="119"/>
        <v>0.47</v>
      </c>
      <c r="G249" s="8">
        <f t="shared" si="119"/>
        <v>0</v>
      </c>
      <c r="H249" s="8">
        <f t="shared" si="119"/>
        <v>0</v>
      </c>
      <c r="I249" s="8">
        <f t="shared" si="119"/>
        <v>0.23499999999999999</v>
      </c>
      <c r="J249" s="8">
        <f t="shared" si="119"/>
        <v>0</v>
      </c>
      <c r="K249" s="1">
        <f>-C249/($J$246*SQRT(2)) + (I249/(2*$J$246))*(2*(C249/I249)^2 +4*$J$246^2)^0.5</f>
        <v>6.5084536931489245E-2</v>
      </c>
      <c r="L249" s="8">
        <f>(K249/I249 -D249)^2</f>
        <v>4.3751520466986095E-4</v>
      </c>
      <c r="M249" s="8"/>
      <c r="N249" s="8"/>
      <c r="O249" s="8">
        <f t="shared" si="119"/>
        <v>0</v>
      </c>
      <c r="P249" s="8">
        <f t="shared" si="119"/>
        <v>0</v>
      </c>
      <c r="Q249" s="8">
        <f t="shared" si="119"/>
        <v>6.5100867947129604E-2</v>
      </c>
    </row>
    <row r="250" spans="1:17" x14ac:dyDescent="0.25">
      <c r="A250" s="8" t="str">
        <f t="shared" ref="A250:Q250" si="120">A6</f>
        <v>514 (8)</v>
      </c>
      <c r="B250" s="8">
        <f t="shared" si="120"/>
        <v>8</v>
      </c>
      <c r="C250" s="8">
        <f t="shared" si="120"/>
        <v>12</v>
      </c>
      <c r="D250" s="8">
        <f t="shared" si="120"/>
        <v>0.36666666666666664</v>
      </c>
      <c r="E250" s="8">
        <f t="shared" si="120"/>
        <v>0.6333333333333333</v>
      </c>
      <c r="F250" s="8">
        <f t="shared" si="120"/>
        <v>0.6</v>
      </c>
      <c r="G250" s="8">
        <f t="shared" si="120"/>
        <v>0</v>
      </c>
      <c r="H250" s="8">
        <f t="shared" si="120"/>
        <v>0</v>
      </c>
      <c r="I250" s="8">
        <f t="shared" si="120"/>
        <v>0.3</v>
      </c>
      <c r="J250" s="8">
        <f t="shared" si="120"/>
        <v>0</v>
      </c>
      <c r="K250" s="1">
        <f t="shared" ref="K250" si="121">-C250/($J$246*SQRT(2)) + (I250/(2*$J$246))*(2*(C250/I250)^2 +4*$J$246^2)^0.5</f>
        <v>0.10168232036954816</v>
      </c>
      <c r="L250" s="8">
        <f>(K250/I250 -D250)^2</f>
        <v>7.6870882705370319E-4</v>
      </c>
      <c r="M250" s="8"/>
      <c r="N250" s="8"/>
      <c r="O250" s="8">
        <f t="shared" si="120"/>
        <v>0</v>
      </c>
      <c r="P250" s="8">
        <f t="shared" si="120"/>
        <v>0</v>
      </c>
      <c r="Q250" s="8">
        <f t="shared" si="120"/>
        <v>0.10170594140224548</v>
      </c>
    </row>
    <row r="251" spans="1:17" x14ac:dyDescent="0.25">
      <c r="A251" s="8" t="str">
        <f t="shared" ref="A251:Q251" si="122">A7</f>
        <v>517 (9)</v>
      </c>
      <c r="B251" s="8">
        <f t="shared" si="122"/>
        <v>9</v>
      </c>
      <c r="C251" s="8">
        <f t="shared" si="122"/>
        <v>12</v>
      </c>
      <c r="D251" s="8">
        <f t="shared" si="122"/>
        <v>0.56666666666666665</v>
      </c>
      <c r="E251" s="8">
        <f t="shared" si="122"/>
        <v>0.43333333333333335</v>
      </c>
      <c r="F251" s="8">
        <f t="shared" si="122"/>
        <v>0.6</v>
      </c>
      <c r="G251" s="8">
        <f t="shared" si="122"/>
        <v>60</v>
      </c>
      <c r="H251" s="8">
        <f t="shared" si="122"/>
        <v>1</v>
      </c>
      <c r="I251" s="8">
        <f t="shared" si="122"/>
        <v>0.3</v>
      </c>
      <c r="J251" s="8">
        <f t="shared" si="122"/>
        <v>0</v>
      </c>
      <c r="K251" s="30">
        <f>-C251/($J$247*SQRT(2)) + (I251/(2*$J$247))*(2*(C251/I251)^2 +4*$J$247^2)^0.5</f>
        <v>0.16159220024635815</v>
      </c>
      <c r="L251" s="8"/>
      <c r="M251" s="8">
        <f t="shared" ref="M251:M281" si="123">(K251/I251 -D251)^2</f>
        <v>7.8545662997044042E-4</v>
      </c>
      <c r="N251" s="8"/>
      <c r="O251" s="8">
        <f t="shared" si="122"/>
        <v>0</v>
      </c>
      <c r="P251" s="8">
        <f t="shared" si="122"/>
        <v>0</v>
      </c>
      <c r="Q251" s="8">
        <f t="shared" si="122"/>
        <v>0.10170594140224548</v>
      </c>
    </row>
    <row r="252" spans="1:17" x14ac:dyDescent="0.25">
      <c r="A252" s="8" t="str">
        <f t="shared" ref="A252:Q252" si="124">A8</f>
        <v>520 (10)</v>
      </c>
      <c r="B252" s="8">
        <f t="shared" si="124"/>
        <v>10</v>
      </c>
      <c r="C252" s="8">
        <f t="shared" si="124"/>
        <v>12</v>
      </c>
      <c r="D252" s="8">
        <f t="shared" si="124"/>
        <v>0.41176470588235292</v>
      </c>
      <c r="E252" s="8">
        <f t="shared" si="124"/>
        <v>0.58823529411764708</v>
      </c>
      <c r="F252" s="8">
        <f t="shared" si="124"/>
        <v>0.68</v>
      </c>
      <c r="G252" s="8">
        <f t="shared" si="124"/>
        <v>30</v>
      </c>
      <c r="H252" s="8">
        <f t="shared" si="124"/>
        <v>0</v>
      </c>
      <c r="I252" s="8">
        <f t="shared" si="124"/>
        <v>0.34</v>
      </c>
      <c r="J252" s="8">
        <f t="shared" si="124"/>
        <v>0</v>
      </c>
      <c r="K252" s="8">
        <f>-C252/($J$248*SQRT(2)) + (I252/(2*$J$248))*(2*(C252/I252)^2 +4*$J$248^2)^0.5</f>
        <v>0.162566992588971</v>
      </c>
      <c r="L252" s="8"/>
      <c r="M252" s="8"/>
      <c r="N252" s="8">
        <f t="shared" si="118"/>
        <v>4.4054425130680957E-3</v>
      </c>
      <c r="O252" s="8">
        <f t="shared" si="124"/>
        <v>0</v>
      </c>
      <c r="P252" s="8">
        <f t="shared" si="124"/>
        <v>0</v>
      </c>
      <c r="Q252" s="8">
        <f t="shared" si="124"/>
        <v>0.12700466594264342</v>
      </c>
    </row>
    <row r="253" spans="1:17" x14ac:dyDescent="0.25">
      <c r="A253" s="8" t="str">
        <f t="shared" ref="A253:Q253" si="125">A9</f>
        <v>584 (11)</v>
      </c>
      <c r="B253" s="8">
        <f t="shared" si="125"/>
        <v>11</v>
      </c>
      <c r="C253" s="8">
        <f t="shared" si="125"/>
        <v>12</v>
      </c>
      <c r="D253" s="8">
        <f t="shared" si="125"/>
        <v>0.74149659863945583</v>
      </c>
      <c r="E253" s="8">
        <f t="shared" si="125"/>
        <v>0.25850340136054423</v>
      </c>
      <c r="F253" s="8">
        <f t="shared" si="125"/>
        <v>1.47</v>
      </c>
      <c r="G253" s="8">
        <f t="shared" si="125"/>
        <v>30</v>
      </c>
      <c r="H253" s="8">
        <f t="shared" si="125"/>
        <v>0</v>
      </c>
      <c r="I253" s="8">
        <f t="shared" si="125"/>
        <v>0.73499999999999999</v>
      </c>
      <c r="J253" s="8">
        <f t="shared" si="125"/>
        <v>0</v>
      </c>
      <c r="K253" s="8">
        <f>-C253/($J$248*SQRT(2)) + (I253/(2*$J$248))*(2*(C253/I253)^2 +4*$J$248^2)^0.5</f>
        <v>0.51024064912908695</v>
      </c>
      <c r="L253" s="8"/>
      <c r="M253" s="8"/>
      <c r="N253" s="8">
        <f t="shared" si="118"/>
        <v>2.2364986310652881E-3</v>
      </c>
      <c r="O253" s="8">
        <f t="shared" si="125"/>
        <v>0</v>
      </c>
      <c r="P253" s="8">
        <f t="shared" si="125"/>
        <v>0</v>
      </c>
      <c r="Q253" s="8">
        <f t="shared" si="125"/>
        <v>0.4412123390954778</v>
      </c>
    </row>
    <row r="254" spans="1:17" x14ac:dyDescent="0.25">
      <c r="A254" s="8" t="str">
        <f t="shared" ref="A254:Q254" si="126">A10</f>
        <v>588 (12)</v>
      </c>
      <c r="B254" s="8">
        <f t="shared" si="126"/>
        <v>12</v>
      </c>
      <c r="C254" s="8">
        <f t="shared" si="126"/>
        <v>12</v>
      </c>
      <c r="D254" s="8">
        <f t="shared" si="126"/>
        <v>0.57823129251700678</v>
      </c>
      <c r="E254" s="8">
        <f t="shared" si="126"/>
        <v>0.42176870748299322</v>
      </c>
      <c r="F254" s="8">
        <f t="shared" si="126"/>
        <v>1.47</v>
      </c>
      <c r="G254" s="8">
        <f t="shared" si="126"/>
        <v>0</v>
      </c>
      <c r="H254" s="8">
        <f t="shared" si="126"/>
        <v>1</v>
      </c>
      <c r="I254" s="8">
        <f t="shared" si="126"/>
        <v>0.73499999999999999</v>
      </c>
      <c r="J254" s="8">
        <v>38.402100445145017</v>
      </c>
      <c r="K254" s="1">
        <f>-C254/($J$254*SQRT(2)) + (I254/(2*$J$254))*(2*(C254/I254)^2 +4*$J$254^2)^0.5</f>
        <v>0.54653570161891563</v>
      </c>
      <c r="L254" s="8">
        <f>(K254/I254 -D254)^2</f>
        <v>2.7342175515761222E-2</v>
      </c>
      <c r="M254" s="8"/>
      <c r="N254" s="8"/>
      <c r="O254" s="8">
        <f t="shared" si="126"/>
        <v>0</v>
      </c>
      <c r="P254" s="8">
        <f t="shared" si="126"/>
        <v>0</v>
      </c>
      <c r="Q254" s="8">
        <f t="shared" si="126"/>
        <v>0.4412123390954778</v>
      </c>
    </row>
    <row r="255" spans="1:17" x14ac:dyDescent="0.25">
      <c r="A255" s="8" t="str">
        <f t="shared" ref="A255:Q255" si="127">A11</f>
        <v>642 (6)</v>
      </c>
      <c r="B255" s="8">
        <f t="shared" si="127"/>
        <v>6</v>
      </c>
      <c r="C255" s="8">
        <f t="shared" si="127"/>
        <v>12</v>
      </c>
      <c r="D255" s="8">
        <f t="shared" si="127"/>
        <v>0</v>
      </c>
      <c r="E255" s="8">
        <f t="shared" si="127"/>
        <v>1</v>
      </c>
      <c r="F255" s="8">
        <f t="shared" si="127"/>
        <v>0.84</v>
      </c>
      <c r="G255" s="8">
        <f t="shared" si="127"/>
        <v>60</v>
      </c>
      <c r="H255" s="8">
        <f t="shared" si="127"/>
        <v>0</v>
      </c>
      <c r="I255" s="8">
        <f t="shared" si="127"/>
        <v>0.42</v>
      </c>
      <c r="J255" s="8">
        <v>41.019055086511521</v>
      </c>
      <c r="K255" s="30">
        <f>-C255/($J$255*SQRT(2)) + (I255/(2*$J$255))*(2*(C255/I255)^2 +4*$J$255^2)^0.5</f>
        <v>0.26131736478571727</v>
      </c>
      <c r="L255" s="8"/>
      <c r="M255" s="8">
        <f t="shared" si="123"/>
        <v>0.38711318105754894</v>
      </c>
      <c r="N255" s="8"/>
      <c r="O255" s="8">
        <f t="shared" si="127"/>
        <v>0</v>
      </c>
      <c r="P255" s="8">
        <f t="shared" si="127"/>
        <v>0</v>
      </c>
      <c r="Q255" s="8">
        <f t="shared" si="127"/>
        <v>0.18263941389244792</v>
      </c>
    </row>
    <row r="256" spans="1:17" x14ac:dyDescent="0.25">
      <c r="A256" s="8" t="str">
        <f t="shared" ref="A256:Q256" si="128">A12</f>
        <v>635 (7)</v>
      </c>
      <c r="B256" s="8">
        <f t="shared" si="128"/>
        <v>7</v>
      </c>
      <c r="C256" s="8">
        <f t="shared" si="128"/>
        <v>12</v>
      </c>
      <c r="D256" s="8">
        <f t="shared" si="128"/>
        <v>0.8</v>
      </c>
      <c r="E256" s="8">
        <f t="shared" si="128"/>
        <v>0.2</v>
      </c>
      <c r="F256" s="8">
        <f t="shared" si="128"/>
        <v>0.73</v>
      </c>
      <c r="G256" s="8">
        <f t="shared" si="128"/>
        <v>30</v>
      </c>
      <c r="H256" s="8">
        <f t="shared" si="128"/>
        <v>0</v>
      </c>
      <c r="I256" s="8">
        <f t="shared" si="128"/>
        <v>0.36499999999999999</v>
      </c>
      <c r="J256" s="8">
        <v>24.516806932955827</v>
      </c>
      <c r="K256" s="8">
        <f>-C256/($J$256*SQRT(2)) + (I256/(2*$J$256))*(2*(C256/I256)^2 +4*$J$256^2)^0.5</f>
        <v>0.15690101836381554</v>
      </c>
      <c r="L256" s="8"/>
      <c r="M256" s="8"/>
      <c r="N256" s="8">
        <f t="shared" si="118"/>
        <v>0.13699932324364128</v>
      </c>
      <c r="O256" s="8">
        <f t="shared" si="128"/>
        <v>0</v>
      </c>
      <c r="P256" s="8">
        <f t="shared" si="128"/>
        <v>0</v>
      </c>
      <c r="Q256" s="8">
        <f t="shared" si="128"/>
        <v>0.14372777910188078</v>
      </c>
    </row>
    <row r="257" spans="1:17" x14ac:dyDescent="0.25">
      <c r="A257" s="8" t="str">
        <f t="shared" ref="A257:Q257" si="129">A13</f>
        <v>596 (14)</v>
      </c>
      <c r="B257" s="8">
        <f t="shared" si="129"/>
        <v>14</v>
      </c>
      <c r="C257" s="8">
        <f t="shared" si="129"/>
        <v>12</v>
      </c>
      <c r="D257" s="8">
        <f t="shared" si="129"/>
        <v>0.80838323353293418</v>
      </c>
      <c r="E257" s="8">
        <f t="shared" si="129"/>
        <v>0.19161676646706588</v>
      </c>
      <c r="F257" s="8">
        <f t="shared" si="129"/>
        <v>1.67</v>
      </c>
      <c r="G257" s="8">
        <f t="shared" si="129"/>
        <v>60</v>
      </c>
      <c r="H257" s="8">
        <f t="shared" si="129"/>
        <v>0</v>
      </c>
      <c r="I257" s="8">
        <f t="shared" si="129"/>
        <v>0.83499999999999996</v>
      </c>
      <c r="J257" s="8">
        <f t="shared" si="129"/>
        <v>0</v>
      </c>
      <c r="K257" s="30">
        <f>-C257/($J$255*SQRT(2)) + (I257/(2*$J$255))*(2*(C257/I257)^2 +4*$J$255^2)^0.5</f>
        <v>0.65338038646562169</v>
      </c>
      <c r="L257" s="8"/>
      <c r="M257" s="8">
        <f t="shared" si="123"/>
        <v>6.7038285973089386E-4</v>
      </c>
      <c r="N257" s="8"/>
      <c r="O257" s="8">
        <f t="shared" si="129"/>
        <v>0</v>
      </c>
      <c r="P257" s="8">
        <f t="shared" si="129"/>
        <v>0</v>
      </c>
      <c r="Q257" s="8">
        <f t="shared" si="129"/>
        <v>0.53066707675489644</v>
      </c>
    </row>
    <row r="258" spans="1:17" x14ac:dyDescent="0.25">
      <c r="A258" s="8" t="str">
        <f t="shared" ref="A258:Q258" si="130">A14</f>
        <v>510 (2)</v>
      </c>
      <c r="B258" s="8">
        <f t="shared" si="130"/>
        <v>2</v>
      </c>
      <c r="C258" s="8">
        <f t="shared" si="130"/>
        <v>27</v>
      </c>
      <c r="D258" s="8">
        <f t="shared" si="130"/>
        <v>0.40740740740740738</v>
      </c>
      <c r="E258" s="8">
        <f t="shared" si="130"/>
        <v>0.59259259259259256</v>
      </c>
      <c r="F258" s="8">
        <f t="shared" si="130"/>
        <v>0.81</v>
      </c>
      <c r="G258" s="8">
        <f t="shared" si="130"/>
        <v>0</v>
      </c>
      <c r="H258" s="8">
        <f t="shared" si="130"/>
        <v>0</v>
      </c>
      <c r="I258" s="8">
        <f t="shared" si="130"/>
        <v>0.40500000000000003</v>
      </c>
      <c r="J258" s="8">
        <f t="shared" si="130"/>
        <v>0</v>
      </c>
      <c r="K258" s="1">
        <f>-C258/($J$254*SQRT(2)) + (I258/(2*$J$254))*(2*(C258/I258)^2 +4*$J$254^2)^0.5</f>
        <v>0.14408399003531702</v>
      </c>
      <c r="L258" s="8">
        <f t="shared" ref="L258:L262" si="131">(K258/I258 -D258)^2</f>
        <v>2.6671511833117958E-3</v>
      </c>
      <c r="M258" s="8"/>
      <c r="N258" s="8"/>
      <c r="O258" s="8">
        <f t="shared" si="130"/>
        <v>0</v>
      </c>
      <c r="P258" s="8">
        <f t="shared" si="130"/>
        <v>50.799460101730787</v>
      </c>
      <c r="Q258" s="8">
        <f t="shared" si="130"/>
        <v>0.1766858201086498</v>
      </c>
    </row>
    <row r="259" spans="1:17" x14ac:dyDescent="0.25">
      <c r="A259" s="8" t="str">
        <f t="shared" ref="A259:Q259" si="132">A15</f>
        <v>505 (3)</v>
      </c>
      <c r="B259" s="8">
        <f t="shared" si="132"/>
        <v>3</v>
      </c>
      <c r="C259" s="8">
        <f t="shared" si="132"/>
        <v>27</v>
      </c>
      <c r="D259" s="8">
        <f t="shared" si="132"/>
        <v>0.44155844155844154</v>
      </c>
      <c r="E259" s="8">
        <f t="shared" si="132"/>
        <v>0.55844155844155841</v>
      </c>
      <c r="F259" s="8">
        <f t="shared" si="132"/>
        <v>0.77</v>
      </c>
      <c r="G259" s="8">
        <f t="shared" si="132"/>
        <v>60</v>
      </c>
      <c r="H259" s="8">
        <f t="shared" si="132"/>
        <v>0</v>
      </c>
      <c r="I259" s="8">
        <f t="shared" si="132"/>
        <v>0.38500000000000001</v>
      </c>
      <c r="J259" s="8">
        <f t="shared" si="132"/>
        <v>0</v>
      </c>
      <c r="K259" s="30">
        <f>-C259/($J$255*SQRT(2)) + (I259/(2*$J$255))*(2*(C259/I259)^2 +4*$J$255^2)^0.5</f>
        <v>0.13859606570564798</v>
      </c>
      <c r="L259" s="8"/>
      <c r="M259" s="8">
        <f t="shared" si="123"/>
        <v>6.6534463765490206E-3</v>
      </c>
      <c r="N259" s="8"/>
      <c r="O259" s="8">
        <f t="shared" si="132"/>
        <v>0</v>
      </c>
      <c r="P259" s="8">
        <f t="shared" si="132"/>
        <v>0</v>
      </c>
      <c r="Q259" s="8">
        <f t="shared" si="132"/>
        <v>0.16219758942231449</v>
      </c>
    </row>
    <row r="260" spans="1:17" x14ac:dyDescent="0.25">
      <c r="A260" s="8" t="str">
        <f t="shared" ref="A260:Q260" si="133">A16</f>
        <v>508 (4)</v>
      </c>
      <c r="B260" s="8">
        <f t="shared" si="133"/>
        <v>4</v>
      </c>
      <c r="C260" s="8">
        <f t="shared" si="133"/>
        <v>27</v>
      </c>
      <c r="D260" s="8">
        <f t="shared" si="133"/>
        <v>0.40963855421686746</v>
      </c>
      <c r="E260" s="8">
        <f t="shared" si="133"/>
        <v>0.59036144578313254</v>
      </c>
      <c r="F260" s="8">
        <f t="shared" si="133"/>
        <v>0.83</v>
      </c>
      <c r="G260" s="8">
        <f t="shared" si="133"/>
        <v>30</v>
      </c>
      <c r="H260" s="8">
        <f t="shared" si="133"/>
        <v>0</v>
      </c>
      <c r="I260" s="8">
        <f t="shared" si="133"/>
        <v>0.41499999999999998</v>
      </c>
      <c r="J260" s="8">
        <f t="shared" si="133"/>
        <v>0</v>
      </c>
      <c r="K260" s="8">
        <f>-C260/($J$256*SQRT(2)) + (I260/(2*$J$256))*(2*(C260/I260)^2 +4*$J$256^2)^0.5</f>
        <v>0.10367930064050379</v>
      </c>
      <c r="L260" s="8"/>
      <c r="M260" s="8"/>
      <c r="N260" s="8">
        <f t="shared" si="118"/>
        <v>2.553888903197956E-2</v>
      </c>
      <c r="O260" s="8">
        <f t="shared" si="133"/>
        <v>0</v>
      </c>
      <c r="P260" s="8">
        <f t="shared" si="133"/>
        <v>0</v>
      </c>
      <c r="Q260" s="8">
        <f t="shared" si="133"/>
        <v>0.18405726910577819</v>
      </c>
    </row>
    <row r="261" spans="1:17" x14ac:dyDescent="0.25">
      <c r="A261" s="8" t="str">
        <f t="shared" ref="A261:Q261" si="134">A17</f>
        <v>650 (5)</v>
      </c>
      <c r="B261" s="8">
        <f t="shared" si="134"/>
        <v>5</v>
      </c>
      <c r="C261" s="8">
        <f t="shared" si="134"/>
        <v>27</v>
      </c>
      <c r="D261" s="8">
        <f t="shared" si="134"/>
        <v>0.11363636363636363</v>
      </c>
      <c r="E261" s="8">
        <f t="shared" si="134"/>
        <v>0.88636363636363646</v>
      </c>
      <c r="F261" s="8">
        <f t="shared" si="134"/>
        <v>0.44</v>
      </c>
      <c r="G261" s="8">
        <f t="shared" si="134"/>
        <v>0</v>
      </c>
      <c r="H261" s="8">
        <f t="shared" si="134"/>
        <v>0</v>
      </c>
      <c r="I261" s="8">
        <f t="shared" si="134"/>
        <v>0.22</v>
      </c>
      <c r="J261" s="8">
        <f t="shared" si="134"/>
        <v>0</v>
      </c>
      <c r="K261" s="1">
        <f>-C261/($J$254*SQRT(2)) + (I261/(2*$J$254))*(2*(C261/I261)^2 +4*$J$254^2)^0.5</f>
        <v>4.6501954061449413E-2</v>
      </c>
      <c r="L261" s="8">
        <f t="shared" si="131"/>
        <v>9.5523559599314245E-3</v>
      </c>
      <c r="M261" s="8"/>
      <c r="N261" s="8"/>
      <c r="O261" s="8">
        <f t="shared" si="134"/>
        <v>0</v>
      </c>
      <c r="P261" s="8">
        <f t="shared" si="134"/>
        <v>0</v>
      </c>
      <c r="Q261" s="8">
        <f t="shared" si="134"/>
        <v>5.9656362695717724E-2</v>
      </c>
    </row>
    <row r="262" spans="1:17" x14ac:dyDescent="0.25">
      <c r="A262" s="8" t="str">
        <f t="shared" ref="A262:Q262" si="135">A18</f>
        <v>523 (8)</v>
      </c>
      <c r="B262" s="8">
        <f t="shared" si="135"/>
        <v>8</v>
      </c>
      <c r="C262" s="8">
        <f t="shared" si="135"/>
        <v>27</v>
      </c>
      <c r="D262" s="8">
        <f t="shared" si="135"/>
        <v>0.31578947368421051</v>
      </c>
      <c r="E262" s="8">
        <f t="shared" si="135"/>
        <v>0.68421052631578938</v>
      </c>
      <c r="F262" s="8">
        <f t="shared" si="135"/>
        <v>0.56999999999999995</v>
      </c>
      <c r="G262" s="8">
        <f t="shared" si="135"/>
        <v>0</v>
      </c>
      <c r="H262" s="8">
        <f t="shared" si="135"/>
        <v>0</v>
      </c>
      <c r="I262" s="8">
        <f t="shared" si="135"/>
        <v>0.28499999999999998</v>
      </c>
      <c r="J262" s="8">
        <f t="shared" si="135"/>
        <v>0</v>
      </c>
      <c r="K262" s="1">
        <f>-C262/($J$254*SQRT(2)) + (I262/(2*$J$254))*(2*(C262/I262)^2 +4*$J$254^2)^0.5</f>
        <v>7.5896263632342476E-2</v>
      </c>
      <c r="L262" s="8">
        <f t="shared" si="131"/>
        <v>2.4489428073670048E-3</v>
      </c>
      <c r="M262" s="8"/>
      <c r="N262" s="8"/>
      <c r="O262" s="8">
        <f t="shared" si="135"/>
        <v>0</v>
      </c>
      <c r="P262" s="8">
        <f t="shared" si="135"/>
        <v>0</v>
      </c>
      <c r="Q262" s="8">
        <f t="shared" si="135"/>
        <v>9.584094802445825E-2</v>
      </c>
    </row>
    <row r="263" spans="1:17" x14ac:dyDescent="0.25">
      <c r="A263" s="8" t="str">
        <f t="shared" ref="A263:Q263" si="136">A19</f>
        <v>525 (9)</v>
      </c>
      <c r="B263" s="8">
        <f t="shared" si="136"/>
        <v>9</v>
      </c>
      <c r="C263" s="8">
        <f t="shared" si="136"/>
        <v>27</v>
      </c>
      <c r="D263" s="8">
        <f t="shared" si="136"/>
        <v>0.48275862068965519</v>
      </c>
      <c r="E263" s="8">
        <f t="shared" si="136"/>
        <v>0.51724137931034486</v>
      </c>
      <c r="F263" s="8">
        <f t="shared" si="136"/>
        <v>0.57999999999999996</v>
      </c>
      <c r="G263" s="8">
        <f t="shared" si="136"/>
        <v>60</v>
      </c>
      <c r="H263" s="8">
        <f t="shared" si="136"/>
        <v>1</v>
      </c>
      <c r="I263" s="8">
        <f t="shared" si="136"/>
        <v>0.28999999999999998</v>
      </c>
      <c r="J263" s="8">
        <f t="shared" si="136"/>
        <v>0</v>
      </c>
      <c r="K263" s="30">
        <f>-C263/($J$255*SQRT(2)) + (I263/(2*$J$255))*(2*(C263/I263)^2 +4*$J$255^2)^0.5</f>
        <v>8.2952649827615743E-2</v>
      </c>
      <c r="L263" s="8"/>
      <c r="M263" s="8">
        <f t="shared" si="123"/>
        <v>3.8696791458865995E-2</v>
      </c>
      <c r="N263" s="8"/>
      <c r="O263" s="8">
        <f t="shared" si="136"/>
        <v>0</v>
      </c>
      <c r="P263" s="8">
        <f t="shared" si="136"/>
        <v>0</v>
      </c>
      <c r="Q263" s="8">
        <f t="shared" si="136"/>
        <v>9.8878850285247954E-2</v>
      </c>
    </row>
    <row r="264" spans="1:17" x14ac:dyDescent="0.25">
      <c r="A264" s="8" t="str">
        <f t="shared" ref="A264:Q264" si="137">A20</f>
        <v>530 (10)</v>
      </c>
      <c r="B264" s="8">
        <f t="shared" si="137"/>
        <v>10</v>
      </c>
      <c r="C264" s="8">
        <f t="shared" si="137"/>
        <v>27</v>
      </c>
      <c r="D264" s="8">
        <f t="shared" si="137"/>
        <v>0.31147540983606559</v>
      </c>
      <c r="E264" s="8">
        <f t="shared" si="137"/>
        <v>0.68852459016393441</v>
      </c>
      <c r="F264" s="8">
        <f t="shared" si="137"/>
        <v>0.61</v>
      </c>
      <c r="G264" s="8">
        <f t="shared" si="137"/>
        <v>30</v>
      </c>
      <c r="H264" s="8">
        <f t="shared" si="137"/>
        <v>0</v>
      </c>
      <c r="I264" s="8">
        <f t="shared" si="137"/>
        <v>0.30499999999999999</v>
      </c>
      <c r="J264" s="8">
        <f t="shared" si="137"/>
        <v>0</v>
      </c>
      <c r="K264" s="8">
        <f>-C264/($J$256*SQRT(2)) + (I264/(2*$J$256))*(2*(C264/I264)^2 +4*$J$256^2)^0.5</f>
        <v>5.759878441898858E-2</v>
      </c>
      <c r="L264" s="8"/>
      <c r="M264" s="8"/>
      <c r="N264" s="8">
        <f t="shared" si="118"/>
        <v>1.5037365513972497E-2</v>
      </c>
      <c r="O264" s="8">
        <f t="shared" si="137"/>
        <v>0</v>
      </c>
      <c r="P264" s="8">
        <f t="shared" si="137"/>
        <v>0</v>
      </c>
      <c r="Q264" s="8">
        <f t="shared" si="137"/>
        <v>0.10818809999851375</v>
      </c>
    </row>
    <row r="265" spans="1:17" x14ac:dyDescent="0.25">
      <c r="A265" s="8" t="str">
        <f t="shared" ref="A265:Q265" si="138">A21</f>
        <v>602 (11)</v>
      </c>
      <c r="B265" s="8">
        <f t="shared" si="138"/>
        <v>11</v>
      </c>
      <c r="C265" s="8">
        <f t="shared" si="138"/>
        <v>27</v>
      </c>
      <c r="D265" s="8">
        <f t="shared" si="138"/>
        <v>0.58278145695364236</v>
      </c>
      <c r="E265" s="8">
        <f t="shared" si="138"/>
        <v>0.41721854304635764</v>
      </c>
      <c r="F265" s="8">
        <f t="shared" si="138"/>
        <v>1.51</v>
      </c>
      <c r="G265" s="8">
        <f t="shared" si="138"/>
        <v>30</v>
      </c>
      <c r="H265" s="8">
        <f t="shared" si="138"/>
        <v>0</v>
      </c>
      <c r="I265" s="8">
        <f t="shared" si="138"/>
        <v>0.755</v>
      </c>
      <c r="J265" s="8">
        <f t="shared" si="138"/>
        <v>0</v>
      </c>
      <c r="K265" s="8">
        <f>-C265/($J$256*SQRT(2)) + (I265/(2*$J$256))*(2*(C265/I265)^2 +4*$J$256^2)^0.5</f>
        <v>0.30591171879327872</v>
      </c>
      <c r="L265" s="8"/>
      <c r="M265" s="8"/>
      <c r="N265" s="8">
        <f t="shared" si="118"/>
        <v>3.1541892297658462E-2</v>
      </c>
      <c r="O265" s="8">
        <f t="shared" si="138"/>
        <v>0</v>
      </c>
      <c r="P265" s="8">
        <f t="shared" si="138"/>
        <v>0</v>
      </c>
      <c r="Q265" s="8">
        <f t="shared" si="138"/>
        <v>0.46754098873163513</v>
      </c>
    </row>
    <row r="266" spans="1:17" x14ac:dyDescent="0.25">
      <c r="A266" s="8" t="str">
        <f t="shared" ref="A266:Q266" si="139">A22</f>
        <v>607(12)</v>
      </c>
      <c r="B266" s="8">
        <f t="shared" si="139"/>
        <v>12</v>
      </c>
      <c r="C266" s="8">
        <f t="shared" si="139"/>
        <v>27</v>
      </c>
      <c r="D266" s="8">
        <f t="shared" si="139"/>
        <v>0.6333333333333333</v>
      </c>
      <c r="E266" s="8">
        <f t="shared" si="139"/>
        <v>0.3666666666666667</v>
      </c>
      <c r="F266" s="8">
        <f t="shared" si="139"/>
        <v>1.5</v>
      </c>
      <c r="G266" s="8">
        <f t="shared" si="139"/>
        <v>0</v>
      </c>
      <c r="H266" s="8">
        <f t="shared" si="139"/>
        <v>1</v>
      </c>
      <c r="I266" s="8">
        <f t="shared" si="139"/>
        <v>0.75</v>
      </c>
      <c r="J266" s="8">
        <f t="shared" si="139"/>
        <v>0</v>
      </c>
      <c r="K266" s="1">
        <f>-C266/($J$254*SQRT(2)) + (I266/(2*$J$254))*(2*(C266/I266)^2 +4*$J$254^2)^0.5</f>
        <v>0.40265679856221903</v>
      </c>
      <c r="L266" s="8">
        <f>(K266/I266 -D266)^2</f>
        <v>9.3040689675863951E-3</v>
      </c>
      <c r="M266" s="8"/>
      <c r="N266" s="8"/>
      <c r="O266" s="8">
        <f t="shared" si="139"/>
        <v>0</v>
      </c>
      <c r="P266" s="8">
        <f t="shared" si="139"/>
        <v>0</v>
      </c>
      <c r="Q266" s="8">
        <f t="shared" si="139"/>
        <v>0.46306785486552976</v>
      </c>
    </row>
    <row r="267" spans="1:17" x14ac:dyDescent="0.25">
      <c r="A267" s="8" t="str">
        <f t="shared" ref="A267:Q267" si="140">A23</f>
        <v>654 (6)</v>
      </c>
      <c r="B267" s="8">
        <f t="shared" si="140"/>
        <v>6</v>
      </c>
      <c r="C267" s="8">
        <f t="shared" si="140"/>
        <v>27</v>
      </c>
      <c r="D267" s="8">
        <f t="shared" si="140"/>
        <v>0.3</v>
      </c>
      <c r="E267" s="8">
        <f t="shared" si="140"/>
        <v>0.7</v>
      </c>
      <c r="F267" s="8">
        <f t="shared" si="140"/>
        <v>0.7</v>
      </c>
      <c r="G267" s="8">
        <f t="shared" si="140"/>
        <v>60</v>
      </c>
      <c r="H267" s="8">
        <f t="shared" si="140"/>
        <v>0</v>
      </c>
      <c r="I267" s="8">
        <f t="shared" si="140"/>
        <v>0.35</v>
      </c>
      <c r="J267" s="8">
        <f t="shared" si="140"/>
        <v>0</v>
      </c>
      <c r="K267" s="30">
        <f>-C267/($J$255*SQRT(2)) + (I267/(2*$J$255))*(2*(C267/I267)^2 +4*$J$255^2)^0.5</f>
        <v>0.11691259189155456</v>
      </c>
      <c r="L267" s="8"/>
      <c r="M267" s="8">
        <f t="shared" si="123"/>
        <v>1.1584477189774025E-3</v>
      </c>
      <c r="N267" s="8"/>
      <c r="O267" s="8">
        <f t="shared" si="140"/>
        <v>0</v>
      </c>
      <c r="P267" s="8">
        <f t="shared" si="140"/>
        <v>0</v>
      </c>
      <c r="Q267" s="8">
        <f t="shared" si="140"/>
        <v>0.13773461312885643</v>
      </c>
    </row>
    <row r="268" spans="1:17" x14ac:dyDescent="0.25">
      <c r="A268" s="8" t="str">
        <f t="shared" ref="A268:Q268" si="141">A24</f>
        <v>646 (7)</v>
      </c>
      <c r="B268" s="8">
        <f t="shared" si="141"/>
        <v>7</v>
      </c>
      <c r="C268" s="8">
        <f t="shared" si="141"/>
        <v>27</v>
      </c>
      <c r="D268" s="8">
        <f t="shared" si="141"/>
        <v>0.30303030303030304</v>
      </c>
      <c r="E268" s="8">
        <f t="shared" si="141"/>
        <v>0.69696969696969702</v>
      </c>
      <c r="F268" s="8">
        <f t="shared" si="141"/>
        <v>0.66</v>
      </c>
      <c r="G268" s="8">
        <f t="shared" si="141"/>
        <v>30</v>
      </c>
      <c r="H268" s="8">
        <f t="shared" si="141"/>
        <v>0</v>
      </c>
      <c r="I268" s="8">
        <f t="shared" si="141"/>
        <v>0.33</v>
      </c>
      <c r="J268" s="8">
        <f t="shared" si="141"/>
        <v>0</v>
      </c>
      <c r="K268" s="8">
        <f>-C268/($J$256*SQRT(2)) + (I268/(2*$J$256))*(2*(C268/I268)^2 +4*$J$256^2)^0.5</f>
        <v>6.7036460032438905E-2</v>
      </c>
      <c r="L268" s="8"/>
      <c r="M268" s="8"/>
      <c r="N268" s="8">
        <f t="shared" si="118"/>
        <v>9.9779152175665554E-3</v>
      </c>
      <c r="O268" s="8">
        <f t="shared" si="141"/>
        <v>0</v>
      </c>
      <c r="P268" s="8">
        <f t="shared" si="141"/>
        <v>0</v>
      </c>
      <c r="Q268" s="8">
        <f t="shared" si="141"/>
        <v>0.12431854859318942</v>
      </c>
    </row>
    <row r="269" spans="1:17" x14ac:dyDescent="0.25">
      <c r="A269" s="8" t="str">
        <f t="shared" ref="A269:Q269" si="142">A25</f>
        <v>610 (14)</v>
      </c>
      <c r="B269" s="8">
        <f t="shared" si="142"/>
        <v>14</v>
      </c>
      <c r="C269" s="8">
        <f t="shared" si="142"/>
        <v>27</v>
      </c>
      <c r="D269" s="8">
        <f t="shared" si="142"/>
        <v>0.90410958904109584</v>
      </c>
      <c r="E269" s="8">
        <f t="shared" si="142"/>
        <v>9.5890410958904104E-2</v>
      </c>
      <c r="F269" s="8">
        <f t="shared" si="142"/>
        <v>1.46</v>
      </c>
      <c r="G269" s="8">
        <f t="shared" si="142"/>
        <v>60</v>
      </c>
      <c r="H269" s="8">
        <f t="shared" si="142"/>
        <v>0</v>
      </c>
      <c r="I269" s="8">
        <f t="shared" si="142"/>
        <v>0.73</v>
      </c>
      <c r="J269" s="8">
        <f t="shared" si="142"/>
        <v>0</v>
      </c>
      <c r="K269" s="30">
        <f>-C269/($J$255*SQRT(2)) + (I269/(2*$J$255))*(2*(C269/I269)^2 +4*$J$255^2)^0.5</f>
        <v>0.40031683611289237</v>
      </c>
      <c r="L269" s="8"/>
      <c r="M269" s="8">
        <f t="shared" si="123"/>
        <v>0.12654409008522871</v>
      </c>
      <c r="N269" s="8"/>
      <c r="O269" s="8">
        <f t="shared" si="142"/>
        <v>0</v>
      </c>
      <c r="P269" s="8">
        <f t="shared" si="142"/>
        <v>0</v>
      </c>
      <c r="Q269" s="8">
        <f t="shared" si="142"/>
        <v>0.44523610948200071</v>
      </c>
    </row>
    <row r="270" spans="1:17" x14ac:dyDescent="0.25">
      <c r="A270" s="8" t="str">
        <f t="shared" ref="A270:Q270" si="143">A26</f>
        <v>503 (2)</v>
      </c>
      <c r="B270" s="8">
        <f t="shared" si="143"/>
        <v>2</v>
      </c>
      <c r="C270" s="8">
        <f t="shared" si="143"/>
        <v>42</v>
      </c>
      <c r="D270" s="8">
        <f t="shared" si="143"/>
        <v>0.41249999999999998</v>
      </c>
      <c r="E270" s="8">
        <f t="shared" si="143"/>
        <v>0.58749999999999991</v>
      </c>
      <c r="F270" s="8">
        <f t="shared" si="143"/>
        <v>0.8</v>
      </c>
      <c r="G270" s="8">
        <f t="shared" si="143"/>
        <v>0</v>
      </c>
      <c r="H270" s="8">
        <f t="shared" si="143"/>
        <v>0</v>
      </c>
      <c r="I270" s="8">
        <f t="shared" si="143"/>
        <v>0.4</v>
      </c>
      <c r="J270" s="8">
        <v>53.485214458971683</v>
      </c>
      <c r="K270" s="1">
        <f>-C270/($J$270*SQRT(2)) + (I270/(2*$J$270))*(2*(C270/I270)^2 +4*$J$270^2)^0.5</f>
        <v>0.12907346683729681</v>
      </c>
      <c r="L270" s="8">
        <f>(K270/I270 -D270)^2</f>
        <v>8.0669736568175707E-3</v>
      </c>
      <c r="M270" s="8"/>
      <c r="N270" s="8"/>
      <c r="O270" s="8">
        <f t="shared" si="143"/>
        <v>0</v>
      </c>
      <c r="P270" s="8">
        <f t="shared" si="143"/>
        <v>62.087110129052121</v>
      </c>
      <c r="Q270" s="8">
        <f t="shared" si="143"/>
        <v>0.14520662046025457</v>
      </c>
    </row>
    <row r="271" spans="1:17" x14ac:dyDescent="0.25">
      <c r="A271" s="8" t="str">
        <f t="shared" ref="A271:Q271" si="144">A27</f>
        <v>499 (3)</v>
      </c>
      <c r="B271" s="8">
        <f t="shared" si="144"/>
        <v>3</v>
      </c>
      <c r="C271" s="8">
        <f t="shared" si="144"/>
        <v>42</v>
      </c>
      <c r="D271" s="8">
        <f t="shared" si="144"/>
        <v>0.35802469135802467</v>
      </c>
      <c r="E271" s="8">
        <f t="shared" si="144"/>
        <v>0.64197530864197527</v>
      </c>
      <c r="F271" s="8">
        <f t="shared" si="144"/>
        <v>0.81</v>
      </c>
      <c r="G271" s="8">
        <f t="shared" si="144"/>
        <v>60</v>
      </c>
      <c r="H271" s="8">
        <f t="shared" si="144"/>
        <v>0</v>
      </c>
      <c r="I271" s="8">
        <f t="shared" si="144"/>
        <v>0.40500000000000003</v>
      </c>
      <c r="J271" s="8">
        <v>86.367919933794184</v>
      </c>
      <c r="K271" s="30">
        <f>-C271/($J$271*SQRT(2)) + (I271/(2*$J$271))*(2*(C271/I271)^2 +4*$J$271^2)^0.5</f>
        <v>0.18742584407969437</v>
      </c>
      <c r="L271" s="8"/>
      <c r="M271" s="8">
        <f t="shared" si="123"/>
        <v>1.0973645760551969E-2</v>
      </c>
      <c r="N271" s="8"/>
      <c r="O271" s="8">
        <f t="shared" si="144"/>
        <v>0</v>
      </c>
      <c r="P271" s="8">
        <f t="shared" si="144"/>
        <v>0</v>
      </c>
      <c r="Q271" s="8">
        <f t="shared" si="144"/>
        <v>0.14842583761968153</v>
      </c>
    </row>
    <row r="272" spans="1:17" x14ac:dyDescent="0.25">
      <c r="A272" s="8" t="str">
        <f t="shared" ref="A272:Q272" si="145">A28</f>
        <v>501 (4)</v>
      </c>
      <c r="B272" s="8">
        <f t="shared" si="145"/>
        <v>4</v>
      </c>
      <c r="C272" s="8">
        <f t="shared" si="145"/>
        <v>42</v>
      </c>
      <c r="D272" s="8">
        <f t="shared" si="145"/>
        <v>0.3125</v>
      </c>
      <c r="E272" s="8">
        <f t="shared" si="145"/>
        <v>0.6875</v>
      </c>
      <c r="F272" s="8">
        <f t="shared" si="145"/>
        <v>0.8</v>
      </c>
      <c r="G272" s="8">
        <f t="shared" si="145"/>
        <v>30</v>
      </c>
      <c r="H272" s="8">
        <f t="shared" si="145"/>
        <v>0</v>
      </c>
      <c r="I272" s="8">
        <f t="shared" si="145"/>
        <v>0.4</v>
      </c>
      <c r="J272" s="8">
        <v>48.746863678436888</v>
      </c>
      <c r="K272" s="8">
        <f>-C272/($J$272*SQRT(2)) + (I272/(2*$J$272))*(2*(C272/I272)^2 +4*$J$272^2)^0.5</f>
        <v>0.11957660558335903</v>
      </c>
      <c r="L272" s="8"/>
      <c r="M272" s="8"/>
      <c r="N272" s="8">
        <f t="shared" si="118"/>
        <v>1.8383254374032779E-4</v>
      </c>
      <c r="O272" s="8">
        <f t="shared" si="145"/>
        <v>0</v>
      </c>
      <c r="P272" s="8">
        <f t="shared" si="145"/>
        <v>0</v>
      </c>
      <c r="Q272" s="8">
        <f t="shared" si="145"/>
        <v>0.14520662046025457</v>
      </c>
    </row>
    <row r="273" spans="1:17" x14ac:dyDescent="0.25">
      <c r="A273" s="8" t="str">
        <f t="shared" ref="A273:Q273" si="146">A29</f>
        <v>661 (5)</v>
      </c>
      <c r="B273" s="8">
        <f t="shared" si="146"/>
        <v>5</v>
      </c>
      <c r="C273" s="8">
        <f t="shared" si="146"/>
        <v>42</v>
      </c>
      <c r="D273" s="8">
        <f t="shared" si="146"/>
        <v>0</v>
      </c>
      <c r="E273" s="8">
        <f t="shared" si="146"/>
        <v>1</v>
      </c>
      <c r="F273" s="8">
        <f t="shared" si="146"/>
        <v>0.41</v>
      </c>
      <c r="G273" s="8">
        <f t="shared" si="146"/>
        <v>0</v>
      </c>
      <c r="H273" s="8">
        <f t="shared" si="146"/>
        <v>0</v>
      </c>
      <c r="I273" s="8">
        <f t="shared" si="146"/>
        <v>0.20499999999999999</v>
      </c>
      <c r="J273" s="8">
        <f t="shared" si="146"/>
        <v>0</v>
      </c>
      <c r="K273" s="1">
        <f>-C273/($J$270*SQRT(2)) + (I273/(2*$J$270))*(2*(C273/I273)^2 +4*$J$270^2)^0.5</f>
        <v>3.6633806096792454E-2</v>
      </c>
      <c r="L273" s="8">
        <f t="shared" ref="L273:L278" si="147">(K273/I273 -D273)^2</f>
        <v>3.193422365585695E-2</v>
      </c>
      <c r="M273" s="8"/>
      <c r="N273" s="8"/>
      <c r="O273" s="8">
        <f t="shared" si="146"/>
        <v>0</v>
      </c>
      <c r="P273" s="8">
        <f t="shared" si="146"/>
        <v>0</v>
      </c>
      <c r="Q273" s="8">
        <f t="shared" si="146"/>
        <v>4.2077632953905431E-2</v>
      </c>
    </row>
    <row r="274" spans="1:17" x14ac:dyDescent="0.25">
      <c r="A274" s="8" t="str">
        <f t="shared" ref="A274:Q274" si="148">A30</f>
        <v>532 (8)</v>
      </c>
      <c r="B274" s="8">
        <f t="shared" si="148"/>
        <v>8</v>
      </c>
      <c r="C274" s="8">
        <f t="shared" si="148"/>
        <v>42</v>
      </c>
      <c r="D274" s="8">
        <f t="shared" si="148"/>
        <v>5.5555555555555552E-2</v>
      </c>
      <c r="E274" s="8">
        <f t="shared" si="148"/>
        <v>0.94444444444444442</v>
      </c>
      <c r="F274" s="8">
        <f t="shared" si="148"/>
        <v>0.54</v>
      </c>
      <c r="G274" s="8">
        <f t="shared" si="148"/>
        <v>0</v>
      </c>
      <c r="H274" s="8">
        <f t="shared" si="148"/>
        <v>0</v>
      </c>
      <c r="I274" s="8">
        <f t="shared" si="148"/>
        <v>0.27</v>
      </c>
      <c r="J274" s="8">
        <f t="shared" si="148"/>
        <v>0</v>
      </c>
      <c r="K274" s="1">
        <f>-C274/($J$270*SQRT(2)) + (I274/(2*$J$270))*(2*(C274/I274)^2 +4*$J$270^2)^0.5</f>
        <v>6.2164494140951043E-2</v>
      </c>
      <c r="L274" s="8">
        <f t="shared" si="147"/>
        <v>3.05142593631249E-2</v>
      </c>
      <c r="M274" s="8"/>
      <c r="N274" s="8"/>
      <c r="O274" s="8">
        <f t="shared" si="148"/>
        <v>0</v>
      </c>
      <c r="P274" s="8">
        <f t="shared" si="148"/>
        <v>0</v>
      </c>
      <c r="Q274" s="8">
        <f t="shared" si="148"/>
        <v>7.0941128055289737E-2</v>
      </c>
    </row>
    <row r="275" spans="1:17" x14ac:dyDescent="0.25">
      <c r="A275" s="8" t="str">
        <f t="shared" ref="A275:Q275" si="149">A31</f>
        <v>534 (9)</v>
      </c>
      <c r="B275" s="8">
        <f t="shared" si="149"/>
        <v>9</v>
      </c>
      <c r="C275" s="8">
        <f t="shared" si="149"/>
        <v>42</v>
      </c>
      <c r="D275" s="8">
        <f t="shared" si="149"/>
        <v>0.27272727272727271</v>
      </c>
      <c r="E275" s="8">
        <f t="shared" si="149"/>
        <v>0.72727272727272729</v>
      </c>
      <c r="F275" s="8">
        <f t="shared" si="149"/>
        <v>0.55000000000000004</v>
      </c>
      <c r="G275" s="8">
        <f t="shared" si="149"/>
        <v>60</v>
      </c>
      <c r="H275" s="8">
        <f t="shared" si="149"/>
        <v>1</v>
      </c>
      <c r="I275" s="8">
        <f t="shared" si="149"/>
        <v>0.27500000000000002</v>
      </c>
      <c r="J275" s="8">
        <f t="shared" si="149"/>
        <v>0</v>
      </c>
      <c r="K275" s="30">
        <f>-C275/($J$271*SQRT(2)) + (I275/(2*$J$271))*(2*(C275/I275)^2 +4*$J$271^2)^0.5</f>
        <v>9.6440662173592873E-2</v>
      </c>
      <c r="L275" s="8"/>
      <c r="M275" s="8">
        <f t="shared" si="123"/>
        <v>6.0787040587389918E-3</v>
      </c>
      <c r="N275" s="8"/>
      <c r="O275" s="8">
        <f t="shared" si="149"/>
        <v>0</v>
      </c>
      <c r="P275" s="8">
        <f t="shared" si="149"/>
        <v>0</v>
      </c>
      <c r="Q275" s="8">
        <f t="shared" si="149"/>
        <v>7.3416086184173834E-2</v>
      </c>
    </row>
    <row r="276" spans="1:17" x14ac:dyDescent="0.25">
      <c r="A276" s="8" t="str">
        <f t="shared" ref="A276:Q276" si="150">A32</f>
        <v>536(10)</v>
      </c>
      <c r="B276" s="8">
        <f t="shared" si="150"/>
        <v>10</v>
      </c>
      <c r="C276" s="8">
        <f t="shared" si="150"/>
        <v>42</v>
      </c>
      <c r="D276" s="8">
        <f t="shared" si="150"/>
        <v>0.29090909090909089</v>
      </c>
      <c r="E276" s="8">
        <f t="shared" si="150"/>
        <v>0.70909090909090899</v>
      </c>
      <c r="F276" s="8">
        <f t="shared" si="150"/>
        <v>0.55000000000000004</v>
      </c>
      <c r="G276" s="8">
        <f t="shared" si="150"/>
        <v>30</v>
      </c>
      <c r="H276" s="8">
        <f t="shared" si="150"/>
        <v>0</v>
      </c>
      <c r="I276" s="8">
        <f t="shared" si="150"/>
        <v>0.27500000000000002</v>
      </c>
      <c r="J276" s="8">
        <f t="shared" si="150"/>
        <v>0</v>
      </c>
      <c r="K276" s="8">
        <f>-C276/($J$272*SQRT(2)) + (I276/(2*$J$272))*(2*(C276/I276)^2 +4*$J$272^2)^0.5</f>
        <v>5.9189883945173438E-2</v>
      </c>
      <c r="L276" s="8"/>
      <c r="M276" s="8"/>
      <c r="N276" s="8">
        <f t="shared" si="118"/>
        <v>5.7264255235087635E-3</v>
      </c>
      <c r="O276" s="8">
        <f t="shared" si="150"/>
        <v>0</v>
      </c>
      <c r="P276" s="8">
        <f t="shared" si="150"/>
        <v>0</v>
      </c>
      <c r="Q276" s="8">
        <f t="shared" si="150"/>
        <v>7.3416086184173834E-2</v>
      </c>
    </row>
    <row r="277" spans="1:17" x14ac:dyDescent="0.25">
      <c r="A277" s="8" t="str">
        <f t="shared" ref="A277:Q277" si="151">A33</f>
        <v>614 (11)</v>
      </c>
      <c r="B277" s="8">
        <f t="shared" si="151"/>
        <v>11</v>
      </c>
      <c r="C277" s="8">
        <f t="shared" si="151"/>
        <v>42</v>
      </c>
      <c r="D277" s="8">
        <f t="shared" si="151"/>
        <v>0.54794520547945202</v>
      </c>
      <c r="E277" s="8">
        <f t="shared" si="151"/>
        <v>0.45205479452054792</v>
      </c>
      <c r="F277" s="8">
        <f t="shared" si="151"/>
        <v>1.46</v>
      </c>
      <c r="G277" s="8">
        <f t="shared" si="151"/>
        <v>30</v>
      </c>
      <c r="H277" s="8">
        <f t="shared" si="151"/>
        <v>0</v>
      </c>
      <c r="I277" s="8">
        <f t="shared" si="151"/>
        <v>0.73</v>
      </c>
      <c r="J277" s="8">
        <f t="shared" si="151"/>
        <v>0</v>
      </c>
      <c r="K277" s="8">
        <f>-C277/($J$272*SQRT(2)) + (I277/(2*$J$272))*(2*(C277/I277)^2 +4*$J$272^2)^0.5</f>
        <v>0.34158813391831089</v>
      </c>
      <c r="L277" s="8"/>
      <c r="M277" s="8"/>
      <c r="N277" s="8">
        <f t="shared" si="118"/>
        <v>6.4026010492497249E-3</v>
      </c>
      <c r="O277" s="8">
        <f t="shared" si="151"/>
        <v>0</v>
      </c>
      <c r="P277" s="8">
        <f t="shared" si="151"/>
        <v>0</v>
      </c>
      <c r="Q277" s="8">
        <f t="shared" si="151"/>
        <v>0.39442142377748779</v>
      </c>
    </row>
    <row r="278" spans="1:17" x14ac:dyDescent="0.25">
      <c r="A278" s="8" t="str">
        <f t="shared" ref="A278:Q278" si="152">A34</f>
        <v>617 (12)</v>
      </c>
      <c r="B278" s="8">
        <f t="shared" si="152"/>
        <v>12</v>
      </c>
      <c r="C278" s="8">
        <f t="shared" si="152"/>
        <v>42</v>
      </c>
      <c r="D278" s="8">
        <f t="shared" si="152"/>
        <v>0.64189189189189189</v>
      </c>
      <c r="E278" s="8">
        <f t="shared" si="152"/>
        <v>0.35810810810810811</v>
      </c>
      <c r="F278" s="8">
        <f t="shared" si="152"/>
        <v>1.48</v>
      </c>
      <c r="G278" s="8">
        <f t="shared" si="152"/>
        <v>0</v>
      </c>
      <c r="H278" s="8">
        <f t="shared" si="152"/>
        <v>1</v>
      </c>
      <c r="I278" s="8">
        <f t="shared" si="152"/>
        <v>0.74</v>
      </c>
      <c r="J278" s="8">
        <f t="shared" si="152"/>
        <v>0</v>
      </c>
      <c r="K278" s="1">
        <f>-C278/($J$270*SQRT(2)) + (I278/(2*$J$270))*(2*(C278/I278)^2 +4*$J$270^2)^0.5</f>
        <v>0.36989389569070663</v>
      </c>
      <c r="L278" s="8">
        <f t="shared" si="147"/>
        <v>2.0174019654996454E-2</v>
      </c>
      <c r="M278" s="8"/>
      <c r="N278" s="8"/>
      <c r="O278" s="8">
        <f t="shared" si="152"/>
        <v>0</v>
      </c>
      <c r="P278" s="8">
        <f t="shared" si="152"/>
        <v>0</v>
      </c>
      <c r="Q278" s="8">
        <f t="shared" si="152"/>
        <v>0.40280276593629982</v>
      </c>
    </row>
    <row r="279" spans="1:17" x14ac:dyDescent="0.25">
      <c r="A279" s="8" t="str">
        <f t="shared" ref="A279:Q279" si="153">A35</f>
        <v>666 (6)</v>
      </c>
      <c r="B279" s="8">
        <f t="shared" si="153"/>
        <v>6</v>
      </c>
      <c r="C279" s="8">
        <f t="shared" si="153"/>
        <v>42</v>
      </c>
      <c r="D279" s="8">
        <f t="shared" si="153"/>
        <v>0.31746031746031744</v>
      </c>
      <c r="E279" s="8">
        <f t="shared" si="153"/>
        <v>0.68253968253968256</v>
      </c>
      <c r="F279" s="8">
        <f t="shared" si="153"/>
        <v>0.63</v>
      </c>
      <c r="G279" s="8">
        <f t="shared" si="153"/>
        <v>60</v>
      </c>
      <c r="H279" s="8">
        <f t="shared" si="153"/>
        <v>0</v>
      </c>
      <c r="I279" s="8">
        <f t="shared" si="153"/>
        <v>0.315</v>
      </c>
      <c r="J279" s="8">
        <f t="shared" si="153"/>
        <v>0</v>
      </c>
      <c r="K279" s="30">
        <f>-C279/($J$271*SQRT(2)) + (I279/(2*$J$271))*(2*(C279/I279)^2 +4*$J$271^2)^0.5</f>
        <v>0.1224710690493343</v>
      </c>
      <c r="L279" s="8"/>
      <c r="M279" s="8">
        <f t="shared" si="123"/>
        <v>5.0889286391529402E-3</v>
      </c>
      <c r="N279" s="8"/>
      <c r="O279" s="8">
        <f t="shared" si="153"/>
        <v>0</v>
      </c>
      <c r="P279" s="8">
        <f t="shared" si="153"/>
        <v>0</v>
      </c>
      <c r="Q279" s="8">
        <f t="shared" si="153"/>
        <v>9.44033602832417E-2</v>
      </c>
    </row>
    <row r="280" spans="1:17" x14ac:dyDescent="0.25">
      <c r="A280" s="8" t="str">
        <f t="shared" ref="A280:Q280" si="154">A36</f>
        <v>657 (7)</v>
      </c>
      <c r="B280" s="8">
        <f t="shared" si="154"/>
        <v>7</v>
      </c>
      <c r="C280" s="8">
        <f t="shared" si="154"/>
        <v>42</v>
      </c>
      <c r="D280" s="8">
        <f t="shared" si="154"/>
        <v>0</v>
      </c>
      <c r="E280" s="8">
        <f t="shared" si="154"/>
        <v>1</v>
      </c>
      <c r="F280" s="8">
        <f t="shared" si="154"/>
        <v>0.55000000000000004</v>
      </c>
      <c r="G280" s="8">
        <f t="shared" si="154"/>
        <v>30</v>
      </c>
      <c r="H280" s="8">
        <f t="shared" si="154"/>
        <v>0</v>
      </c>
      <c r="I280" s="8">
        <f t="shared" si="154"/>
        <v>0.27500000000000002</v>
      </c>
      <c r="J280" s="8">
        <f t="shared" si="154"/>
        <v>0</v>
      </c>
      <c r="K280" s="8">
        <f>-C280/($J$272*SQRT(2)) + (I280/(2*$J$272))*(2*(C280/I280)^2 +4*$J$272^2)^0.5</f>
        <v>5.9189883945173438E-2</v>
      </c>
      <c r="L280" s="8"/>
      <c r="M280" s="8"/>
      <c r="N280" s="8">
        <f t="shared" si="118"/>
        <v>4.6326510564536856E-2</v>
      </c>
      <c r="O280" s="8">
        <f t="shared" si="154"/>
        <v>0</v>
      </c>
      <c r="P280" s="8">
        <f t="shared" si="154"/>
        <v>0</v>
      </c>
      <c r="Q280" s="8">
        <f t="shared" si="154"/>
        <v>7.3416086184173834E-2</v>
      </c>
    </row>
    <row r="281" spans="1:17" x14ac:dyDescent="0.25">
      <c r="A281" s="8" t="str">
        <f t="shared" ref="A281:Q281" si="155">A37</f>
        <v>631 (14)</v>
      </c>
      <c r="B281" s="8">
        <f t="shared" si="155"/>
        <v>14</v>
      </c>
      <c r="C281" s="8">
        <f t="shared" si="155"/>
        <v>42</v>
      </c>
      <c r="D281" s="8">
        <f t="shared" si="155"/>
        <v>0.91275167785234901</v>
      </c>
      <c r="E281" s="8">
        <f t="shared" si="155"/>
        <v>8.7248322147651006E-2</v>
      </c>
      <c r="F281" s="8">
        <f t="shared" si="155"/>
        <v>1.49</v>
      </c>
      <c r="G281" s="8">
        <f t="shared" si="155"/>
        <v>60</v>
      </c>
      <c r="H281" s="8">
        <f t="shared" si="155"/>
        <v>0</v>
      </c>
      <c r="I281" s="8">
        <f t="shared" si="155"/>
        <v>0.745</v>
      </c>
      <c r="J281" s="8">
        <f t="shared" si="155"/>
        <v>0</v>
      </c>
      <c r="K281" s="30">
        <f>-C281/($J$271*SQRT(2)) + (I281/(2*$J$271))*(2*(C281/I281)^2 +4*$J$271^2)^0.5</f>
        <v>0.47666700666899825</v>
      </c>
      <c r="L281" s="8"/>
      <c r="M281" s="8">
        <f t="shared" si="123"/>
        <v>7.4490889918373396E-2</v>
      </c>
      <c r="N281" s="8"/>
      <c r="O281" s="8">
        <f t="shared" si="155"/>
        <v>0</v>
      </c>
      <c r="P281" s="8">
        <f t="shared" si="155"/>
        <v>0</v>
      </c>
      <c r="Q281" s="8">
        <f t="shared" si="155"/>
        <v>0.40700603948552538</v>
      </c>
    </row>
    <row r="282" spans="1:17" x14ac:dyDescent="0.25">
      <c r="A282" s="8"/>
      <c r="B282" s="8"/>
      <c r="C282" s="8"/>
      <c r="D282" s="8"/>
      <c r="E282" s="8"/>
      <c r="F282" s="8"/>
      <c r="G282" s="8"/>
      <c r="H282" s="8"/>
      <c r="I282" s="8"/>
      <c r="J282" s="8"/>
      <c r="K282" s="8"/>
      <c r="L282" s="8" t="s">
        <v>250</v>
      </c>
      <c r="M282" s="8"/>
      <c r="N282" s="8"/>
      <c r="O282" s="8"/>
      <c r="P282" s="8"/>
      <c r="Q282" s="8"/>
    </row>
    <row r="283" spans="1:17" x14ac:dyDescent="0.25">
      <c r="A283" s="8"/>
      <c r="B283" s="8"/>
      <c r="C283" s="8"/>
      <c r="D283" s="8"/>
      <c r="E283" s="8"/>
      <c r="F283" s="8"/>
      <c r="G283" s="8"/>
      <c r="H283" s="8"/>
      <c r="I283" s="8"/>
      <c r="J283" s="8"/>
      <c r="K283" s="8"/>
      <c r="L283" s="8">
        <f>SUM(L246,L249,L250)</f>
        <v>2.9628264224748589E-3</v>
      </c>
      <c r="M283" s="8">
        <f>SUM(M247,M251)</f>
        <v>1.7128674086109321E-3</v>
      </c>
      <c r="N283" s="8">
        <f>SUM(N248,N252,N253)</f>
        <v>7.4537137173618356E-3</v>
      </c>
      <c r="O283" s="8"/>
      <c r="P283" s="8"/>
      <c r="Q283" s="8"/>
    </row>
    <row r="284" spans="1:17" x14ac:dyDescent="0.25">
      <c r="A284" s="8"/>
      <c r="B284" s="8"/>
      <c r="C284" s="8"/>
      <c r="D284" s="8"/>
      <c r="E284" s="8"/>
      <c r="F284" s="8"/>
      <c r="G284" s="8"/>
      <c r="H284" s="8"/>
      <c r="I284" s="8"/>
      <c r="J284" s="8"/>
      <c r="K284" s="8"/>
      <c r="L284" s="8">
        <f>SUM(L254,L258,L261,L262,L266)</f>
        <v>5.1314694433957836E-2</v>
      </c>
      <c r="M284" s="8">
        <f>SUM(M255,M257,M259,M263,M267,M269)</f>
        <v>0.56083633955690093</v>
      </c>
      <c r="N284" s="8">
        <f>SUM(N256,N260,N264,N265,N268)</f>
        <v>0.21909538530481837</v>
      </c>
      <c r="O284" s="8"/>
      <c r="P284" s="8"/>
      <c r="Q284" s="8"/>
    </row>
    <row r="285" spans="1:17" x14ac:dyDescent="0.25">
      <c r="A285" s="8" t="s">
        <v>267</v>
      </c>
      <c r="B285" s="8" t="s">
        <v>268</v>
      </c>
      <c r="C285" s="8"/>
      <c r="D285" s="8"/>
      <c r="E285" s="8"/>
      <c r="F285" s="8"/>
      <c r="G285" s="8"/>
      <c r="H285" s="8"/>
      <c r="I285" s="8"/>
      <c r="J285" s="8"/>
      <c r="K285" s="8"/>
      <c r="L285" s="8">
        <f>SUM(L270,L273,L274,L278)</f>
        <v>9.0689476330795882E-2</v>
      </c>
      <c r="M285" s="8">
        <f>SUM(M271,M275,M279,M281)</f>
        <v>9.663216837681729E-2</v>
      </c>
      <c r="N285" s="8">
        <f>SUM(N272,N276,N277,N280)</f>
        <v>5.8639369681035669E-2</v>
      </c>
      <c r="O285" s="8"/>
      <c r="P285" s="8"/>
      <c r="Q285" s="8"/>
    </row>
    <row r="286" spans="1:17" x14ac:dyDescent="0.25">
      <c r="A286" s="8">
        <f>0</f>
        <v>0</v>
      </c>
      <c r="B286" s="8">
        <f>AVERAGE(J246,J254,J270)</f>
        <v>37.84975485873548</v>
      </c>
      <c r="C286" s="8">
        <f>_xlfn.STDEV.S(J246,J254,J270)</f>
        <v>15.918820925530872</v>
      </c>
      <c r="D286" s="8"/>
      <c r="E286" s="8"/>
      <c r="F286" s="8"/>
      <c r="G286" s="8"/>
      <c r="H286" s="8"/>
      <c r="I286" s="8"/>
      <c r="J286" s="8"/>
      <c r="K286" s="8"/>
      <c r="L286" s="8"/>
      <c r="M286" s="8"/>
      <c r="N286" s="8"/>
      <c r="O286" s="8"/>
      <c r="P286" s="8"/>
      <c r="Q286" s="8"/>
    </row>
    <row r="287" spans="1:17" x14ac:dyDescent="0.25">
      <c r="A287" s="8">
        <v>30</v>
      </c>
      <c r="B287" s="8">
        <f>AVERAGE(J248,J256,J272)</f>
        <v>34.734080287235457</v>
      </c>
      <c r="C287" s="8">
        <f>_xlfn.STDEV.S(J248,J256,J272)</f>
        <v>12.553020943286457</v>
      </c>
      <c r="D287" s="8"/>
      <c r="E287" s="8"/>
      <c r="F287" s="8"/>
      <c r="G287" s="8"/>
      <c r="H287" s="8"/>
      <c r="I287" s="8"/>
      <c r="J287" s="8"/>
      <c r="K287" s="8"/>
      <c r="L287" s="8"/>
      <c r="M287" s="8"/>
      <c r="N287" s="8"/>
      <c r="O287" s="8"/>
      <c r="P287" s="8"/>
      <c r="Q287" s="8"/>
    </row>
    <row r="288" spans="1:17" x14ac:dyDescent="0.25">
      <c r="A288" s="8">
        <v>60</v>
      </c>
      <c r="B288" s="8">
        <f>AVERAGE(J247,J255,J271)</f>
        <v>56.770240190200838</v>
      </c>
      <c r="C288" s="8">
        <f>_xlfn.STDEV.S(J247,J255,J271)</f>
        <v>25.650028188950305</v>
      </c>
      <c r="D288" s="8"/>
      <c r="E288" s="8"/>
      <c r="F288" s="8"/>
      <c r="G288" s="8"/>
      <c r="H288" s="8"/>
      <c r="I288" s="8"/>
      <c r="J288" s="8"/>
      <c r="K288" s="8"/>
      <c r="L288" s="8"/>
      <c r="M288" s="8"/>
      <c r="N288" s="8"/>
      <c r="O288" s="8"/>
      <c r="P288" s="8"/>
      <c r="Q288" s="8"/>
    </row>
    <row r="289" spans="1:17" x14ac:dyDescent="0.25">
      <c r="A289" s="8"/>
      <c r="B289" s="8"/>
      <c r="C289" s="8"/>
      <c r="D289" s="8"/>
      <c r="E289" s="8"/>
      <c r="F289" s="8"/>
      <c r="G289" s="8"/>
      <c r="H289" s="8"/>
      <c r="I289" s="8"/>
      <c r="J289" s="8"/>
      <c r="K289" s="8"/>
      <c r="L289" s="8"/>
      <c r="M289" s="8"/>
      <c r="N289" s="8"/>
      <c r="O289" s="8"/>
      <c r="P289" s="8"/>
      <c r="Q289" s="8"/>
    </row>
    <row r="290" spans="1:17" x14ac:dyDescent="0.25">
      <c r="A290" s="8"/>
      <c r="B290" s="8"/>
      <c r="C290" s="8"/>
      <c r="D290" s="8"/>
      <c r="E290" s="8"/>
      <c r="F290" s="8"/>
      <c r="G290" s="8"/>
      <c r="H290" s="8"/>
      <c r="I290" s="8"/>
      <c r="J290" s="8"/>
      <c r="K290" s="8"/>
      <c r="L290" s="8"/>
      <c r="M290" s="8"/>
      <c r="N290" s="8"/>
      <c r="O290" s="8"/>
      <c r="P290" s="8"/>
      <c r="Q290" s="8"/>
    </row>
    <row r="291" spans="1:17" x14ac:dyDescent="0.25">
      <c r="A291" s="8"/>
      <c r="B291" s="8"/>
      <c r="C291" s="8"/>
      <c r="D291" s="8"/>
      <c r="E291" s="8"/>
      <c r="F291" s="8"/>
      <c r="G291" s="8"/>
      <c r="H291" s="8"/>
      <c r="I291" s="8"/>
      <c r="J291" s="8"/>
      <c r="K291" s="8"/>
      <c r="L291" s="8"/>
      <c r="M291" s="8"/>
      <c r="N291" s="8"/>
      <c r="O291" s="8"/>
      <c r="P291" s="8"/>
      <c r="Q291" s="8"/>
    </row>
    <row r="292" spans="1:17" x14ac:dyDescent="0.25">
      <c r="A292" s="8"/>
      <c r="B292" s="8"/>
      <c r="C292" s="8"/>
      <c r="D292" s="8"/>
      <c r="E292" s="8"/>
      <c r="F292" s="8"/>
      <c r="G292" s="8"/>
      <c r="H292" s="8"/>
      <c r="I292" s="8"/>
      <c r="J292" s="8"/>
      <c r="K292" s="8"/>
      <c r="L292" s="8"/>
      <c r="M292" s="8"/>
      <c r="N292" s="8"/>
      <c r="O292" s="8"/>
      <c r="P292" s="8"/>
      <c r="Q292" s="8"/>
    </row>
    <row r="293" spans="1:17" x14ac:dyDescent="0.25">
      <c r="A293" s="8"/>
      <c r="B293" s="8"/>
      <c r="C293" s="8"/>
      <c r="D293" s="8"/>
      <c r="E293" s="8"/>
      <c r="F293" s="8"/>
      <c r="G293" s="8"/>
      <c r="H293" s="8"/>
      <c r="I293" s="8"/>
      <c r="J293" s="8"/>
      <c r="K293" s="8"/>
      <c r="L293" s="8"/>
      <c r="M293" s="8"/>
      <c r="N293" s="8"/>
      <c r="O293" s="8"/>
      <c r="P293" s="8"/>
      <c r="Q293" s="8"/>
    </row>
    <row r="294" spans="1:17" x14ac:dyDescent="0.25">
      <c r="A294" s="8"/>
      <c r="B294" s="8"/>
      <c r="C294" s="8"/>
      <c r="D294" s="8"/>
      <c r="E294" s="8"/>
      <c r="F294" s="8"/>
      <c r="G294" s="8"/>
      <c r="H294" s="8"/>
      <c r="I294" s="8"/>
      <c r="J294" s="8"/>
      <c r="K294" s="8"/>
      <c r="L294" s="8"/>
      <c r="M294" s="8"/>
      <c r="N294" s="8"/>
      <c r="O294" s="8"/>
      <c r="P294" s="8"/>
      <c r="Q294" s="8"/>
    </row>
    <row r="295" spans="1:17" x14ac:dyDescent="0.25">
      <c r="A295" s="8"/>
      <c r="B295" s="8"/>
      <c r="C295" s="8"/>
      <c r="D295" s="8"/>
      <c r="E295" s="8"/>
      <c r="F295" s="8"/>
      <c r="G295" s="8"/>
      <c r="H295" s="8"/>
      <c r="I295" s="8"/>
      <c r="J295" s="8"/>
      <c r="K295" s="8"/>
      <c r="L295" s="8"/>
      <c r="M295" s="8"/>
      <c r="N295" s="8"/>
      <c r="O295" s="8"/>
      <c r="P295" s="8"/>
      <c r="Q295" s="8"/>
    </row>
    <row r="296" spans="1:17" x14ac:dyDescent="0.25">
      <c r="A296" s="8"/>
      <c r="B296" s="8"/>
      <c r="C296" s="8"/>
      <c r="D296" s="8"/>
      <c r="E296" s="8"/>
      <c r="F296" s="8"/>
      <c r="G296" s="8"/>
      <c r="H296" s="8"/>
      <c r="I296" s="8"/>
      <c r="J296" s="8"/>
      <c r="K296" s="8"/>
      <c r="L296" s="8"/>
      <c r="M296" s="8"/>
      <c r="N296" s="8"/>
      <c r="O296" s="8"/>
      <c r="P296" s="8"/>
      <c r="Q296" s="8"/>
    </row>
    <row r="297" spans="1:17" x14ac:dyDescent="0.25">
      <c r="A297" s="8"/>
      <c r="B297" s="8"/>
      <c r="C297" s="8"/>
      <c r="D297" s="8"/>
      <c r="E297" s="8"/>
      <c r="F297" s="8"/>
      <c r="G297" s="8"/>
      <c r="H297" s="8"/>
      <c r="I297" s="8"/>
      <c r="J297" s="8"/>
      <c r="K297" s="8"/>
      <c r="L297" s="8"/>
      <c r="M297" s="8"/>
      <c r="N297" s="8"/>
      <c r="O297" s="8"/>
      <c r="P297" s="8"/>
      <c r="Q297" s="8"/>
    </row>
    <row r="298" spans="1:17" x14ac:dyDescent="0.25">
      <c r="A298" s="8"/>
      <c r="B298" s="8"/>
      <c r="C298" s="8"/>
      <c r="D298" s="8"/>
      <c r="E298" s="8"/>
      <c r="F298" s="8"/>
      <c r="G298" s="8"/>
      <c r="H298" s="8"/>
      <c r="I298" s="8"/>
      <c r="J298" s="8"/>
      <c r="K298" s="8"/>
      <c r="L298" s="8"/>
      <c r="M298" s="8"/>
      <c r="N298" s="8"/>
      <c r="O298" s="8"/>
      <c r="P298" s="8"/>
      <c r="Q298" s="8"/>
    </row>
    <row r="304" spans="1:17" x14ac:dyDescent="0.25">
      <c r="A304" t="s">
        <v>286</v>
      </c>
    </row>
    <row r="306" spans="1:20" x14ac:dyDescent="0.25">
      <c r="A306" t="str">
        <f>A1</f>
        <v>sample files from polar</v>
      </c>
      <c r="B306" s="8" t="str">
        <f t="shared" ref="B306:N306" si="156">B1</f>
        <v>sample number</v>
      </c>
      <c r="C306" s="8" t="str">
        <f t="shared" si="156"/>
        <v>Distance from injection point</v>
      </c>
      <c r="D306" s="8" t="str">
        <f t="shared" si="156"/>
        <v>core fraction</v>
      </c>
      <c r="E306" s="8" t="str">
        <f t="shared" si="156"/>
        <v>skin fraction</v>
      </c>
      <c r="F306" s="8" t="str">
        <f t="shared" si="156"/>
        <v>thickness</v>
      </c>
      <c r="G306" s="8" t="str">
        <f t="shared" si="156"/>
        <v>annealing time</v>
      </c>
      <c r="H306" s="8" t="str">
        <f t="shared" si="156"/>
        <v>cooling</v>
      </c>
      <c r="I306" s="8" t="str">
        <f t="shared" si="156"/>
        <v>b</v>
      </c>
      <c r="J306" s="8" t="str">
        <f t="shared" si="156"/>
        <v>ALL SAMPLES TOGETHER</v>
      </c>
      <c r="K306" s="8" t="str">
        <f t="shared" si="156"/>
        <v>PSI OPTIMAL</v>
      </c>
      <c r="L306" s="8" t="str">
        <f t="shared" si="156"/>
        <v>Z</v>
      </c>
      <c r="M306" s="8" t="str">
        <f t="shared" si="156"/>
        <v>ESTIMATED CORE FRACTION</v>
      </c>
      <c r="N306" s="8" t="str">
        <f t="shared" si="156"/>
        <v>mse</v>
      </c>
      <c r="O306" s="8"/>
      <c r="P306" s="8"/>
      <c r="Q306" s="8"/>
      <c r="R306" s="8"/>
      <c r="S306" s="8"/>
      <c r="T306" s="8"/>
    </row>
    <row r="307" spans="1:20" x14ac:dyDescent="0.25">
      <c r="A307" s="8" t="str">
        <f t="shared" ref="A307:J307" si="157">A2</f>
        <v>462 (2)</v>
      </c>
      <c r="B307" s="8">
        <f t="shared" si="157"/>
        <v>2</v>
      </c>
      <c r="C307" s="8">
        <f t="shared" si="157"/>
        <v>12</v>
      </c>
      <c r="D307" s="8">
        <f t="shared" si="157"/>
        <v>0.39285714285714285</v>
      </c>
      <c r="E307" s="8">
        <f t="shared" si="157"/>
        <v>0.60714285714285721</v>
      </c>
      <c r="F307" s="1">
        <f t="shared" si="157"/>
        <v>0.84</v>
      </c>
      <c r="G307" s="8">
        <f t="shared" si="157"/>
        <v>0</v>
      </c>
      <c r="H307" s="8">
        <f t="shared" si="157"/>
        <v>0</v>
      </c>
      <c r="I307" s="8">
        <f t="shared" si="157"/>
        <v>0.42</v>
      </c>
      <c r="J307" s="8">
        <f t="shared" si="157"/>
        <v>0</v>
      </c>
      <c r="K307" s="8">
        <v>30</v>
      </c>
      <c r="L307" s="8">
        <f>-C307/($K$307*SQRT(2)) + (I307/(2*$K$307))*(2*(C307/I307)^2 +4*$K$307^2)^0.5</f>
        <v>0.22351684357226753</v>
      </c>
      <c r="M307" s="8">
        <f>L307/I307</f>
        <v>0.53218296088635131</v>
      </c>
      <c r="N307" s="8">
        <f>(M307-D307)^2</f>
        <v>1.941168356950811E-2</v>
      </c>
      <c r="O307" s="8"/>
      <c r="P307" s="8"/>
      <c r="Q307" s="8"/>
      <c r="R307" s="8"/>
      <c r="S307" s="8"/>
      <c r="T307" s="8"/>
    </row>
    <row r="308" spans="1:20" x14ac:dyDescent="0.25">
      <c r="A308" s="8" t="str">
        <f t="shared" ref="A308:K308" si="158">A3</f>
        <v>442 (3)</v>
      </c>
      <c r="B308" s="8">
        <f t="shared" si="158"/>
        <v>3</v>
      </c>
      <c r="C308" s="8">
        <f t="shared" si="158"/>
        <v>12</v>
      </c>
      <c r="D308" s="8">
        <f t="shared" si="158"/>
        <v>0.59756097560975607</v>
      </c>
      <c r="E308" s="8">
        <f t="shared" si="158"/>
        <v>0.40243902439024393</v>
      </c>
      <c r="F308" s="1">
        <f t="shared" si="158"/>
        <v>0.82</v>
      </c>
      <c r="G308" s="8">
        <f t="shared" si="158"/>
        <v>60</v>
      </c>
      <c r="H308" s="8">
        <f t="shared" si="158"/>
        <v>0</v>
      </c>
      <c r="I308" s="8">
        <f t="shared" si="158"/>
        <v>0.41</v>
      </c>
      <c r="J308" s="8">
        <f t="shared" si="158"/>
        <v>0</v>
      </c>
      <c r="K308" s="8">
        <f t="shared" si="158"/>
        <v>0</v>
      </c>
      <c r="L308" s="8">
        <f>-C308/($K$307*SQRT(2)) + (I308/(2*$K$307))*(2*(C308/I308)^2 +4*$K$307^2)^0.5</f>
        <v>0.21525366374187183</v>
      </c>
      <c r="M308" s="8">
        <f t="shared" ref="M308:M342" si="159">L308/I308</f>
        <v>0.52500893595578502</v>
      </c>
      <c r="N308" s="8">
        <f t="shared" ref="N308:N342" si="160">(M308-D308)^2</f>
        <v>5.2637984579513887E-3</v>
      </c>
      <c r="O308" s="8"/>
      <c r="P308" s="8"/>
      <c r="Q308" s="8"/>
      <c r="R308" s="8"/>
      <c r="S308" s="8"/>
      <c r="T308" s="8"/>
    </row>
    <row r="309" spans="1:20" x14ac:dyDescent="0.25">
      <c r="A309" s="8" t="str">
        <f t="shared" ref="A309:K309" si="161">A4</f>
        <v>453 (4)</v>
      </c>
      <c r="B309" s="8">
        <f t="shared" si="161"/>
        <v>4</v>
      </c>
      <c r="C309" s="8">
        <f t="shared" si="161"/>
        <v>12</v>
      </c>
      <c r="D309" s="8">
        <f t="shared" si="161"/>
        <v>0.5662650602409639</v>
      </c>
      <c r="E309" s="8">
        <f t="shared" si="161"/>
        <v>0.43373493975903615</v>
      </c>
      <c r="F309" s="1">
        <f t="shared" si="161"/>
        <v>0.83</v>
      </c>
      <c r="G309" s="8">
        <f t="shared" si="161"/>
        <v>30</v>
      </c>
      <c r="H309" s="8">
        <f t="shared" si="161"/>
        <v>0</v>
      </c>
      <c r="I309" s="8">
        <f t="shared" si="161"/>
        <v>0.41499999999999998</v>
      </c>
      <c r="J309" s="8">
        <f t="shared" si="161"/>
        <v>0</v>
      </c>
      <c r="K309" s="8">
        <f t="shared" si="161"/>
        <v>0</v>
      </c>
      <c r="L309" s="8">
        <f t="shared" ref="L309:L342" si="162">-C309/($K$307*SQRT(2)) + (I309/(2*$K$307))*(2*(C309/I309)^2 +4*$K$307^2)^0.5</f>
        <v>0.2193773588088771</v>
      </c>
      <c r="M309" s="8">
        <f t="shared" si="159"/>
        <v>0.52862014170813765</v>
      </c>
      <c r="N309" s="8">
        <f t="shared" si="160"/>
        <v>1.4171398913431256E-3</v>
      </c>
      <c r="O309" s="8"/>
      <c r="P309" s="8"/>
      <c r="Q309" s="8"/>
      <c r="R309" s="8"/>
      <c r="S309" s="8"/>
      <c r="T309" s="8"/>
    </row>
    <row r="310" spans="1:20" x14ac:dyDescent="0.25">
      <c r="A310" s="8" t="str">
        <f t="shared" ref="A310:K310" si="163">A5</f>
        <v>639 (5)</v>
      </c>
      <c r="B310" s="8">
        <f t="shared" si="163"/>
        <v>5</v>
      </c>
      <c r="C310" s="8">
        <f t="shared" si="163"/>
        <v>12</v>
      </c>
      <c r="D310" s="8">
        <f t="shared" si="163"/>
        <v>0.2978723404255319</v>
      </c>
      <c r="E310" s="8">
        <f t="shared" si="163"/>
        <v>0.7021276595744681</v>
      </c>
      <c r="F310" s="1">
        <f t="shared" si="163"/>
        <v>0.47</v>
      </c>
      <c r="G310" s="8">
        <f t="shared" si="163"/>
        <v>0</v>
      </c>
      <c r="H310" s="8">
        <f t="shared" si="163"/>
        <v>0</v>
      </c>
      <c r="I310" s="8">
        <f t="shared" si="163"/>
        <v>0.23499999999999999</v>
      </c>
      <c r="J310" s="8">
        <f t="shared" si="163"/>
        <v>0</v>
      </c>
      <c r="K310" s="8">
        <f t="shared" si="163"/>
        <v>0</v>
      </c>
      <c r="L310" s="8">
        <f t="shared" si="162"/>
        <v>8.4886807689318888E-2</v>
      </c>
      <c r="M310" s="8">
        <f t="shared" si="159"/>
        <v>0.36122045825242083</v>
      </c>
      <c r="N310" s="8">
        <f t="shared" si="160"/>
        <v>4.0129840322094025E-3</v>
      </c>
      <c r="O310" s="8"/>
      <c r="P310" s="8"/>
      <c r="Q310" s="8"/>
      <c r="R310" s="8"/>
      <c r="S310" s="8"/>
      <c r="T310" s="8"/>
    </row>
    <row r="311" spans="1:20" x14ac:dyDescent="0.25">
      <c r="A311" s="8" t="str">
        <f t="shared" ref="A311:K311" si="164">A6</f>
        <v>514 (8)</v>
      </c>
      <c r="B311" s="8">
        <f t="shared" si="164"/>
        <v>8</v>
      </c>
      <c r="C311" s="8">
        <f t="shared" si="164"/>
        <v>12</v>
      </c>
      <c r="D311" s="8">
        <f t="shared" si="164"/>
        <v>0.36666666666666664</v>
      </c>
      <c r="E311" s="8">
        <f t="shared" si="164"/>
        <v>0.6333333333333333</v>
      </c>
      <c r="F311" s="1">
        <f t="shared" si="164"/>
        <v>0.6</v>
      </c>
      <c r="G311" s="8">
        <f t="shared" si="164"/>
        <v>0</v>
      </c>
      <c r="H311" s="8">
        <f t="shared" si="164"/>
        <v>0</v>
      </c>
      <c r="I311" s="8">
        <f t="shared" si="164"/>
        <v>0.3</v>
      </c>
      <c r="J311" s="8">
        <f t="shared" si="164"/>
        <v>0</v>
      </c>
      <c r="K311" s="8">
        <f t="shared" si="164"/>
        <v>0</v>
      </c>
      <c r="L311" s="8">
        <f t="shared" si="162"/>
        <v>0.12946785008714706</v>
      </c>
      <c r="M311" s="8">
        <f t="shared" si="159"/>
        <v>0.43155950029049023</v>
      </c>
      <c r="N311" s="8">
        <f t="shared" si="160"/>
        <v>4.2110798557292491E-3</v>
      </c>
      <c r="O311" s="8"/>
      <c r="P311" s="8"/>
      <c r="Q311" s="8"/>
      <c r="R311" s="8"/>
      <c r="S311" s="8"/>
      <c r="T311" s="8"/>
    </row>
    <row r="312" spans="1:20" x14ac:dyDescent="0.25">
      <c r="A312" s="8" t="str">
        <f t="shared" ref="A312:K312" si="165">A7</f>
        <v>517 (9)</v>
      </c>
      <c r="B312" s="8">
        <f t="shared" si="165"/>
        <v>9</v>
      </c>
      <c r="C312" s="8">
        <f t="shared" si="165"/>
        <v>12</v>
      </c>
      <c r="D312" s="8">
        <f t="shared" si="165"/>
        <v>0.56666666666666665</v>
      </c>
      <c r="E312" s="8">
        <f t="shared" si="165"/>
        <v>0.43333333333333335</v>
      </c>
      <c r="F312" s="1">
        <f t="shared" si="165"/>
        <v>0.6</v>
      </c>
      <c r="G312" s="8">
        <f t="shared" si="165"/>
        <v>60</v>
      </c>
      <c r="H312" s="8">
        <f t="shared" si="165"/>
        <v>1</v>
      </c>
      <c r="I312" s="8">
        <f t="shared" si="165"/>
        <v>0.3</v>
      </c>
      <c r="J312" s="8">
        <f t="shared" si="165"/>
        <v>0</v>
      </c>
      <c r="K312" s="8">
        <f t="shared" si="165"/>
        <v>0</v>
      </c>
      <c r="L312" s="8">
        <f t="shared" si="162"/>
        <v>0.12946785008714706</v>
      </c>
      <c r="M312" s="8">
        <f t="shared" si="159"/>
        <v>0.43155950029049023</v>
      </c>
      <c r="N312" s="8">
        <f t="shared" si="160"/>
        <v>1.8253946406199817E-2</v>
      </c>
      <c r="O312" s="8"/>
      <c r="P312" s="8"/>
      <c r="Q312" s="8"/>
      <c r="R312" s="8"/>
      <c r="S312" s="8"/>
      <c r="T312" s="8"/>
    </row>
    <row r="313" spans="1:20" x14ac:dyDescent="0.25">
      <c r="A313" s="8" t="str">
        <f t="shared" ref="A313:K313" si="166">A8</f>
        <v>520 (10)</v>
      </c>
      <c r="B313" s="8">
        <f t="shared" si="166"/>
        <v>10</v>
      </c>
      <c r="C313" s="8">
        <f t="shared" si="166"/>
        <v>12</v>
      </c>
      <c r="D313" s="8">
        <f t="shared" si="166"/>
        <v>0.41176470588235292</v>
      </c>
      <c r="E313" s="8">
        <f t="shared" si="166"/>
        <v>0.58823529411764708</v>
      </c>
      <c r="F313" s="1">
        <f t="shared" si="166"/>
        <v>0.68</v>
      </c>
      <c r="G313" s="8">
        <f t="shared" si="166"/>
        <v>30</v>
      </c>
      <c r="H313" s="8">
        <f t="shared" si="166"/>
        <v>0</v>
      </c>
      <c r="I313" s="8">
        <f t="shared" si="166"/>
        <v>0.34</v>
      </c>
      <c r="J313" s="8">
        <f t="shared" si="166"/>
        <v>0</v>
      </c>
      <c r="K313" s="8">
        <f t="shared" si="166"/>
        <v>0</v>
      </c>
      <c r="L313" s="8">
        <f t="shared" si="162"/>
        <v>0.15942417527530062</v>
      </c>
      <c r="M313" s="8">
        <f t="shared" si="159"/>
        <v>0.46889463316264884</v>
      </c>
      <c r="N313" s="8">
        <f t="shared" si="160"/>
        <v>3.2638285910519004E-3</v>
      </c>
      <c r="O313" s="8"/>
      <c r="P313" s="8"/>
      <c r="Q313" s="8"/>
      <c r="R313" s="8"/>
      <c r="S313" s="8"/>
      <c r="T313" s="8"/>
    </row>
    <row r="314" spans="1:20" x14ac:dyDescent="0.25">
      <c r="A314" s="8" t="str">
        <f t="shared" ref="A314:K314" si="167">A9</f>
        <v>584 (11)</v>
      </c>
      <c r="B314" s="8">
        <f t="shared" si="167"/>
        <v>11</v>
      </c>
      <c r="C314" s="8">
        <f t="shared" si="167"/>
        <v>12</v>
      </c>
      <c r="D314" s="8">
        <f t="shared" si="167"/>
        <v>0.74149659863945583</v>
      </c>
      <c r="E314" s="8">
        <f t="shared" si="167"/>
        <v>0.25850340136054423</v>
      </c>
      <c r="F314" s="8">
        <f t="shared" si="167"/>
        <v>1.47</v>
      </c>
      <c r="G314" s="8">
        <f t="shared" si="167"/>
        <v>30</v>
      </c>
      <c r="H314" s="8">
        <f t="shared" si="167"/>
        <v>0</v>
      </c>
      <c r="I314" s="8">
        <f t="shared" si="167"/>
        <v>0.73499999999999999</v>
      </c>
      <c r="J314" s="8">
        <f t="shared" si="167"/>
        <v>0</v>
      </c>
      <c r="K314" s="8">
        <f t="shared" si="167"/>
        <v>0</v>
      </c>
      <c r="L314" s="8">
        <f t="shared" si="162"/>
        <v>0.50470093710932629</v>
      </c>
      <c r="M314" s="8">
        <f t="shared" si="159"/>
        <v>0.68666794164534195</v>
      </c>
      <c r="N314" s="8">
        <f t="shared" si="160"/>
        <v>3.0061816277781928E-3</v>
      </c>
      <c r="O314" s="8"/>
      <c r="P314" s="8"/>
      <c r="Q314" s="8"/>
      <c r="R314" s="8"/>
      <c r="S314" s="8"/>
      <c r="T314" s="8"/>
    </row>
    <row r="315" spans="1:20" x14ac:dyDescent="0.25">
      <c r="A315" s="8" t="str">
        <f t="shared" ref="A315:K315" si="168">A10</f>
        <v>588 (12)</v>
      </c>
      <c r="B315" s="8">
        <f t="shared" si="168"/>
        <v>12</v>
      </c>
      <c r="C315" s="8">
        <f t="shared" si="168"/>
        <v>12</v>
      </c>
      <c r="D315" s="8">
        <f t="shared" si="168"/>
        <v>0.57823129251700678</v>
      </c>
      <c r="E315" s="8">
        <f t="shared" si="168"/>
        <v>0.42176870748299322</v>
      </c>
      <c r="F315" s="8">
        <f t="shared" si="168"/>
        <v>1.47</v>
      </c>
      <c r="G315" s="8">
        <f t="shared" si="168"/>
        <v>0</v>
      </c>
      <c r="H315" s="8">
        <f t="shared" si="168"/>
        <v>1</v>
      </c>
      <c r="I315" s="8">
        <f t="shared" si="168"/>
        <v>0.73499999999999999</v>
      </c>
      <c r="J315" s="8">
        <f t="shared" si="168"/>
        <v>0</v>
      </c>
      <c r="K315" s="8">
        <f t="shared" si="168"/>
        <v>0</v>
      </c>
      <c r="L315" s="8">
        <f t="shared" si="162"/>
        <v>0.50470093710932629</v>
      </c>
      <c r="M315" s="8">
        <f t="shared" si="159"/>
        <v>0.68666794164534195</v>
      </c>
      <c r="N315" s="8">
        <f t="shared" si="160"/>
        <v>1.1758506874181673E-2</v>
      </c>
      <c r="O315" s="8"/>
      <c r="P315" s="8"/>
      <c r="Q315" s="8"/>
      <c r="R315" s="8"/>
      <c r="S315" s="8"/>
      <c r="T315" s="8"/>
    </row>
    <row r="316" spans="1:20" x14ac:dyDescent="0.25">
      <c r="A316" s="8" t="str">
        <f t="shared" ref="A316:K316" si="169">A11</f>
        <v>642 (6)</v>
      </c>
      <c r="B316" s="8">
        <f t="shared" si="169"/>
        <v>6</v>
      </c>
      <c r="C316" s="8">
        <f t="shared" si="169"/>
        <v>12</v>
      </c>
      <c r="D316" s="8">
        <f t="shared" si="169"/>
        <v>0</v>
      </c>
      <c r="E316" s="8">
        <f t="shared" si="169"/>
        <v>1</v>
      </c>
      <c r="F316" s="1">
        <f t="shared" si="169"/>
        <v>0.84</v>
      </c>
      <c r="G316" s="8">
        <f t="shared" si="169"/>
        <v>60</v>
      </c>
      <c r="H316" s="8">
        <f t="shared" si="169"/>
        <v>0</v>
      </c>
      <c r="I316" s="8">
        <f t="shared" si="169"/>
        <v>0.42</v>
      </c>
      <c r="J316" s="8">
        <f t="shared" si="169"/>
        <v>0</v>
      </c>
      <c r="K316" s="8">
        <f t="shared" si="169"/>
        <v>0</v>
      </c>
      <c r="L316" s="8">
        <f t="shared" si="162"/>
        <v>0.22351684357226753</v>
      </c>
      <c r="M316" s="8">
        <f t="shared" si="159"/>
        <v>0.53218296088635131</v>
      </c>
      <c r="N316" s="8">
        <f t="shared" si="160"/>
        <v>0.28321870385776371</v>
      </c>
      <c r="O316" s="8"/>
      <c r="P316" s="8"/>
      <c r="Q316" s="8"/>
      <c r="R316" s="8"/>
      <c r="S316" s="8"/>
      <c r="T316" s="8"/>
    </row>
    <row r="317" spans="1:20" x14ac:dyDescent="0.25">
      <c r="A317" s="8" t="str">
        <f t="shared" ref="A317:K317" si="170">A12</f>
        <v>635 (7)</v>
      </c>
      <c r="B317" s="8">
        <f t="shared" si="170"/>
        <v>7</v>
      </c>
      <c r="C317" s="8">
        <f t="shared" si="170"/>
        <v>12</v>
      </c>
      <c r="D317" s="8">
        <f t="shared" si="170"/>
        <v>0.8</v>
      </c>
      <c r="E317" s="8">
        <f t="shared" si="170"/>
        <v>0.2</v>
      </c>
      <c r="F317" s="1">
        <f t="shared" si="170"/>
        <v>0.73</v>
      </c>
      <c r="G317" s="8">
        <f t="shared" si="170"/>
        <v>30</v>
      </c>
      <c r="H317" s="8">
        <f t="shared" si="170"/>
        <v>0</v>
      </c>
      <c r="I317" s="8">
        <f t="shared" si="170"/>
        <v>0.36499999999999999</v>
      </c>
      <c r="J317" s="8">
        <f t="shared" si="170"/>
        <v>0</v>
      </c>
      <c r="K317" s="8">
        <f t="shared" si="170"/>
        <v>0</v>
      </c>
      <c r="L317" s="8">
        <f>-C317/($K$307*SQRT(2)) + (I317/(2*$K$307))*(2*(C317/I317)^2 +4*$K$307^2)^0.5</f>
        <v>0.17892021371153549</v>
      </c>
      <c r="M317" s="8">
        <f t="shared" si="159"/>
        <v>0.49019236633297397</v>
      </c>
      <c r="N317" s="8">
        <f t="shared" si="160"/>
        <v>9.5980769878362224E-2</v>
      </c>
      <c r="O317" s="8"/>
      <c r="P317" s="8"/>
      <c r="Q317" s="8"/>
      <c r="R317" s="8"/>
      <c r="S317" s="8"/>
      <c r="T317" s="8"/>
    </row>
    <row r="318" spans="1:20" x14ac:dyDescent="0.25">
      <c r="A318" s="8" t="str">
        <f t="shared" ref="A318:K318" si="171">A13</f>
        <v>596 (14)</v>
      </c>
      <c r="B318" s="8">
        <f t="shared" si="171"/>
        <v>14</v>
      </c>
      <c r="C318" s="8">
        <f t="shared" si="171"/>
        <v>12</v>
      </c>
      <c r="D318" s="8">
        <f t="shared" si="171"/>
        <v>0.80838323353293418</v>
      </c>
      <c r="E318" s="8">
        <f t="shared" si="171"/>
        <v>0.19161676646706588</v>
      </c>
      <c r="F318" s="8">
        <f t="shared" si="171"/>
        <v>1.67</v>
      </c>
      <c r="G318" s="8">
        <f t="shared" si="171"/>
        <v>60</v>
      </c>
      <c r="H318" s="8">
        <f t="shared" si="171"/>
        <v>0</v>
      </c>
      <c r="I318" s="8">
        <f t="shared" si="171"/>
        <v>0.83499999999999996</v>
      </c>
      <c r="J318" s="8">
        <f t="shared" si="171"/>
        <v>0</v>
      </c>
      <c r="K318" s="8">
        <f t="shared" si="171"/>
        <v>0</v>
      </c>
      <c r="L318" s="8">
        <f t="shared" si="162"/>
        <v>0.59876093996790569</v>
      </c>
      <c r="M318" s="8">
        <f t="shared" si="159"/>
        <v>0.71707897002144394</v>
      </c>
      <c r="N318" s="8">
        <f t="shared" si="160"/>
        <v>8.336468535375648E-3</v>
      </c>
      <c r="O318" s="8"/>
      <c r="P318" s="8"/>
      <c r="Q318" s="8"/>
      <c r="R318" s="8"/>
      <c r="S318" s="8"/>
      <c r="T318" s="8"/>
    </row>
    <row r="319" spans="1:20" x14ac:dyDescent="0.25">
      <c r="A319" s="8" t="str">
        <f t="shared" ref="A319:K319" si="172">A14</f>
        <v>510 (2)</v>
      </c>
      <c r="B319" s="8">
        <f t="shared" si="172"/>
        <v>2</v>
      </c>
      <c r="C319" s="8">
        <f t="shared" si="172"/>
        <v>27</v>
      </c>
      <c r="D319" s="8">
        <f t="shared" si="172"/>
        <v>0.40740740740740738</v>
      </c>
      <c r="E319" s="8">
        <f t="shared" si="172"/>
        <v>0.59259259259259256</v>
      </c>
      <c r="F319" s="1">
        <f t="shared" si="172"/>
        <v>0.81</v>
      </c>
      <c r="G319" s="8">
        <f t="shared" si="172"/>
        <v>0</v>
      </c>
      <c r="H319" s="8">
        <f t="shared" si="172"/>
        <v>0</v>
      </c>
      <c r="I319" s="8">
        <f t="shared" si="172"/>
        <v>0.40500000000000003</v>
      </c>
      <c r="J319" s="8">
        <f t="shared" si="172"/>
        <v>0</v>
      </c>
      <c r="K319" s="8">
        <f t="shared" si="172"/>
        <v>0</v>
      </c>
      <c r="L319" s="8">
        <f t="shared" si="162"/>
        <v>0.11794135457291677</v>
      </c>
      <c r="M319" s="8">
        <f t="shared" si="159"/>
        <v>0.29121322116769571</v>
      </c>
      <c r="N319" s="8">
        <f t="shared" si="160"/>
        <v>1.3501088915908802E-2</v>
      </c>
      <c r="O319" s="8"/>
      <c r="P319" s="8"/>
      <c r="Q319" s="8"/>
      <c r="R319" s="8"/>
      <c r="S319" s="8"/>
      <c r="T319" s="8"/>
    </row>
    <row r="320" spans="1:20" x14ac:dyDescent="0.25">
      <c r="A320" s="8" t="str">
        <f t="shared" ref="A320:K320" si="173">A15</f>
        <v>505 (3)</v>
      </c>
      <c r="B320" s="8">
        <f t="shared" si="173"/>
        <v>3</v>
      </c>
      <c r="C320" s="8">
        <f t="shared" si="173"/>
        <v>27</v>
      </c>
      <c r="D320" s="8">
        <f t="shared" si="173"/>
        <v>0.44155844155844154</v>
      </c>
      <c r="E320" s="8">
        <f t="shared" si="173"/>
        <v>0.55844155844155841</v>
      </c>
      <c r="F320" s="1">
        <f t="shared" si="173"/>
        <v>0.77</v>
      </c>
      <c r="G320" s="8">
        <f t="shared" si="173"/>
        <v>60</v>
      </c>
      <c r="H320" s="8">
        <f t="shared" si="173"/>
        <v>0</v>
      </c>
      <c r="I320" s="8">
        <f t="shared" si="173"/>
        <v>0.38500000000000001</v>
      </c>
      <c r="J320" s="8">
        <f t="shared" si="173"/>
        <v>0</v>
      </c>
      <c r="K320" s="8">
        <f t="shared" si="173"/>
        <v>0</v>
      </c>
      <c r="L320" s="8">
        <f t="shared" si="162"/>
        <v>0.10739486219049221</v>
      </c>
      <c r="M320" s="8">
        <f t="shared" si="159"/>
        <v>0.27894769400127845</v>
      </c>
      <c r="N320" s="8">
        <f t="shared" si="160"/>
        <v>2.6442255221099421E-2</v>
      </c>
      <c r="O320" s="8"/>
      <c r="P320" s="8"/>
      <c r="Q320" s="8"/>
      <c r="R320" s="8"/>
      <c r="S320" s="8"/>
      <c r="T320" s="8"/>
    </row>
    <row r="321" spans="1:20" x14ac:dyDescent="0.25">
      <c r="A321" s="8" t="str">
        <f t="shared" ref="A321:K321" si="174">A16</f>
        <v>508 (4)</v>
      </c>
      <c r="B321" s="8">
        <f t="shared" si="174"/>
        <v>4</v>
      </c>
      <c r="C321" s="8">
        <f t="shared" si="174"/>
        <v>27</v>
      </c>
      <c r="D321" s="8">
        <f t="shared" si="174"/>
        <v>0.40963855421686746</v>
      </c>
      <c r="E321" s="8">
        <f t="shared" si="174"/>
        <v>0.59036144578313254</v>
      </c>
      <c r="F321" s="1">
        <f t="shared" si="174"/>
        <v>0.83</v>
      </c>
      <c r="G321" s="8">
        <f t="shared" si="174"/>
        <v>30</v>
      </c>
      <c r="H321" s="8">
        <f t="shared" si="174"/>
        <v>0</v>
      </c>
      <c r="I321" s="8">
        <f t="shared" si="174"/>
        <v>0.41499999999999998</v>
      </c>
      <c r="J321" s="8">
        <f t="shared" si="174"/>
        <v>0</v>
      </c>
      <c r="K321" s="8">
        <f t="shared" si="174"/>
        <v>0</v>
      </c>
      <c r="L321" s="8">
        <f t="shared" si="162"/>
        <v>0.12335714634931116</v>
      </c>
      <c r="M321" s="8">
        <f t="shared" si="159"/>
        <v>0.29724613578147269</v>
      </c>
      <c r="N321" s="8">
        <f t="shared" si="160"/>
        <v>1.2632055721756866E-2</v>
      </c>
      <c r="O321" s="8"/>
      <c r="P321" s="8"/>
      <c r="Q321" s="8"/>
      <c r="R321" s="8"/>
      <c r="S321" s="8"/>
      <c r="T321" s="8"/>
    </row>
    <row r="322" spans="1:20" x14ac:dyDescent="0.25">
      <c r="A322" s="8" t="str">
        <f t="shared" ref="A322:K322" si="175">A17</f>
        <v>650 (5)</v>
      </c>
      <c r="B322" s="8">
        <f t="shared" si="175"/>
        <v>5</v>
      </c>
      <c r="C322" s="8">
        <f t="shared" si="175"/>
        <v>27</v>
      </c>
      <c r="D322" s="8">
        <f t="shared" si="175"/>
        <v>0.11363636363636363</v>
      </c>
      <c r="E322" s="8">
        <f t="shared" si="175"/>
        <v>0.88636363636363646</v>
      </c>
      <c r="F322" s="1">
        <f t="shared" si="175"/>
        <v>0.44</v>
      </c>
      <c r="G322" s="8">
        <f t="shared" si="175"/>
        <v>0</v>
      </c>
      <c r="H322" s="8">
        <f t="shared" si="175"/>
        <v>0</v>
      </c>
      <c r="I322" s="8">
        <f t="shared" si="175"/>
        <v>0.22</v>
      </c>
      <c r="J322" s="8">
        <f t="shared" si="175"/>
        <v>0</v>
      </c>
      <c r="K322" s="8">
        <f t="shared" si="175"/>
        <v>0</v>
      </c>
      <c r="L322" s="8">
        <f t="shared" si="162"/>
        <v>3.6953731713404214E-2</v>
      </c>
      <c r="M322" s="8">
        <f t="shared" si="159"/>
        <v>0.16797150778820097</v>
      </c>
      <c r="N322" s="8">
        <f t="shared" si="160"/>
        <v>2.9523078900009431E-3</v>
      </c>
      <c r="O322" s="8"/>
      <c r="P322" s="8"/>
      <c r="Q322" s="8"/>
      <c r="R322" s="8"/>
      <c r="S322" s="8"/>
      <c r="T322" s="8"/>
    </row>
    <row r="323" spans="1:20" x14ac:dyDescent="0.25">
      <c r="A323" s="8" t="str">
        <f t="shared" ref="A323:K323" si="176">A18</f>
        <v>523 (8)</v>
      </c>
      <c r="B323" s="8">
        <f t="shared" si="176"/>
        <v>8</v>
      </c>
      <c r="C323" s="8">
        <f t="shared" si="176"/>
        <v>27</v>
      </c>
      <c r="D323" s="8">
        <f t="shared" si="176"/>
        <v>0.31578947368421051</v>
      </c>
      <c r="E323" s="8">
        <f t="shared" si="176"/>
        <v>0.68421052631578938</v>
      </c>
      <c r="F323" s="1">
        <f t="shared" si="176"/>
        <v>0.56999999999999995</v>
      </c>
      <c r="G323" s="8">
        <f t="shared" si="176"/>
        <v>0</v>
      </c>
      <c r="H323" s="8">
        <f t="shared" si="176"/>
        <v>0</v>
      </c>
      <c r="I323" s="8">
        <f t="shared" si="176"/>
        <v>0.28499999999999998</v>
      </c>
      <c r="J323" s="8">
        <f t="shared" si="176"/>
        <v>0</v>
      </c>
      <c r="K323" s="8">
        <f t="shared" si="176"/>
        <v>0</v>
      </c>
      <c r="L323" s="8">
        <f t="shared" si="162"/>
        <v>6.0902254882274853E-2</v>
      </c>
      <c r="M323" s="8">
        <f t="shared" si="159"/>
        <v>0.21369212239394686</v>
      </c>
      <c r="N323" s="8">
        <f t="shared" si="160"/>
        <v>1.0423869140487501E-2</v>
      </c>
      <c r="O323" s="8"/>
      <c r="P323" s="8"/>
      <c r="Q323" s="8"/>
      <c r="R323" s="8"/>
      <c r="S323" s="8"/>
      <c r="T323" s="8"/>
    </row>
    <row r="324" spans="1:20" x14ac:dyDescent="0.25">
      <c r="A324" s="8" t="str">
        <f t="shared" ref="A324:K324" si="177">A19</f>
        <v>525 (9)</v>
      </c>
      <c r="B324" s="8">
        <f t="shared" si="177"/>
        <v>9</v>
      </c>
      <c r="C324" s="8">
        <f t="shared" si="177"/>
        <v>27</v>
      </c>
      <c r="D324" s="8">
        <f t="shared" si="177"/>
        <v>0.48275862068965519</v>
      </c>
      <c r="E324" s="8">
        <f t="shared" si="177"/>
        <v>0.51724137931034486</v>
      </c>
      <c r="F324" s="1">
        <f t="shared" si="177"/>
        <v>0.57999999999999996</v>
      </c>
      <c r="G324" s="8">
        <f t="shared" si="177"/>
        <v>60</v>
      </c>
      <c r="H324" s="8">
        <f t="shared" si="177"/>
        <v>1</v>
      </c>
      <c r="I324" s="8">
        <f t="shared" si="177"/>
        <v>0.28999999999999998</v>
      </c>
      <c r="J324" s="8">
        <f t="shared" si="177"/>
        <v>0</v>
      </c>
      <c r="K324" s="8">
        <f t="shared" si="177"/>
        <v>0</v>
      </c>
      <c r="L324" s="8">
        <f t="shared" si="162"/>
        <v>6.2960744328341645E-2</v>
      </c>
      <c r="M324" s="8">
        <f t="shared" si="159"/>
        <v>0.21710601492531603</v>
      </c>
      <c r="N324" s="8">
        <f t="shared" si="160"/>
        <v>7.0571306949383392E-2</v>
      </c>
      <c r="O324" s="8"/>
      <c r="P324" s="8"/>
      <c r="Q324" s="8"/>
      <c r="R324" s="8"/>
      <c r="S324" s="8"/>
      <c r="T324" s="8"/>
    </row>
    <row r="325" spans="1:20" x14ac:dyDescent="0.25">
      <c r="A325" s="8" t="str">
        <f t="shared" ref="A325:K325" si="178">A20</f>
        <v>530 (10)</v>
      </c>
      <c r="B325" s="8">
        <f t="shared" si="178"/>
        <v>10</v>
      </c>
      <c r="C325" s="8">
        <f t="shared" si="178"/>
        <v>27</v>
      </c>
      <c r="D325" s="8">
        <f t="shared" si="178"/>
        <v>0.31147540983606559</v>
      </c>
      <c r="E325" s="8">
        <f t="shared" si="178"/>
        <v>0.68852459016393441</v>
      </c>
      <c r="F325" s="1">
        <f t="shared" si="178"/>
        <v>0.61</v>
      </c>
      <c r="G325" s="8">
        <f t="shared" si="178"/>
        <v>30</v>
      </c>
      <c r="H325" s="8">
        <f t="shared" si="178"/>
        <v>0</v>
      </c>
      <c r="I325" s="8">
        <f t="shared" si="178"/>
        <v>0.30499999999999999</v>
      </c>
      <c r="J325" s="8">
        <f t="shared" si="178"/>
        <v>0</v>
      </c>
      <c r="K325" s="8">
        <f t="shared" si="178"/>
        <v>0</v>
      </c>
      <c r="L325" s="8">
        <f t="shared" si="162"/>
        <v>6.9312760416193053E-2</v>
      </c>
      <c r="M325" s="8">
        <f t="shared" si="159"/>
        <v>0.22725495218423952</v>
      </c>
      <c r="N325" s="8">
        <f t="shared" si="160"/>
        <v>7.0930854870830274E-3</v>
      </c>
      <c r="O325" s="8"/>
      <c r="P325" s="8"/>
      <c r="Q325" s="8"/>
      <c r="R325" s="8"/>
      <c r="S325" s="8"/>
      <c r="T325" s="8"/>
    </row>
    <row r="326" spans="1:20" x14ac:dyDescent="0.25">
      <c r="A326" s="8" t="str">
        <f t="shared" ref="A326:K326" si="179">A21</f>
        <v>602 (11)</v>
      </c>
      <c r="B326" s="8">
        <f t="shared" si="179"/>
        <v>11</v>
      </c>
      <c r="C326" s="8">
        <f t="shared" si="179"/>
        <v>27</v>
      </c>
      <c r="D326" s="8">
        <f t="shared" si="179"/>
        <v>0.58278145695364236</v>
      </c>
      <c r="E326" s="8">
        <f t="shared" si="179"/>
        <v>0.41721854304635764</v>
      </c>
      <c r="F326" s="8">
        <f t="shared" si="179"/>
        <v>1.51</v>
      </c>
      <c r="G326" s="8">
        <f t="shared" si="179"/>
        <v>30</v>
      </c>
      <c r="H326" s="8">
        <f t="shared" si="179"/>
        <v>0</v>
      </c>
      <c r="I326" s="8">
        <f t="shared" si="179"/>
        <v>0.755</v>
      </c>
      <c r="J326" s="8">
        <f t="shared" si="179"/>
        <v>0</v>
      </c>
      <c r="K326" s="8">
        <f t="shared" si="179"/>
        <v>0</v>
      </c>
      <c r="L326" s="8">
        <f t="shared" si="162"/>
        <v>0.35103743899962281</v>
      </c>
      <c r="M326" s="8">
        <f t="shared" si="159"/>
        <v>0.46495025033062626</v>
      </c>
      <c r="N326" s="8">
        <f t="shared" si="160"/>
        <v>1.3884193254235915E-2</v>
      </c>
      <c r="O326" s="8"/>
      <c r="P326" s="8"/>
      <c r="Q326" s="8"/>
      <c r="R326" s="8"/>
      <c r="S326" s="8"/>
      <c r="T326" s="8"/>
    </row>
    <row r="327" spans="1:20" x14ac:dyDescent="0.25">
      <c r="A327" s="8" t="str">
        <f t="shared" ref="A327:K327" si="180">A22</f>
        <v>607(12)</v>
      </c>
      <c r="B327" s="8">
        <f t="shared" si="180"/>
        <v>12</v>
      </c>
      <c r="C327" s="8">
        <f t="shared" si="180"/>
        <v>27</v>
      </c>
      <c r="D327" s="8">
        <f t="shared" si="180"/>
        <v>0.6333333333333333</v>
      </c>
      <c r="E327" s="8">
        <f t="shared" si="180"/>
        <v>0.3666666666666667</v>
      </c>
      <c r="F327" s="8">
        <f t="shared" si="180"/>
        <v>1.5</v>
      </c>
      <c r="G327" s="8">
        <f t="shared" si="180"/>
        <v>0</v>
      </c>
      <c r="H327" s="8">
        <f t="shared" si="180"/>
        <v>1</v>
      </c>
      <c r="I327" s="8">
        <f t="shared" si="180"/>
        <v>0.75</v>
      </c>
      <c r="J327" s="8">
        <f t="shared" si="180"/>
        <v>0</v>
      </c>
      <c r="K327" s="8">
        <f t="shared" si="180"/>
        <v>0</v>
      </c>
      <c r="L327" s="8">
        <f t="shared" si="162"/>
        <v>0.34721967557740741</v>
      </c>
      <c r="M327" s="8">
        <f t="shared" si="159"/>
        <v>0.46295956743654321</v>
      </c>
      <c r="N327" s="8">
        <f t="shared" si="160"/>
        <v>2.9027220105854238E-2</v>
      </c>
      <c r="O327" s="8"/>
      <c r="P327" s="8"/>
      <c r="Q327" s="8"/>
      <c r="R327" s="8"/>
      <c r="S327" s="8"/>
      <c r="T327" s="8"/>
    </row>
    <row r="328" spans="1:20" x14ac:dyDescent="0.25">
      <c r="A328" s="8" t="str">
        <f t="shared" ref="A328:K328" si="181">A23</f>
        <v>654 (6)</v>
      </c>
      <c r="B328" s="8">
        <f t="shared" si="181"/>
        <v>6</v>
      </c>
      <c r="C328" s="8">
        <f t="shared" si="181"/>
        <v>27</v>
      </c>
      <c r="D328" s="8">
        <f t="shared" si="181"/>
        <v>0.3</v>
      </c>
      <c r="E328" s="8">
        <f t="shared" si="181"/>
        <v>0.7</v>
      </c>
      <c r="F328" s="1">
        <f t="shared" si="181"/>
        <v>0.7</v>
      </c>
      <c r="G328" s="8">
        <f t="shared" si="181"/>
        <v>60</v>
      </c>
      <c r="H328" s="8">
        <f t="shared" si="181"/>
        <v>0</v>
      </c>
      <c r="I328" s="8">
        <f t="shared" si="181"/>
        <v>0.35</v>
      </c>
      <c r="J328" s="8">
        <f t="shared" si="181"/>
        <v>0</v>
      </c>
      <c r="K328" s="8">
        <f t="shared" si="181"/>
        <v>0</v>
      </c>
      <c r="L328" s="8">
        <f t="shared" si="162"/>
        <v>8.9895849248804782E-2</v>
      </c>
      <c r="M328" s="8">
        <f t="shared" si="159"/>
        <v>0.25684528356801367</v>
      </c>
      <c r="N328" s="8">
        <f t="shared" si="160"/>
        <v>1.8623295503251498E-3</v>
      </c>
      <c r="O328" s="8"/>
      <c r="P328" s="8"/>
      <c r="Q328" s="8"/>
      <c r="R328" s="8"/>
      <c r="S328" s="8"/>
      <c r="T328" s="8"/>
    </row>
    <row r="329" spans="1:20" x14ac:dyDescent="0.25">
      <c r="A329" s="8" t="str">
        <f t="shared" ref="A329:K329" si="182">A24</f>
        <v>646 (7)</v>
      </c>
      <c r="B329" s="8">
        <f t="shared" si="182"/>
        <v>7</v>
      </c>
      <c r="C329" s="8">
        <f t="shared" si="182"/>
        <v>27</v>
      </c>
      <c r="D329" s="8">
        <f t="shared" si="182"/>
        <v>0.30303030303030304</v>
      </c>
      <c r="E329" s="8">
        <f t="shared" si="182"/>
        <v>0.69696969696969702</v>
      </c>
      <c r="F329" s="1">
        <f t="shared" si="182"/>
        <v>0.66</v>
      </c>
      <c r="G329" s="8">
        <f t="shared" si="182"/>
        <v>30</v>
      </c>
      <c r="H329" s="8">
        <f t="shared" si="182"/>
        <v>0</v>
      </c>
      <c r="I329" s="8">
        <f t="shared" si="182"/>
        <v>0.33</v>
      </c>
      <c r="J329" s="8">
        <f t="shared" si="182"/>
        <v>0</v>
      </c>
      <c r="K329" s="8">
        <f t="shared" si="182"/>
        <v>0</v>
      </c>
      <c r="L329" s="8">
        <f t="shared" si="162"/>
        <v>8.0472085653018444E-2</v>
      </c>
      <c r="M329" s="8">
        <f t="shared" si="159"/>
        <v>0.24385480500914677</v>
      </c>
      <c r="N329" s="8">
        <f t="shared" si="160"/>
        <v>3.5017395660518688E-3</v>
      </c>
      <c r="O329" s="8"/>
      <c r="P329" s="8"/>
      <c r="Q329" s="8"/>
      <c r="R329" s="8"/>
      <c r="S329" s="8"/>
      <c r="T329" s="8"/>
    </row>
    <row r="330" spans="1:20" x14ac:dyDescent="0.25">
      <c r="A330" s="8" t="str">
        <f t="shared" ref="A330:K330" si="183">A25</f>
        <v>610 (14)</v>
      </c>
      <c r="B330" s="8">
        <f t="shared" si="183"/>
        <v>14</v>
      </c>
      <c r="C330" s="8">
        <f t="shared" si="183"/>
        <v>27</v>
      </c>
      <c r="D330" s="8">
        <f t="shared" si="183"/>
        <v>0.90410958904109584</v>
      </c>
      <c r="E330" s="8">
        <f t="shared" si="183"/>
        <v>9.5890410958904104E-2</v>
      </c>
      <c r="F330" s="8">
        <f t="shared" si="183"/>
        <v>1.46</v>
      </c>
      <c r="G330" s="8">
        <f t="shared" si="183"/>
        <v>60</v>
      </c>
      <c r="H330" s="8">
        <f t="shared" si="183"/>
        <v>0</v>
      </c>
      <c r="I330" s="8">
        <f t="shared" si="183"/>
        <v>0.73</v>
      </c>
      <c r="J330" s="8">
        <f t="shared" si="183"/>
        <v>0</v>
      </c>
      <c r="K330" s="8">
        <f t="shared" si="183"/>
        <v>0</v>
      </c>
      <c r="L330" s="8">
        <f t="shared" si="162"/>
        <v>0.33205627056748643</v>
      </c>
      <c r="M330" s="8">
        <f t="shared" si="159"/>
        <v>0.45487160351710471</v>
      </c>
      <c r="N330" s="8">
        <f t="shared" si="160"/>
        <v>0.20181476763765366</v>
      </c>
      <c r="O330" s="8"/>
      <c r="P330" s="8"/>
      <c r="Q330" s="8"/>
      <c r="R330" s="8"/>
      <c r="S330" s="8"/>
      <c r="T330" s="8"/>
    </row>
    <row r="331" spans="1:20" x14ac:dyDescent="0.25">
      <c r="A331" s="8" t="str">
        <f t="shared" ref="A331:K331" si="184">A26</f>
        <v>503 (2)</v>
      </c>
      <c r="B331" s="8">
        <f t="shared" si="184"/>
        <v>2</v>
      </c>
      <c r="C331" s="8">
        <f t="shared" si="184"/>
        <v>42</v>
      </c>
      <c r="D331" s="8">
        <f t="shared" si="184"/>
        <v>0.41249999999999998</v>
      </c>
      <c r="E331" s="8">
        <f t="shared" si="184"/>
        <v>0.58749999999999991</v>
      </c>
      <c r="F331" s="1">
        <f t="shared" si="184"/>
        <v>0.8</v>
      </c>
      <c r="G331" s="8">
        <f t="shared" si="184"/>
        <v>0</v>
      </c>
      <c r="H331" s="8">
        <f t="shared" si="184"/>
        <v>0</v>
      </c>
      <c r="I331" s="8">
        <f t="shared" si="184"/>
        <v>0.4</v>
      </c>
      <c r="J331" s="8">
        <f t="shared" si="184"/>
        <v>0</v>
      </c>
      <c r="K331" s="8">
        <f t="shared" si="184"/>
        <v>0</v>
      </c>
      <c r="L331" s="8">
        <f t="shared" si="162"/>
        <v>7.7758331541964654E-2</v>
      </c>
      <c r="M331" s="8">
        <f t="shared" si="159"/>
        <v>0.19439582885491163</v>
      </c>
      <c r="N331" s="8">
        <f t="shared" si="160"/>
        <v>4.7569429470885986E-2</v>
      </c>
      <c r="O331" s="8"/>
      <c r="P331" s="8"/>
      <c r="Q331" s="8"/>
      <c r="R331" s="8"/>
      <c r="S331" s="8"/>
      <c r="T331" s="8"/>
    </row>
    <row r="332" spans="1:20" x14ac:dyDescent="0.25">
      <c r="A332" s="8" t="str">
        <f t="shared" ref="A332:K332" si="185">A27</f>
        <v>499 (3)</v>
      </c>
      <c r="B332" s="8">
        <f t="shared" si="185"/>
        <v>3</v>
      </c>
      <c r="C332" s="8">
        <f t="shared" si="185"/>
        <v>42</v>
      </c>
      <c r="D332" s="8">
        <f t="shared" si="185"/>
        <v>0.35802469135802467</v>
      </c>
      <c r="E332" s="8">
        <f t="shared" si="185"/>
        <v>0.64197530864197527</v>
      </c>
      <c r="F332" s="1">
        <f t="shared" si="185"/>
        <v>0.81</v>
      </c>
      <c r="G332" s="8">
        <f t="shared" si="185"/>
        <v>60</v>
      </c>
      <c r="H332" s="8">
        <f t="shared" si="185"/>
        <v>0</v>
      </c>
      <c r="I332" s="8">
        <f t="shared" si="185"/>
        <v>0.40500000000000003</v>
      </c>
      <c r="J332" s="8">
        <f t="shared" si="185"/>
        <v>0</v>
      </c>
      <c r="K332" s="8">
        <f t="shared" si="185"/>
        <v>0</v>
      </c>
      <c r="L332" s="8">
        <f t="shared" si="162"/>
        <v>7.964154968203585E-2</v>
      </c>
      <c r="M332" s="8">
        <f t="shared" si="159"/>
        <v>0.19664580168403911</v>
      </c>
      <c r="N332" s="8">
        <f t="shared" si="160"/>
        <v>2.6043146032408402E-2</v>
      </c>
      <c r="O332" s="8"/>
      <c r="P332" s="8"/>
      <c r="Q332" s="8"/>
      <c r="R332" s="8"/>
      <c r="S332" s="8"/>
      <c r="T332" s="8"/>
    </row>
    <row r="333" spans="1:20" x14ac:dyDescent="0.25">
      <c r="A333" s="8" t="str">
        <f t="shared" ref="A333:K333" si="186">A28</f>
        <v>501 (4)</v>
      </c>
      <c r="B333" s="8">
        <f t="shared" si="186"/>
        <v>4</v>
      </c>
      <c r="C333" s="8">
        <f t="shared" si="186"/>
        <v>42</v>
      </c>
      <c r="D333" s="8">
        <f t="shared" si="186"/>
        <v>0.3125</v>
      </c>
      <c r="E333" s="8">
        <f t="shared" si="186"/>
        <v>0.6875</v>
      </c>
      <c r="F333" s="1">
        <f t="shared" si="186"/>
        <v>0.8</v>
      </c>
      <c r="G333" s="8">
        <f t="shared" si="186"/>
        <v>30</v>
      </c>
      <c r="H333" s="8">
        <f t="shared" si="186"/>
        <v>0</v>
      </c>
      <c r="I333" s="8">
        <f t="shared" si="186"/>
        <v>0.4</v>
      </c>
      <c r="J333" s="8">
        <f t="shared" si="186"/>
        <v>0</v>
      </c>
      <c r="K333" s="8">
        <f t="shared" si="186"/>
        <v>0</v>
      </c>
      <c r="L333" s="8">
        <f t="shared" si="162"/>
        <v>7.7758331541964654E-2</v>
      </c>
      <c r="M333" s="8">
        <f t="shared" si="159"/>
        <v>0.19439582885491163</v>
      </c>
      <c r="N333" s="8">
        <f t="shared" si="160"/>
        <v>1.3948595241868323E-2</v>
      </c>
      <c r="O333" s="8"/>
      <c r="P333" s="8"/>
      <c r="Q333" s="8"/>
      <c r="R333" s="8"/>
      <c r="S333" s="8"/>
      <c r="T333" s="8"/>
    </row>
    <row r="334" spans="1:20" x14ac:dyDescent="0.25">
      <c r="A334" s="8" t="str">
        <f t="shared" ref="A334:K334" si="187">A29</f>
        <v>661 (5)</v>
      </c>
      <c r="B334" s="8">
        <f t="shared" si="187"/>
        <v>5</v>
      </c>
      <c r="C334" s="8">
        <f t="shared" si="187"/>
        <v>42</v>
      </c>
      <c r="D334" s="8">
        <f t="shared" si="187"/>
        <v>0</v>
      </c>
      <c r="E334" s="8">
        <f t="shared" si="187"/>
        <v>1</v>
      </c>
      <c r="F334" s="1">
        <f t="shared" si="187"/>
        <v>0.41</v>
      </c>
      <c r="G334" s="8">
        <f t="shared" si="187"/>
        <v>0</v>
      </c>
      <c r="H334" s="8">
        <f t="shared" si="187"/>
        <v>0</v>
      </c>
      <c r="I334" s="8">
        <f t="shared" si="187"/>
        <v>0.20499999999999999</v>
      </c>
      <c r="J334" s="8">
        <f t="shared" si="187"/>
        <v>0</v>
      </c>
      <c r="K334" s="8">
        <f t="shared" si="187"/>
        <v>0</v>
      </c>
      <c r="L334" s="8">
        <f t="shared" si="162"/>
        <v>2.1003027479168712E-2</v>
      </c>
      <c r="M334" s="8">
        <f t="shared" si="159"/>
        <v>0.10245379258131079</v>
      </c>
      <c r="N334" s="8">
        <f t="shared" si="160"/>
        <v>1.0496779614294254E-2</v>
      </c>
      <c r="O334" s="8"/>
      <c r="P334" s="8"/>
      <c r="Q334" s="8"/>
      <c r="R334" s="8"/>
      <c r="S334" s="8"/>
      <c r="T334" s="8"/>
    </row>
    <row r="335" spans="1:20" x14ac:dyDescent="0.25">
      <c r="A335" s="8" t="str">
        <f t="shared" ref="A335:K335" si="188">A30</f>
        <v>532 (8)</v>
      </c>
      <c r="B335" s="8">
        <f t="shared" si="188"/>
        <v>8</v>
      </c>
      <c r="C335" s="8">
        <f t="shared" si="188"/>
        <v>42</v>
      </c>
      <c r="D335" s="8">
        <f t="shared" si="188"/>
        <v>5.5555555555555552E-2</v>
      </c>
      <c r="E335" s="8">
        <f t="shared" si="188"/>
        <v>0.94444444444444442</v>
      </c>
      <c r="F335" s="1">
        <f t="shared" si="188"/>
        <v>0.54</v>
      </c>
      <c r="G335" s="8">
        <f t="shared" si="188"/>
        <v>0</v>
      </c>
      <c r="H335" s="8">
        <f t="shared" si="188"/>
        <v>0</v>
      </c>
      <c r="I335" s="8">
        <f t="shared" si="188"/>
        <v>0.27</v>
      </c>
      <c r="J335" s="8">
        <f t="shared" si="188"/>
        <v>0</v>
      </c>
      <c r="K335" s="8">
        <f t="shared" si="188"/>
        <v>0</v>
      </c>
      <c r="L335" s="8">
        <f t="shared" si="162"/>
        <v>3.6159662325661368E-2</v>
      </c>
      <c r="M335" s="8">
        <f t="shared" si="159"/>
        <v>0.13392467528022728</v>
      </c>
      <c r="N335" s="8">
        <f t="shared" si="160"/>
        <v>6.1417189264199312E-3</v>
      </c>
      <c r="O335" s="8"/>
      <c r="P335" s="8"/>
      <c r="Q335" s="8"/>
      <c r="R335" s="8"/>
      <c r="S335" s="8"/>
      <c r="T335" s="8"/>
    </row>
    <row r="336" spans="1:20" x14ac:dyDescent="0.25">
      <c r="A336" s="8" t="str">
        <f t="shared" ref="A336:K336" si="189">A31</f>
        <v>534 (9)</v>
      </c>
      <c r="B336" s="8">
        <f t="shared" si="189"/>
        <v>9</v>
      </c>
      <c r="C336" s="8">
        <f t="shared" si="189"/>
        <v>42</v>
      </c>
      <c r="D336" s="8">
        <f t="shared" si="189"/>
        <v>0.27272727272727271</v>
      </c>
      <c r="E336" s="8">
        <f t="shared" si="189"/>
        <v>0.72727272727272729</v>
      </c>
      <c r="F336" s="1">
        <f t="shared" si="189"/>
        <v>0.55000000000000004</v>
      </c>
      <c r="G336" s="8">
        <f t="shared" si="189"/>
        <v>60</v>
      </c>
      <c r="H336" s="8">
        <f t="shared" si="189"/>
        <v>1</v>
      </c>
      <c r="I336" s="8">
        <f t="shared" si="189"/>
        <v>0.27500000000000002</v>
      </c>
      <c r="J336" s="8">
        <f t="shared" si="189"/>
        <v>0</v>
      </c>
      <c r="K336" s="8">
        <f t="shared" si="189"/>
        <v>0</v>
      </c>
      <c r="L336" s="8">
        <f t="shared" si="162"/>
        <v>3.7486635740559549E-2</v>
      </c>
      <c r="M336" s="8">
        <f t="shared" si="159"/>
        <v>0.13631503905658016</v>
      </c>
      <c r="N336" s="8">
        <f t="shared" si="160"/>
        <v>1.8608297495027626E-2</v>
      </c>
      <c r="O336" s="8"/>
      <c r="P336" s="8"/>
      <c r="Q336" s="8"/>
      <c r="R336" s="8"/>
      <c r="S336" s="8"/>
      <c r="T336" s="8"/>
    </row>
    <row r="337" spans="1:20" x14ac:dyDescent="0.25">
      <c r="A337" s="8" t="str">
        <f t="shared" ref="A337:K337" si="190">A32</f>
        <v>536(10)</v>
      </c>
      <c r="B337" s="8">
        <f t="shared" si="190"/>
        <v>10</v>
      </c>
      <c r="C337" s="8">
        <f t="shared" si="190"/>
        <v>42</v>
      </c>
      <c r="D337" s="8">
        <f t="shared" si="190"/>
        <v>0.29090909090909089</v>
      </c>
      <c r="E337" s="8">
        <f t="shared" si="190"/>
        <v>0.70909090909090899</v>
      </c>
      <c r="F337" s="1">
        <f t="shared" si="190"/>
        <v>0.55000000000000004</v>
      </c>
      <c r="G337" s="8">
        <f t="shared" si="190"/>
        <v>30</v>
      </c>
      <c r="H337" s="8">
        <f t="shared" si="190"/>
        <v>0</v>
      </c>
      <c r="I337" s="8">
        <f t="shared" si="190"/>
        <v>0.27500000000000002</v>
      </c>
      <c r="J337" s="8">
        <f t="shared" si="190"/>
        <v>0</v>
      </c>
      <c r="K337" s="8">
        <f t="shared" si="190"/>
        <v>0</v>
      </c>
      <c r="L337" s="8">
        <f t="shared" si="162"/>
        <v>3.7486635740559549E-2</v>
      </c>
      <c r="M337" s="8">
        <f t="shared" si="159"/>
        <v>0.13631503905658016</v>
      </c>
      <c r="N337" s="8">
        <f t="shared" si="160"/>
        <v>2.3899320868176779E-2</v>
      </c>
      <c r="O337" s="8"/>
      <c r="P337" s="8"/>
      <c r="Q337" s="8"/>
      <c r="R337" s="8"/>
      <c r="S337" s="8"/>
      <c r="T337" s="8"/>
    </row>
    <row r="338" spans="1:20" x14ac:dyDescent="0.25">
      <c r="A338" s="8" t="str">
        <f t="shared" ref="A338:K338" si="191">A33</f>
        <v>614 (11)</v>
      </c>
      <c r="B338" s="8">
        <f t="shared" si="191"/>
        <v>11</v>
      </c>
      <c r="C338" s="8">
        <f t="shared" si="191"/>
        <v>42</v>
      </c>
      <c r="D338" s="8">
        <f t="shared" si="191"/>
        <v>0.54794520547945202</v>
      </c>
      <c r="E338" s="8">
        <f t="shared" si="191"/>
        <v>0.45205479452054792</v>
      </c>
      <c r="F338" s="8">
        <f t="shared" si="191"/>
        <v>1.46</v>
      </c>
      <c r="G338" s="8">
        <f t="shared" si="191"/>
        <v>30</v>
      </c>
      <c r="H338" s="8">
        <f t="shared" si="191"/>
        <v>0</v>
      </c>
      <c r="I338" s="8">
        <f t="shared" si="191"/>
        <v>0.73</v>
      </c>
      <c r="J338" s="8">
        <f t="shared" si="191"/>
        <v>0</v>
      </c>
      <c r="K338" s="8">
        <f t="shared" si="191"/>
        <v>0</v>
      </c>
      <c r="L338" s="8">
        <f t="shared" si="162"/>
        <v>0.24005050633883351</v>
      </c>
      <c r="M338" s="8">
        <f t="shared" si="159"/>
        <v>0.32883631005319658</v>
      </c>
      <c r="N338" s="8">
        <f t="shared" si="160"/>
        <v>4.8008708054913744E-2</v>
      </c>
      <c r="O338" s="8"/>
      <c r="P338" s="8"/>
      <c r="Q338" s="8"/>
      <c r="R338" s="8"/>
      <c r="S338" s="8"/>
      <c r="T338" s="8"/>
    </row>
    <row r="339" spans="1:20" x14ac:dyDescent="0.25">
      <c r="A339" s="8" t="str">
        <f t="shared" ref="A339:K339" si="192">A34</f>
        <v>617 (12)</v>
      </c>
      <c r="B339" s="8">
        <f t="shared" si="192"/>
        <v>12</v>
      </c>
      <c r="C339" s="8">
        <f t="shared" si="192"/>
        <v>42</v>
      </c>
      <c r="D339" s="8">
        <f t="shared" si="192"/>
        <v>0.64189189189189189</v>
      </c>
      <c r="E339" s="8">
        <f t="shared" si="192"/>
        <v>0.35810810810810811</v>
      </c>
      <c r="F339" s="8">
        <f t="shared" si="192"/>
        <v>1.48</v>
      </c>
      <c r="G339" s="8">
        <f t="shared" si="192"/>
        <v>0</v>
      </c>
      <c r="H339" s="8">
        <f t="shared" si="192"/>
        <v>1</v>
      </c>
      <c r="I339" s="8">
        <f t="shared" si="192"/>
        <v>0.74</v>
      </c>
      <c r="J339" s="8">
        <f t="shared" si="192"/>
        <v>0</v>
      </c>
      <c r="K339" s="8">
        <f t="shared" si="192"/>
        <v>0</v>
      </c>
      <c r="L339" s="8">
        <f t="shared" si="162"/>
        <v>0.2460116707772636</v>
      </c>
      <c r="M339" s="8">
        <f t="shared" si="159"/>
        <v>0.33244820375305895</v>
      </c>
      <c r="N339" s="8">
        <f t="shared" si="160"/>
        <v>9.5755396128963291E-2</v>
      </c>
      <c r="O339" s="8"/>
      <c r="P339" s="8"/>
      <c r="Q339" s="8"/>
      <c r="R339" s="8"/>
      <c r="S339" s="8"/>
      <c r="T339" s="8"/>
    </row>
    <row r="340" spans="1:20" x14ac:dyDescent="0.25">
      <c r="A340" s="8" t="str">
        <f t="shared" ref="A340:K340" si="193">A35</f>
        <v>666 (6)</v>
      </c>
      <c r="B340" s="8">
        <f t="shared" si="193"/>
        <v>6</v>
      </c>
      <c r="C340" s="8">
        <f t="shared" si="193"/>
        <v>42</v>
      </c>
      <c r="D340" s="8">
        <f t="shared" si="193"/>
        <v>0.31746031746031744</v>
      </c>
      <c r="E340" s="8">
        <f t="shared" si="193"/>
        <v>0.68253968253968256</v>
      </c>
      <c r="F340" s="1">
        <f t="shared" si="193"/>
        <v>0.63</v>
      </c>
      <c r="G340" s="8">
        <f t="shared" si="193"/>
        <v>60</v>
      </c>
      <c r="H340" s="8">
        <f t="shared" si="193"/>
        <v>0</v>
      </c>
      <c r="I340" s="8">
        <f t="shared" si="193"/>
        <v>0.315</v>
      </c>
      <c r="J340" s="8">
        <f t="shared" si="193"/>
        <v>0</v>
      </c>
      <c r="K340" s="8">
        <f t="shared" si="193"/>
        <v>0</v>
      </c>
      <c r="L340" s="8">
        <f t="shared" si="162"/>
        <v>4.8908051914741679E-2</v>
      </c>
      <c r="M340" s="8">
        <f t="shared" si="159"/>
        <v>0.15526365687219582</v>
      </c>
      <c r="N340" s="8">
        <f t="shared" si="160"/>
        <v>2.6307756705938327E-2</v>
      </c>
      <c r="O340" s="8"/>
      <c r="P340" s="8"/>
      <c r="Q340" s="8"/>
      <c r="R340" s="8"/>
      <c r="S340" s="8"/>
      <c r="T340" s="8"/>
    </row>
    <row r="341" spans="1:20" x14ac:dyDescent="0.25">
      <c r="A341" s="8" t="str">
        <f>A36</f>
        <v>657 (7)</v>
      </c>
      <c r="B341" s="8">
        <f t="shared" ref="B341:K341" si="194">B36</f>
        <v>7</v>
      </c>
      <c r="C341" s="8">
        <f t="shared" si="194"/>
        <v>42</v>
      </c>
      <c r="D341" s="8">
        <f t="shared" si="194"/>
        <v>0</v>
      </c>
      <c r="E341" s="8">
        <f t="shared" si="194"/>
        <v>1</v>
      </c>
      <c r="F341" s="1">
        <f t="shared" si="194"/>
        <v>0.55000000000000004</v>
      </c>
      <c r="G341" s="8">
        <f t="shared" si="194"/>
        <v>30</v>
      </c>
      <c r="H341" s="8">
        <f t="shared" si="194"/>
        <v>0</v>
      </c>
      <c r="I341" s="8">
        <f t="shared" si="194"/>
        <v>0.27500000000000002</v>
      </c>
      <c r="J341" s="8">
        <f t="shared" si="194"/>
        <v>0</v>
      </c>
      <c r="K341" s="8">
        <f t="shared" si="194"/>
        <v>0</v>
      </c>
      <c r="L341" s="8">
        <f t="shared" si="162"/>
        <v>3.7486635740559549E-2</v>
      </c>
      <c r="M341" s="8">
        <f t="shared" si="159"/>
        <v>0.13631503905658016</v>
      </c>
      <c r="N341" s="8">
        <f t="shared" si="160"/>
        <v>1.8581789872996975E-2</v>
      </c>
      <c r="O341" s="8"/>
      <c r="P341" s="8"/>
      <c r="Q341" s="8"/>
      <c r="R341" s="8"/>
      <c r="S341" s="8"/>
      <c r="T341" s="8"/>
    </row>
    <row r="342" spans="1:20" x14ac:dyDescent="0.25">
      <c r="A342" s="8" t="str">
        <f t="shared" ref="A342:K342" si="195">A37</f>
        <v>631 (14)</v>
      </c>
      <c r="B342" s="8">
        <f t="shared" si="195"/>
        <v>14</v>
      </c>
      <c r="C342" s="8">
        <f t="shared" si="195"/>
        <v>42</v>
      </c>
      <c r="D342" s="8">
        <f t="shared" si="195"/>
        <v>0.91275167785234901</v>
      </c>
      <c r="E342" s="8">
        <f t="shared" si="195"/>
        <v>8.7248322147651006E-2</v>
      </c>
      <c r="F342" s="8">
        <f t="shared" si="195"/>
        <v>1.49</v>
      </c>
      <c r="G342" s="8">
        <f t="shared" si="195"/>
        <v>60</v>
      </c>
      <c r="H342" s="8">
        <f t="shared" si="195"/>
        <v>0</v>
      </c>
      <c r="I342" s="8">
        <f t="shared" si="195"/>
        <v>0.745</v>
      </c>
      <c r="J342" s="8">
        <f t="shared" si="195"/>
        <v>0</v>
      </c>
      <c r="K342" s="8">
        <f t="shared" si="195"/>
        <v>0</v>
      </c>
      <c r="L342" s="8">
        <f t="shared" si="162"/>
        <v>0.24901176481304399</v>
      </c>
      <c r="M342" s="8">
        <f t="shared" si="159"/>
        <v>0.33424397961482416</v>
      </c>
      <c r="N342" s="8">
        <f t="shared" si="160"/>
        <v>0.33467115692007904</v>
      </c>
      <c r="O342" s="8"/>
      <c r="P342" s="8"/>
      <c r="Q342" s="8"/>
      <c r="R342" s="8"/>
      <c r="S342" s="8"/>
      <c r="T342" s="8"/>
    </row>
    <row r="343" spans="1:20" x14ac:dyDescent="0.25">
      <c r="A343" s="8"/>
      <c r="B343" s="8"/>
      <c r="C343" s="8"/>
      <c r="D343" s="8"/>
      <c r="E343" s="8"/>
      <c r="F343" s="8"/>
      <c r="G343" s="8"/>
      <c r="H343" s="8"/>
      <c r="I343" s="8"/>
      <c r="J343" s="8"/>
      <c r="K343" s="8"/>
      <c r="L343" s="8"/>
      <c r="M343" s="1" t="s">
        <v>287</v>
      </c>
      <c r="N343" s="1">
        <f>SUM(N307:N342)</f>
        <v>1.521873406349268</v>
      </c>
      <c r="O343" s="8"/>
      <c r="P343" s="8"/>
      <c r="Q343" s="8"/>
      <c r="R343" s="8"/>
      <c r="S343" s="8"/>
      <c r="T343" s="8"/>
    </row>
    <row r="344" spans="1:20" x14ac:dyDescent="0.25">
      <c r="A344" s="8"/>
      <c r="B344" s="8"/>
      <c r="C344" s="8"/>
      <c r="D344" s="8"/>
      <c r="E344" s="8"/>
      <c r="F344" s="8"/>
      <c r="G344" s="8"/>
      <c r="H344" s="8"/>
      <c r="I344" s="8"/>
      <c r="J344" s="8"/>
      <c r="K344" s="8"/>
      <c r="L344" s="8"/>
      <c r="M344" s="1" t="s">
        <v>288</v>
      </c>
      <c r="N344" s="1">
        <f>N40</f>
        <v>1.2241393688431572</v>
      </c>
      <c r="O344" s="8"/>
      <c r="P344" s="8"/>
      <c r="Q344" s="8"/>
      <c r="R344" s="8"/>
      <c r="S344" s="8"/>
      <c r="T344" s="8"/>
    </row>
    <row r="357" spans="15:61" x14ac:dyDescent="0.25">
      <c r="O357" t="s">
        <v>290</v>
      </c>
      <c r="BD357" t="s">
        <v>93</v>
      </c>
    </row>
    <row r="359" spans="15:61" x14ac:dyDescent="0.25">
      <c r="BG359" t="s">
        <v>292</v>
      </c>
      <c r="BH359" t="s">
        <v>291</v>
      </c>
      <c r="BI359" t="s">
        <v>293</v>
      </c>
    </row>
    <row r="360" spans="15:61" x14ac:dyDescent="0.25">
      <c r="BD360">
        <f>AVERAGE($F$47:$F$56)</f>
        <v>0.81500000000000006</v>
      </c>
      <c r="BE360">
        <f>_xlfn.STDEV.S($F$47:$F$56)</f>
        <v>2.1730674684008799E-2</v>
      </c>
      <c r="BG360">
        <f>D2</f>
        <v>0.39285714285714285</v>
      </c>
      <c r="BH360">
        <f>M307</f>
        <v>0.53218296088635131</v>
      </c>
      <c r="BI360">
        <f>M2</f>
        <v>0.64089082069841463</v>
      </c>
    </row>
    <row r="361" spans="15:61" x14ac:dyDescent="0.25">
      <c r="BD361" s="8">
        <f>AVERAGE(F57:F65)</f>
        <v>0.51777777777777778</v>
      </c>
      <c r="BE361">
        <f>_xlfn.STDEV.S(F57:F65)</f>
        <v>6.1395801521312812E-2</v>
      </c>
      <c r="BG361" s="8">
        <f t="shared" ref="BG361:BG362" si="196">D3</f>
        <v>0.59756097560975607</v>
      </c>
      <c r="BH361" s="8">
        <f t="shared" ref="BH361:BH362" si="197">M308</f>
        <v>0.52500893595578502</v>
      </c>
      <c r="BI361" s="8">
        <f t="shared" ref="BI361:BI362" si="198">M3</f>
        <v>0.63440858380484011</v>
      </c>
    </row>
    <row r="362" spans="15:61" x14ac:dyDescent="0.25">
      <c r="BD362" s="8">
        <f>AVERAGE(F66:F73)</f>
        <v>0.65125</v>
      </c>
      <c r="BE362">
        <f>_xlfn.STDEV.S(F66:F73)</f>
        <v>4.9117206760971255E-2</v>
      </c>
      <c r="BG362" s="8">
        <f t="shared" si="196"/>
        <v>0.5662650602409639</v>
      </c>
      <c r="BH362" s="8">
        <f t="shared" si="197"/>
        <v>0.52862014170813765</v>
      </c>
      <c r="BI362" s="8">
        <f t="shared" si="198"/>
        <v>0.63767704093468813</v>
      </c>
    </row>
    <row r="363" spans="15:61" x14ac:dyDescent="0.25">
      <c r="BD363" s="8">
        <f>AVERAGE(F74:F82)</f>
        <v>1.5011111111111111</v>
      </c>
      <c r="BE363">
        <f>_xlfn.STDEV.S(F74:F82)</f>
        <v>6.5659052011974015E-2</v>
      </c>
      <c r="BG363">
        <f>D11</f>
        <v>0</v>
      </c>
      <c r="BH363">
        <f>M316</f>
        <v>0.53218296088635131</v>
      </c>
      <c r="BI363">
        <f>M11</f>
        <v>0.64089082069841463</v>
      </c>
    </row>
    <row r="364" spans="15:61" x14ac:dyDescent="0.25">
      <c r="BG364">
        <f>D14</f>
        <v>0.40740740740740738</v>
      </c>
      <c r="BH364">
        <f>M319</f>
        <v>0.29121322116769571</v>
      </c>
      <c r="BI364">
        <f>M14</f>
        <v>0.39382769526119982</v>
      </c>
    </row>
    <row r="365" spans="15:61" x14ac:dyDescent="0.25">
      <c r="BG365" s="8">
        <f t="shared" ref="BG365:BG366" si="199">D15</f>
        <v>0.44155844155844154</v>
      </c>
      <c r="BH365" s="8">
        <f t="shared" ref="BH365:BH366" si="200">M320</f>
        <v>0.27894769400127845</v>
      </c>
      <c r="BI365" s="8">
        <f t="shared" ref="BI365:BI366" si="201">M15</f>
        <v>0.37934211035056631</v>
      </c>
    </row>
    <row r="366" spans="15:61" x14ac:dyDescent="0.25">
      <c r="BG366" s="8">
        <f t="shared" si="199"/>
        <v>0.40963855421686746</v>
      </c>
      <c r="BH366" s="8">
        <f t="shared" si="200"/>
        <v>0.29724613578147269</v>
      </c>
      <c r="BI366" s="8">
        <f t="shared" si="201"/>
        <v>0.40087633598812267</v>
      </c>
    </row>
    <row r="367" spans="15:61" x14ac:dyDescent="0.25">
      <c r="BG367">
        <f>D26</f>
        <v>0.41249999999999998</v>
      </c>
      <c r="BH367">
        <f>M331</f>
        <v>0.19439582885491163</v>
      </c>
      <c r="BI367">
        <f>M26</f>
        <v>0.27376992483975765</v>
      </c>
    </row>
    <row r="368" spans="15:61" x14ac:dyDescent="0.25">
      <c r="BG368" s="8">
        <f t="shared" ref="BG368:BG369" si="202">D27</f>
        <v>0.35802469135802467</v>
      </c>
      <c r="BH368" s="8">
        <f t="shared" ref="BH368:BH369" si="203">M332</f>
        <v>0.19664580168403911</v>
      </c>
      <c r="BI368" s="8">
        <f t="shared" ref="BI368:BI369" si="204">M27</f>
        <v>0.27670749384057791</v>
      </c>
    </row>
    <row r="369" spans="1:61" x14ac:dyDescent="0.25">
      <c r="BG369" s="8">
        <f t="shared" si="202"/>
        <v>0.3125</v>
      </c>
      <c r="BH369" s="8">
        <f t="shared" si="203"/>
        <v>0.19439582885491163</v>
      </c>
      <c r="BI369" s="8">
        <f t="shared" si="204"/>
        <v>0.27376992483975765</v>
      </c>
    </row>
    <row r="371" spans="1:61" x14ac:dyDescent="0.25">
      <c r="BG371">
        <f>D5</f>
        <v>0.2978723404255319</v>
      </c>
      <c r="BH371">
        <f>M310</f>
        <v>0.36122045825242083</v>
      </c>
      <c r="BI371">
        <f>M5</f>
        <v>0.47261909204832481</v>
      </c>
    </row>
    <row r="372" spans="1:61" x14ac:dyDescent="0.25">
      <c r="BG372">
        <f>D17</f>
        <v>0.11363636363636363</v>
      </c>
      <c r="BH372">
        <f>M322</f>
        <v>0.16797150778820097</v>
      </c>
      <c r="BI372">
        <f>M17</f>
        <v>0.2387678158999883</v>
      </c>
    </row>
    <row r="373" spans="1:61" x14ac:dyDescent="0.25">
      <c r="BG373" s="8">
        <f t="shared" ref="BG373:BG374" si="205">D18</f>
        <v>0.31578947368421051</v>
      </c>
      <c r="BH373" s="8">
        <f t="shared" ref="BH373:BH374" si="206">M323</f>
        <v>0.21369212239394686</v>
      </c>
      <c r="BI373" s="8">
        <f t="shared" ref="BI373:BI374" si="207">M18</f>
        <v>0.29873932029901551</v>
      </c>
    </row>
    <row r="374" spans="1:61" x14ac:dyDescent="0.25">
      <c r="BG374" s="8">
        <f t="shared" si="205"/>
        <v>0.48275862068965519</v>
      </c>
      <c r="BH374" s="8">
        <f t="shared" si="206"/>
        <v>0.21710601492531603</v>
      </c>
      <c r="BI374" s="8">
        <f t="shared" si="207"/>
        <v>0.30310366958665469</v>
      </c>
    </row>
    <row r="375" spans="1:61" x14ac:dyDescent="0.25">
      <c r="BG375">
        <f>D29</f>
        <v>0</v>
      </c>
      <c r="BH375">
        <f>M334</f>
        <v>0.10245379258131079</v>
      </c>
      <c r="BI375">
        <f>M29</f>
        <v>0.14833766430775003</v>
      </c>
    </row>
    <row r="376" spans="1:61" x14ac:dyDescent="0.25">
      <c r="BG376" s="8">
        <f t="shared" ref="BG376:BG378" si="208">D30</f>
        <v>5.5555555555555552E-2</v>
      </c>
      <c r="BH376" s="8">
        <f t="shared" ref="BH376:BH378" si="209">M335</f>
        <v>0.13392467528022728</v>
      </c>
      <c r="BI376" s="8">
        <f t="shared" ref="BI376:BI378" si="210">M30</f>
        <v>0.19237428912729543</v>
      </c>
    </row>
    <row r="377" spans="1:61" x14ac:dyDescent="0.25">
      <c r="BG377" s="8">
        <f t="shared" si="208"/>
        <v>0.27272727272727271</v>
      </c>
      <c r="BH377" s="8">
        <f t="shared" si="209"/>
        <v>0.13631503905658016</v>
      </c>
      <c r="BI377" s="8">
        <f t="shared" si="210"/>
        <v>0.19567608190369065</v>
      </c>
    </row>
    <row r="378" spans="1:61" x14ac:dyDescent="0.25">
      <c r="BG378" s="8">
        <f t="shared" si="208"/>
        <v>0.29090909090909089</v>
      </c>
      <c r="BH378" s="8">
        <f t="shared" si="209"/>
        <v>0.13631503905658016</v>
      </c>
      <c r="BI378" s="8">
        <f t="shared" si="210"/>
        <v>0.19567608190369065</v>
      </c>
    </row>
    <row r="379" spans="1:61" x14ac:dyDescent="0.25">
      <c r="BG379">
        <f>D36</f>
        <v>0</v>
      </c>
      <c r="BH379">
        <f>M341</f>
        <v>0.13631503905658016</v>
      </c>
      <c r="BI379">
        <f>M36</f>
        <v>0.19567608190369065</v>
      </c>
    </row>
    <row r="380" spans="1:61" x14ac:dyDescent="0.25">
      <c r="I380" t="s">
        <v>331</v>
      </c>
      <c r="L380" t="s">
        <v>327</v>
      </c>
      <c r="O380" t="s">
        <v>330</v>
      </c>
    </row>
    <row r="381" spans="1:61" x14ac:dyDescent="0.25">
      <c r="I381" t="s">
        <v>328</v>
      </c>
      <c r="J381" t="s">
        <v>329</v>
      </c>
      <c r="L381" t="s">
        <v>328</v>
      </c>
      <c r="M381" t="s">
        <v>329</v>
      </c>
      <c r="O381" t="s">
        <v>328</v>
      </c>
      <c r="P381" t="s">
        <v>329</v>
      </c>
      <c r="BG381">
        <f>D6</f>
        <v>0.36666666666666664</v>
      </c>
      <c r="BH381">
        <f>M311</f>
        <v>0.43155950029049023</v>
      </c>
      <c r="BI381">
        <f>M6</f>
        <v>0.54560740694085552</v>
      </c>
    </row>
    <row r="382" spans="1:61" x14ac:dyDescent="0.25">
      <c r="I382">
        <f>D311</f>
        <v>0.36666666666666664</v>
      </c>
      <c r="J382">
        <f>M311</f>
        <v>0.43155950029049023</v>
      </c>
      <c r="L382">
        <f>D307</f>
        <v>0.39285714285714285</v>
      </c>
      <c r="M382">
        <f>M307</f>
        <v>0.53218296088635131</v>
      </c>
      <c r="O382">
        <f>D310</f>
        <v>0.2978723404255319</v>
      </c>
      <c r="P382">
        <f>M310</f>
        <v>0.36122045825242083</v>
      </c>
      <c r="BG382" s="8">
        <f t="shared" ref="BG382:BG383" si="211">D7</f>
        <v>0.56666666666666665</v>
      </c>
      <c r="BH382" s="8">
        <f t="shared" ref="BH382:BH383" si="212">M312</f>
        <v>0.43155950029049023</v>
      </c>
      <c r="BI382" s="8">
        <f t="shared" ref="BI382:BI383" si="213">M7</f>
        <v>0.54560740694085552</v>
      </c>
    </row>
    <row r="383" spans="1:61" x14ac:dyDescent="0.25">
      <c r="I383" s="8">
        <f>D312</f>
        <v>0.56666666666666665</v>
      </c>
      <c r="J383" s="8">
        <f>M312</f>
        <v>0.43155950029049023</v>
      </c>
      <c r="L383" s="8">
        <f t="shared" ref="L383:L384" si="214">D308</f>
        <v>0.59756097560975607</v>
      </c>
      <c r="M383" s="8">
        <f t="shared" ref="M383:M384" si="215">M308</f>
        <v>0.52500893595578502</v>
      </c>
      <c r="O383">
        <f>D322</f>
        <v>0.11363636363636363</v>
      </c>
      <c r="P383">
        <f>M322</f>
        <v>0.16797150778820097</v>
      </c>
      <c r="BG383" s="8">
        <f t="shared" si="211"/>
        <v>0.41176470588235292</v>
      </c>
      <c r="BH383" s="8">
        <f t="shared" si="212"/>
        <v>0.46889463316264884</v>
      </c>
      <c r="BI383" s="8">
        <f t="shared" si="213"/>
        <v>0.58211071504305023</v>
      </c>
    </row>
    <row r="384" spans="1:61" x14ac:dyDescent="0.25">
      <c r="A384">
        <f>1.0996*M307</f>
        <v>0.58518838379063187</v>
      </c>
      <c r="B384">
        <f>A384-D307</f>
        <v>0.19233124093348902</v>
      </c>
      <c r="I384">
        <f>D323</f>
        <v>0.31578947368421051</v>
      </c>
      <c r="J384">
        <f>M323</f>
        <v>0.21369212239394686</v>
      </c>
      <c r="L384" s="8">
        <f t="shared" si="214"/>
        <v>0.5662650602409639</v>
      </c>
      <c r="M384" s="8">
        <f t="shared" si="215"/>
        <v>0.52862014170813765</v>
      </c>
      <c r="O384">
        <f>D334</f>
        <v>0</v>
      </c>
      <c r="P384">
        <f>M334</f>
        <v>0.10245379258131079</v>
      </c>
      <c r="BG384">
        <f>D12</f>
        <v>0.8</v>
      </c>
      <c r="BH384">
        <f>M317</f>
        <v>0.49019236633297397</v>
      </c>
      <c r="BI384">
        <f>M12</f>
        <v>0.60230518403969224</v>
      </c>
    </row>
    <row r="385" spans="1:61" x14ac:dyDescent="0.25">
      <c r="A385" s="8">
        <f t="shared" ref="A385:A419" si="216">1.0996*M308</f>
        <v>0.57729982597698115</v>
      </c>
      <c r="B385" s="8">
        <f t="shared" ref="B385:B419" si="217">A385-D308</f>
        <v>-2.0261149632774922E-2</v>
      </c>
      <c r="I385" s="8">
        <f>D324</f>
        <v>0.48275862068965519</v>
      </c>
      <c r="J385" s="8">
        <f t="shared" ref="J385:J386" si="218">M324</f>
        <v>0.21710601492531603</v>
      </c>
      <c r="L385">
        <f>D316</f>
        <v>0</v>
      </c>
      <c r="M385">
        <f>M316</f>
        <v>0.53218296088635131</v>
      </c>
      <c r="BG385">
        <f>D20</f>
        <v>0.31147540983606559</v>
      </c>
      <c r="BH385">
        <f>M325</f>
        <v>0.22725495218423952</v>
      </c>
      <c r="BI385">
        <f>M20</f>
        <v>0.31598261098125163</v>
      </c>
    </row>
    <row r="386" spans="1:61" x14ac:dyDescent="0.25">
      <c r="A386" s="8">
        <f t="shared" si="216"/>
        <v>0.58127070782226808</v>
      </c>
      <c r="B386" s="8">
        <f t="shared" si="217"/>
        <v>1.5005647581304182E-2</v>
      </c>
      <c r="I386" s="8">
        <f>D325</f>
        <v>0.31147540983606559</v>
      </c>
      <c r="J386" s="8">
        <f t="shared" si="218"/>
        <v>0.22725495218423952</v>
      </c>
      <c r="L386">
        <f>D319</f>
        <v>0.40740740740740738</v>
      </c>
      <c r="M386">
        <f>M319</f>
        <v>0.29121322116769571</v>
      </c>
      <c r="BG386">
        <f>D23</f>
        <v>0.3</v>
      </c>
      <c r="BH386">
        <f>M328</f>
        <v>0.25684528356801367</v>
      </c>
      <c r="BI386">
        <f>M23</f>
        <v>0.35270994976326386</v>
      </c>
    </row>
    <row r="387" spans="1:61" x14ac:dyDescent="0.25">
      <c r="A387" s="8">
        <f t="shared" si="216"/>
        <v>0.39719801589436193</v>
      </c>
      <c r="B387" s="8">
        <f t="shared" si="217"/>
        <v>9.9325675468830033E-2</v>
      </c>
      <c r="I387">
        <f>D335</f>
        <v>5.5555555555555552E-2</v>
      </c>
      <c r="J387">
        <f>M335</f>
        <v>0.13392467528022728</v>
      </c>
      <c r="L387">
        <f>D320</f>
        <v>0.44155844155844154</v>
      </c>
      <c r="M387" s="8">
        <f t="shared" ref="M387:M388" si="219">M320</f>
        <v>0.27894769400127845</v>
      </c>
      <c r="BG387" s="8">
        <f>D24</f>
        <v>0.30303030303030304</v>
      </c>
      <c r="BH387" s="8">
        <f>M329</f>
        <v>0.24385480500914677</v>
      </c>
      <c r="BI387" s="8">
        <f>M24</f>
        <v>0.33673755105160408</v>
      </c>
    </row>
    <row r="388" spans="1:61" x14ac:dyDescent="0.25">
      <c r="A388" s="8">
        <f t="shared" si="216"/>
        <v>0.47454282651942303</v>
      </c>
      <c r="B388" s="8">
        <f t="shared" si="217"/>
        <v>0.10787615985275639</v>
      </c>
      <c r="I388" s="8">
        <f t="shared" ref="I388" si="220">D336</f>
        <v>0.27272727272727271</v>
      </c>
      <c r="J388" s="8">
        <f t="shared" ref="J388:J389" si="221">M336</f>
        <v>0.13631503905658016</v>
      </c>
      <c r="L388" s="8">
        <f>D321</f>
        <v>0.40963855421686746</v>
      </c>
      <c r="M388" s="8">
        <f t="shared" si="219"/>
        <v>0.29724613578147269</v>
      </c>
      <c r="BG388">
        <f>D35</f>
        <v>0.31746031746031744</v>
      </c>
      <c r="BH388">
        <f>M340</f>
        <v>0.15526365687219582</v>
      </c>
      <c r="BI388">
        <f>M35</f>
        <v>0.22161534276832243</v>
      </c>
    </row>
    <row r="389" spans="1:61" x14ac:dyDescent="0.25">
      <c r="A389" s="8">
        <f t="shared" si="216"/>
        <v>0.47454282651942303</v>
      </c>
      <c r="B389" s="8">
        <f t="shared" si="217"/>
        <v>-9.2123840147243619E-2</v>
      </c>
      <c r="I389" s="8">
        <f>D337</f>
        <v>0.29090909090909089</v>
      </c>
      <c r="J389" s="8">
        <f t="shared" si="221"/>
        <v>0.13631503905658016</v>
      </c>
      <c r="L389">
        <f>D331</f>
        <v>0.41249999999999998</v>
      </c>
      <c r="M389">
        <f>M331</f>
        <v>0.19439582885491163</v>
      </c>
    </row>
    <row r="390" spans="1:61" x14ac:dyDescent="0.25">
      <c r="A390" s="8">
        <f t="shared" si="216"/>
        <v>0.51559653862564858</v>
      </c>
      <c r="B390" s="8">
        <f t="shared" si="217"/>
        <v>0.10383183274329566</v>
      </c>
      <c r="I390">
        <f>D341</f>
        <v>0</v>
      </c>
      <c r="J390">
        <f>M341</f>
        <v>0.13631503905658016</v>
      </c>
      <c r="L390" s="8">
        <f t="shared" ref="L390:L391" si="222">D332</f>
        <v>0.35802469135802467</v>
      </c>
      <c r="M390" s="8">
        <f t="shared" ref="M390:M391" si="223">M332</f>
        <v>0.19664580168403911</v>
      </c>
      <c r="BG390">
        <f>D9</f>
        <v>0.74149659863945583</v>
      </c>
      <c r="BH390">
        <f>M314</f>
        <v>0.68666794164534195</v>
      </c>
      <c r="BI390">
        <f>M9</f>
        <v>0.77123271841161134</v>
      </c>
    </row>
    <row r="391" spans="1:61" x14ac:dyDescent="0.25">
      <c r="A391" s="8">
        <f t="shared" si="216"/>
        <v>0.75506006863321795</v>
      </c>
      <c r="B391" s="8">
        <f t="shared" si="217"/>
        <v>1.3563469993762123E-2</v>
      </c>
      <c r="I391">
        <f>I400</f>
        <v>0.31746031746031744</v>
      </c>
      <c r="J391" s="8">
        <f>J400</f>
        <v>0.15526365687219582</v>
      </c>
      <c r="L391" s="8">
        <f t="shared" si="222"/>
        <v>0.3125</v>
      </c>
      <c r="M391" s="8">
        <f t="shared" si="223"/>
        <v>0.19439582885491163</v>
      </c>
      <c r="BG391" s="8">
        <f>D10</f>
        <v>0.57823129251700678</v>
      </c>
      <c r="BH391" s="8">
        <f>M315</f>
        <v>0.68666794164534195</v>
      </c>
      <c r="BI391" s="8">
        <f>M10</f>
        <v>0.77123271841161134</v>
      </c>
    </row>
    <row r="392" spans="1:61" x14ac:dyDescent="0.25">
      <c r="A392" s="8">
        <f t="shared" si="216"/>
        <v>0.75506006863321795</v>
      </c>
      <c r="B392" s="8">
        <f t="shared" si="217"/>
        <v>0.17682877611621117</v>
      </c>
      <c r="BG392">
        <f>D13</f>
        <v>0.80838323353293418</v>
      </c>
      <c r="BH392">
        <f>M318</f>
        <v>0.71707897002144394</v>
      </c>
      <c r="BI392">
        <f>M13</f>
        <v>0.79515111079382139</v>
      </c>
    </row>
    <row r="393" spans="1:61" x14ac:dyDescent="0.25">
      <c r="A393" s="8">
        <f t="shared" si="216"/>
        <v>0.58518838379063187</v>
      </c>
      <c r="B393" s="8">
        <f t="shared" si="217"/>
        <v>0.58518838379063187</v>
      </c>
      <c r="BG393">
        <f>D21</f>
        <v>0.58278145695364236</v>
      </c>
      <c r="BH393">
        <f>M326</f>
        <v>0.46495025033062626</v>
      </c>
      <c r="BI393">
        <f>M21</f>
        <v>0.57832189531525147</v>
      </c>
    </row>
    <row r="394" spans="1:61" x14ac:dyDescent="0.25">
      <c r="A394" s="8">
        <f t="shared" si="216"/>
        <v>0.53901552601973812</v>
      </c>
      <c r="B394" s="8">
        <f t="shared" si="217"/>
        <v>-0.26098447398026192</v>
      </c>
      <c r="I394" t="s">
        <v>332</v>
      </c>
      <c r="L394" t="s">
        <v>333</v>
      </c>
      <c r="BG394" s="8">
        <f>D22</f>
        <v>0.6333333333333333</v>
      </c>
      <c r="BH394" s="8">
        <f>M327</f>
        <v>0.46295956743654321</v>
      </c>
      <c r="BI394" s="8">
        <f>M22</f>
        <v>0.57640380503917654</v>
      </c>
    </row>
    <row r="395" spans="1:61" x14ac:dyDescent="0.25">
      <c r="A395" s="8">
        <f t="shared" si="216"/>
        <v>0.78850003543557967</v>
      </c>
      <c r="B395" s="8">
        <f t="shared" si="217"/>
        <v>-1.9883198097354504E-2</v>
      </c>
      <c r="I395" t="s">
        <v>328</v>
      </c>
      <c r="J395" t="s">
        <v>329</v>
      </c>
      <c r="L395" t="s">
        <v>328</v>
      </c>
      <c r="M395" t="s">
        <v>329</v>
      </c>
      <c r="BG395">
        <f>D25</f>
        <v>0.90410958904109584</v>
      </c>
      <c r="BH395">
        <f>M330</f>
        <v>0.45487160351710471</v>
      </c>
      <c r="BI395">
        <f>M25</f>
        <v>0.56856947491007859</v>
      </c>
    </row>
    <row r="396" spans="1:61" x14ac:dyDescent="0.25">
      <c r="A396" s="8">
        <f t="shared" si="216"/>
        <v>0.32021805799599817</v>
      </c>
      <c r="B396" s="8">
        <f t="shared" si="217"/>
        <v>-8.7189349411409212E-2</v>
      </c>
      <c r="I396">
        <f>D313</f>
        <v>0.41176470588235292</v>
      </c>
      <c r="J396">
        <f>M313</f>
        <v>0.46889463316264884</v>
      </c>
      <c r="L396">
        <f>D314</f>
        <v>0.74149659863945583</v>
      </c>
      <c r="M396">
        <f>M314</f>
        <v>0.68666794164534195</v>
      </c>
      <c r="BG396">
        <f>D33</f>
        <v>0.54794520547945202</v>
      </c>
      <c r="BH396">
        <f>M338</f>
        <v>0.32883631005319658</v>
      </c>
      <c r="BI396">
        <f>M33</f>
        <v>0.43697751914309979</v>
      </c>
    </row>
    <row r="397" spans="1:61" x14ac:dyDescent="0.25">
      <c r="A397" s="8">
        <f t="shared" si="216"/>
        <v>0.30673088432380574</v>
      </c>
      <c r="B397" s="8">
        <f t="shared" si="217"/>
        <v>-0.1348275572346358</v>
      </c>
      <c r="I397">
        <f>D317</f>
        <v>0.8</v>
      </c>
      <c r="J397">
        <f>M317</f>
        <v>0.49019236633297397</v>
      </c>
      <c r="L397" s="8">
        <f>D315</f>
        <v>0.57823129251700678</v>
      </c>
      <c r="M397" s="8">
        <f>M315</f>
        <v>0.68666794164534195</v>
      </c>
      <c r="BG397" s="8">
        <f>D34</f>
        <v>0.64189189189189189</v>
      </c>
      <c r="BH397" s="8">
        <f>M339</f>
        <v>0.33244820375305895</v>
      </c>
      <c r="BI397" s="8">
        <f>M34</f>
        <v>0.44102016248251419</v>
      </c>
    </row>
    <row r="398" spans="1:61" x14ac:dyDescent="0.25">
      <c r="A398" s="8">
        <f t="shared" si="216"/>
        <v>0.32685185090530733</v>
      </c>
      <c r="B398" s="8">
        <f t="shared" si="217"/>
        <v>-8.2786703311560128E-2</v>
      </c>
      <c r="I398">
        <f>D328</f>
        <v>0.3</v>
      </c>
      <c r="J398">
        <f>M328</f>
        <v>0.25684528356801367</v>
      </c>
      <c r="L398">
        <f>D318</f>
        <v>0.80838323353293418</v>
      </c>
      <c r="M398">
        <f>M318</f>
        <v>0.71707897002144394</v>
      </c>
      <c r="BG398">
        <f>D37</f>
        <v>0.91275167785234901</v>
      </c>
      <c r="BH398">
        <f>M342</f>
        <v>0.33424397961482416</v>
      </c>
      <c r="BI398">
        <f>M37</f>
        <v>0.44302371186039757</v>
      </c>
    </row>
    <row r="399" spans="1:61" x14ac:dyDescent="0.25">
      <c r="A399" s="8">
        <f t="shared" si="216"/>
        <v>0.18470146996390577</v>
      </c>
      <c r="B399" s="8">
        <f t="shared" si="217"/>
        <v>7.1065106327542135E-2</v>
      </c>
      <c r="I399" s="8">
        <f>D329</f>
        <v>0.30303030303030304</v>
      </c>
      <c r="J399" s="8">
        <f>M329</f>
        <v>0.24385480500914677</v>
      </c>
      <c r="L399">
        <f>D326</f>
        <v>0.58278145695364236</v>
      </c>
      <c r="M399">
        <f>M326</f>
        <v>0.46495025033062626</v>
      </c>
    </row>
    <row r="400" spans="1:61" x14ac:dyDescent="0.25">
      <c r="A400" s="8">
        <f t="shared" si="216"/>
        <v>0.23497585778438396</v>
      </c>
      <c r="B400" s="8">
        <f t="shared" si="217"/>
        <v>-8.0813615899826552E-2</v>
      </c>
      <c r="I400">
        <f>D340</f>
        <v>0.31746031746031744</v>
      </c>
      <c r="J400">
        <f>M340</f>
        <v>0.15526365687219582</v>
      </c>
      <c r="L400" s="8">
        <f>D327</f>
        <v>0.6333333333333333</v>
      </c>
      <c r="M400" s="8">
        <f>M327</f>
        <v>0.46295956743654321</v>
      </c>
    </row>
    <row r="401" spans="1:13" x14ac:dyDescent="0.25">
      <c r="A401" s="8">
        <f t="shared" si="216"/>
        <v>0.23872977401187748</v>
      </c>
      <c r="B401" s="8">
        <f t="shared" si="217"/>
        <v>-0.24402884667777772</v>
      </c>
      <c r="L401">
        <f>D330</f>
        <v>0.90410958904109584</v>
      </c>
      <c r="M401">
        <f>M330</f>
        <v>0.45487160351710471</v>
      </c>
    </row>
    <row r="402" spans="1:13" x14ac:dyDescent="0.25">
      <c r="A402" s="8">
        <f t="shared" si="216"/>
        <v>0.24988954542178976</v>
      </c>
      <c r="B402" s="8">
        <f t="shared" si="217"/>
        <v>-6.1585864414275826E-2</v>
      </c>
      <c r="L402">
        <f>D338</f>
        <v>0.54794520547945202</v>
      </c>
      <c r="M402">
        <f>M338</f>
        <v>0.32883631005319658</v>
      </c>
    </row>
    <row r="403" spans="1:13" x14ac:dyDescent="0.25">
      <c r="A403" s="8">
        <f t="shared" si="216"/>
        <v>0.51125929526355662</v>
      </c>
      <c r="B403" s="8">
        <f t="shared" si="217"/>
        <v>-7.1522161690085739E-2</v>
      </c>
      <c r="L403" s="8">
        <f>D339</f>
        <v>0.64189189189189189</v>
      </c>
      <c r="M403" s="8">
        <f>M339</f>
        <v>0.33244820375305895</v>
      </c>
    </row>
    <row r="404" spans="1:13" x14ac:dyDescent="0.25">
      <c r="A404" s="8">
        <f t="shared" si="216"/>
        <v>0.50907034035322285</v>
      </c>
      <c r="B404" s="8">
        <f t="shared" si="217"/>
        <v>-0.12426299298011045</v>
      </c>
      <c r="L404">
        <f>D342</f>
        <v>0.91275167785234901</v>
      </c>
      <c r="M404">
        <f>M342</f>
        <v>0.33424397961482416</v>
      </c>
    </row>
    <row r="405" spans="1:13" x14ac:dyDescent="0.25">
      <c r="A405" s="8">
        <f t="shared" si="216"/>
        <v>0.28242707381138782</v>
      </c>
      <c r="B405" s="8">
        <f t="shared" si="217"/>
        <v>-1.757292618861217E-2</v>
      </c>
    </row>
    <row r="406" spans="1:13" x14ac:dyDescent="0.25">
      <c r="A406" s="8">
        <f t="shared" si="216"/>
        <v>0.26814274358805779</v>
      </c>
      <c r="B406" s="8">
        <f t="shared" si="217"/>
        <v>-3.4887559442245253E-2</v>
      </c>
    </row>
    <row r="407" spans="1:13" x14ac:dyDescent="0.25">
      <c r="A407" s="8">
        <f t="shared" si="216"/>
        <v>0.50017681522740831</v>
      </c>
      <c r="B407" s="8">
        <f t="shared" si="217"/>
        <v>-0.40393277381368753</v>
      </c>
    </row>
    <row r="408" spans="1:13" x14ac:dyDescent="0.25">
      <c r="A408" s="8">
        <f t="shared" si="216"/>
        <v>0.21375765340886083</v>
      </c>
      <c r="B408" s="8">
        <f t="shared" si="217"/>
        <v>-0.19874234659113915</v>
      </c>
    </row>
    <row r="409" spans="1:13" x14ac:dyDescent="0.25">
      <c r="A409" s="8">
        <f t="shared" si="216"/>
        <v>0.21623172353176939</v>
      </c>
      <c r="B409" s="8">
        <f t="shared" si="217"/>
        <v>-0.14179296782625528</v>
      </c>
    </row>
    <row r="410" spans="1:13" x14ac:dyDescent="0.25">
      <c r="A410" s="8">
        <f t="shared" si="216"/>
        <v>0.21375765340886083</v>
      </c>
      <c r="B410" s="8">
        <f t="shared" si="217"/>
        <v>-9.8742346591139174E-2</v>
      </c>
    </row>
    <row r="411" spans="1:13" x14ac:dyDescent="0.25">
      <c r="A411" s="8">
        <f t="shared" si="216"/>
        <v>0.11265819032240934</v>
      </c>
      <c r="B411" s="8">
        <f t="shared" si="217"/>
        <v>0.11265819032240934</v>
      </c>
    </row>
    <row r="412" spans="1:13" x14ac:dyDescent="0.25">
      <c r="A412" s="8">
        <f t="shared" si="216"/>
        <v>0.14726357293813791</v>
      </c>
      <c r="B412" s="8">
        <f t="shared" si="217"/>
        <v>9.1708017382582357E-2</v>
      </c>
    </row>
    <row r="413" spans="1:13" x14ac:dyDescent="0.25">
      <c r="A413" s="8">
        <f t="shared" si="216"/>
        <v>0.14989201694661552</v>
      </c>
      <c r="B413" s="8">
        <f t="shared" si="217"/>
        <v>-0.12283525578065718</v>
      </c>
    </row>
    <row r="414" spans="1:13" x14ac:dyDescent="0.25">
      <c r="A414" s="8">
        <f t="shared" si="216"/>
        <v>0.14989201694661552</v>
      </c>
      <c r="B414" s="8">
        <f t="shared" si="217"/>
        <v>-0.14101707396247537</v>
      </c>
    </row>
    <row r="415" spans="1:13" x14ac:dyDescent="0.25">
      <c r="A415" s="8">
        <f t="shared" si="216"/>
        <v>0.36158840653449492</v>
      </c>
      <c r="B415" s="8">
        <f t="shared" si="217"/>
        <v>-0.1863567989449571</v>
      </c>
    </row>
    <row r="416" spans="1:13" x14ac:dyDescent="0.25">
      <c r="A416" s="8">
        <f t="shared" si="216"/>
        <v>0.36556004484686361</v>
      </c>
      <c r="B416" s="8">
        <f t="shared" si="217"/>
        <v>-0.27633184704502828</v>
      </c>
    </row>
    <row r="417" spans="1:104" x14ac:dyDescent="0.25">
      <c r="A417" s="8">
        <f t="shared" si="216"/>
        <v>0.17072791709666651</v>
      </c>
      <c r="B417" s="8">
        <f t="shared" si="217"/>
        <v>-0.14673240036365093</v>
      </c>
    </row>
    <row r="418" spans="1:104" x14ac:dyDescent="0.25">
      <c r="A418" s="8">
        <f t="shared" si="216"/>
        <v>0.14989201694661552</v>
      </c>
      <c r="B418" s="8">
        <f t="shared" si="217"/>
        <v>0.14989201694661552</v>
      </c>
    </row>
    <row r="419" spans="1:104" x14ac:dyDescent="0.25">
      <c r="A419" s="8">
        <f t="shared" si="216"/>
        <v>0.3675346799844606</v>
      </c>
      <c r="B419" s="8">
        <f t="shared" si="217"/>
        <v>-0.54521699786788846</v>
      </c>
    </row>
    <row r="420" spans="1:104" x14ac:dyDescent="0.25">
      <c r="A420" s="8"/>
      <c r="CZ420" t="s">
        <v>294</v>
      </c>
    </row>
    <row r="421" spans="1:104" x14ac:dyDescent="0.25">
      <c r="A421">
        <f>SUM(B384,B386:B388,B390:B394,B399,B411:B412,B418)</f>
        <v>1.4582900434791679</v>
      </c>
      <c r="B421">
        <f>SUM(B385,B389,B395:B398,B400:B410,B413:B417,B419)</f>
        <v>-3.3334465739147907</v>
      </c>
    </row>
    <row r="422" spans="1:104" x14ac:dyDescent="0.25">
      <c r="B422">
        <f>SUM(A421:B421)</f>
        <v>-1.8751565304356228</v>
      </c>
    </row>
    <row r="435" spans="12:12" x14ac:dyDescent="0.25">
      <c r="L435" t="s">
        <v>289</v>
      </c>
    </row>
    <row r="451" spans="1:30" x14ac:dyDescent="0.25">
      <c r="G451" t="s">
        <v>302</v>
      </c>
      <c r="H451" t="s">
        <v>183</v>
      </c>
      <c r="I451" t="s">
        <v>149</v>
      </c>
      <c r="J451" t="s">
        <v>150</v>
      </c>
    </row>
    <row r="452" spans="1:30" x14ac:dyDescent="0.25">
      <c r="G452">
        <v>0.53</v>
      </c>
      <c r="H452">
        <v>30</v>
      </c>
      <c r="I452">
        <f>($G$452+1)/$G$452</f>
        <v>2.8867924528301887</v>
      </c>
      <c r="J452">
        <f>1/G452</f>
        <v>1.8867924528301885</v>
      </c>
    </row>
    <row r="453" spans="1:30" x14ac:dyDescent="0.25">
      <c r="A453" t="s">
        <v>301</v>
      </c>
    </row>
    <row r="455" spans="1:30" x14ac:dyDescent="0.25">
      <c r="A455" t="str">
        <f>A306</f>
        <v>sample files from polar</v>
      </c>
      <c r="B455" s="8" t="str">
        <f t="shared" ref="B455:I455" si="224">B306</f>
        <v>sample number</v>
      </c>
      <c r="C455" s="8" t="str">
        <f t="shared" si="224"/>
        <v>Distance from injection point</v>
      </c>
      <c r="D455" s="8" t="str">
        <f t="shared" si="224"/>
        <v>core fraction</v>
      </c>
      <c r="E455" s="8" t="str">
        <f t="shared" si="224"/>
        <v>skin fraction</v>
      </c>
      <c r="F455" s="8" t="str">
        <f t="shared" si="224"/>
        <v>thickness</v>
      </c>
      <c r="G455" s="8" t="str">
        <f t="shared" si="224"/>
        <v>annealing time</v>
      </c>
      <c r="H455" s="8" t="str">
        <f t="shared" si="224"/>
        <v>cooling</v>
      </c>
      <c r="I455" s="8" t="str">
        <f t="shared" si="224"/>
        <v>b</v>
      </c>
      <c r="J455" s="8" t="s">
        <v>244</v>
      </c>
      <c r="K455" s="8" t="s">
        <v>303</v>
      </c>
      <c r="L455" s="8" t="s">
        <v>187</v>
      </c>
      <c r="M455" t="s">
        <v>304</v>
      </c>
      <c r="N455" t="s">
        <v>248</v>
      </c>
    </row>
    <row r="456" spans="1:30" x14ac:dyDescent="0.25">
      <c r="A456" s="8" t="str">
        <f t="shared" ref="A456:I456" si="225">A307</f>
        <v>462 (2)</v>
      </c>
      <c r="B456" s="8">
        <f t="shared" si="225"/>
        <v>2</v>
      </c>
      <c r="C456" s="8">
        <f>C307</f>
        <v>12</v>
      </c>
      <c r="D456" s="8">
        <f t="shared" si="225"/>
        <v>0.39285714285714285</v>
      </c>
      <c r="E456" s="8">
        <f t="shared" si="225"/>
        <v>0.60714285714285721</v>
      </c>
      <c r="F456" s="1">
        <f t="shared" si="225"/>
        <v>0.84</v>
      </c>
      <c r="G456" s="8">
        <f t="shared" si="225"/>
        <v>0</v>
      </c>
      <c r="H456" s="8">
        <f t="shared" si="225"/>
        <v>0</v>
      </c>
      <c r="I456" s="8">
        <f t="shared" si="225"/>
        <v>0.42</v>
      </c>
      <c r="J456">
        <f>C456*10^-3</f>
        <v>1.2E-2</v>
      </c>
      <c r="K456">
        <f>I456*10^-3</f>
        <v>4.2000000000000002E-4</v>
      </c>
      <c r="L456">
        <v>2.5559168989280082E-4</v>
      </c>
      <c r="M456">
        <f>(J456*$I$452*(1/K456)^$I$452)*L456^$J$452 - SQRT(2)*$H$452 + SQRT(2)*$H$452*(L456/K456)^$I$452</f>
        <v>-7.709388682997087E-13</v>
      </c>
      <c r="N456">
        <f>L456/K456</f>
        <v>0.60855164260190664</v>
      </c>
    </row>
    <row r="457" spans="1:30" x14ac:dyDescent="0.25">
      <c r="A457" s="8" t="str">
        <f t="shared" ref="A457:I457" si="226">A308</f>
        <v>442 (3)</v>
      </c>
      <c r="B457" s="8">
        <f t="shared" si="226"/>
        <v>3</v>
      </c>
      <c r="C457" s="8">
        <f t="shared" si="226"/>
        <v>12</v>
      </c>
      <c r="D457" s="8">
        <f t="shared" si="226"/>
        <v>0.59756097560975607</v>
      </c>
      <c r="E457" s="8">
        <f t="shared" si="226"/>
        <v>0.40243902439024393</v>
      </c>
      <c r="F457" s="1">
        <f t="shared" si="226"/>
        <v>0.82</v>
      </c>
      <c r="G457" s="8">
        <f t="shared" si="226"/>
        <v>60</v>
      </c>
      <c r="H457" s="8">
        <f t="shared" si="226"/>
        <v>0</v>
      </c>
      <c r="I457" s="8">
        <f t="shared" si="226"/>
        <v>0.41</v>
      </c>
      <c r="J457" s="8">
        <f t="shared" ref="J457:J491" si="227">C457*10^-3</f>
        <v>1.2E-2</v>
      </c>
      <c r="K457" s="8">
        <f t="shared" ref="K457:K491" si="228">I457*10^-3</f>
        <v>4.0999999999999999E-4</v>
      </c>
      <c r="L457" s="8">
        <v>2.4734949261499763E-4</v>
      </c>
      <c r="M457" s="8">
        <f>(J457*$I$452*(1/K457)^$I$452)*L457^$J$452 - SQRT(2)*$H$452 + SQRT(2)*$H$452*(L457/K457)^$I$452</f>
        <v>-7.567280135845067E-13</v>
      </c>
      <c r="N457" s="8">
        <f t="shared" ref="N457:N491" si="229">L457/K457</f>
        <v>0.60329144540243329</v>
      </c>
    </row>
    <row r="458" spans="1:30" x14ac:dyDescent="0.25">
      <c r="A458" s="8" t="str">
        <f t="shared" ref="A458:I458" si="230">A309</f>
        <v>453 (4)</v>
      </c>
      <c r="B458" s="8">
        <f t="shared" si="230"/>
        <v>4</v>
      </c>
      <c r="C458" s="8">
        <f t="shared" si="230"/>
        <v>12</v>
      </c>
      <c r="D458" s="8">
        <f t="shared" si="230"/>
        <v>0.5662650602409639</v>
      </c>
      <c r="E458" s="8">
        <f t="shared" si="230"/>
        <v>0.43373493975903615</v>
      </c>
      <c r="F458" s="1">
        <f t="shared" si="230"/>
        <v>0.83</v>
      </c>
      <c r="G458" s="8">
        <f t="shared" si="230"/>
        <v>30</v>
      </c>
      <c r="H458" s="8">
        <f t="shared" si="230"/>
        <v>0</v>
      </c>
      <c r="I458" s="8">
        <f t="shared" si="230"/>
        <v>0.41499999999999998</v>
      </c>
      <c r="J458" s="8">
        <f t="shared" si="227"/>
        <v>1.2E-2</v>
      </c>
      <c r="K458" s="8">
        <f t="shared" si="228"/>
        <v>4.15E-4</v>
      </c>
      <c r="L458" s="8">
        <v>2.5146451189632011E-4</v>
      </c>
      <c r="M458" s="8">
        <f>(J458*$I$452*(1/K458)^$I$452)*L458^$J$452 - SQRT(2)*$H$452 + SQRT(2)*$H$452*(L458/K458)^$I$452</f>
        <v>-7.0166095156309893E-13</v>
      </c>
      <c r="N458" s="8">
        <f t="shared" si="229"/>
        <v>0.60593858288269908</v>
      </c>
    </row>
    <row r="459" spans="1:30" x14ac:dyDescent="0.25">
      <c r="A459" s="8" t="str">
        <f t="shared" ref="A459:I459" si="231">A310</f>
        <v>639 (5)</v>
      </c>
      <c r="B459" s="8">
        <f t="shared" si="231"/>
        <v>5</v>
      </c>
      <c r="C459" s="8">
        <f t="shared" si="231"/>
        <v>12</v>
      </c>
      <c r="D459" s="8">
        <f t="shared" si="231"/>
        <v>0.2978723404255319</v>
      </c>
      <c r="E459" s="8">
        <f t="shared" si="231"/>
        <v>0.7021276595744681</v>
      </c>
      <c r="F459" s="8">
        <f t="shared" si="231"/>
        <v>0.47</v>
      </c>
      <c r="G459" s="8">
        <f t="shared" si="231"/>
        <v>0</v>
      </c>
      <c r="H459" s="8">
        <f t="shared" si="231"/>
        <v>0</v>
      </c>
      <c r="I459" s="8">
        <f t="shared" si="231"/>
        <v>0.23499999999999999</v>
      </c>
      <c r="J459" s="8">
        <f t="shared" si="227"/>
        <v>1.2E-2</v>
      </c>
      <c r="K459" s="8">
        <f t="shared" si="228"/>
        <v>2.3499999999999999E-4</v>
      </c>
      <c r="L459" s="8">
        <v>1.1336261127770614E-4</v>
      </c>
      <c r="M459" s="8">
        <f t="shared" ref="M459:M461" si="232">(J459*$I$452*(1/K459)^$I$452)*L459^$J$452 - SQRT(2)*$H$452 + SQRT(2)*$H$452*(L459/K459)^$I$452</f>
        <v>-4.0856207306205761E-13</v>
      </c>
      <c r="N459" s="8">
        <f t="shared" si="229"/>
        <v>0.48239409054343035</v>
      </c>
    </row>
    <row r="460" spans="1:30" x14ac:dyDescent="0.25">
      <c r="A460" s="8" t="str">
        <f t="shared" ref="A460:I460" si="233">A311</f>
        <v>514 (8)</v>
      </c>
      <c r="B460" s="8">
        <f t="shared" si="233"/>
        <v>8</v>
      </c>
      <c r="C460" s="8">
        <f t="shared" si="233"/>
        <v>12</v>
      </c>
      <c r="D460" s="8">
        <f t="shared" si="233"/>
        <v>0.36666666666666664</v>
      </c>
      <c r="E460" s="8">
        <f t="shared" si="233"/>
        <v>0.6333333333333333</v>
      </c>
      <c r="F460" s="8">
        <f t="shared" si="233"/>
        <v>0.6</v>
      </c>
      <c r="G460" s="8">
        <f t="shared" si="233"/>
        <v>0</v>
      </c>
      <c r="H460" s="8">
        <f t="shared" si="233"/>
        <v>0</v>
      </c>
      <c r="I460" s="8">
        <f t="shared" si="233"/>
        <v>0.3</v>
      </c>
      <c r="J460" s="8">
        <f t="shared" si="227"/>
        <v>1.2E-2</v>
      </c>
      <c r="K460" s="8">
        <f t="shared" si="228"/>
        <v>2.9999999999999997E-4</v>
      </c>
      <c r="L460" s="8">
        <v>1.604573160427041E-4</v>
      </c>
      <c r="M460" s="8">
        <f t="shared" si="232"/>
        <v>-3.765876499528531E-13</v>
      </c>
      <c r="N460" s="8">
        <f t="shared" si="229"/>
        <v>0.53485772014234712</v>
      </c>
    </row>
    <row r="461" spans="1:30" x14ac:dyDescent="0.25">
      <c r="A461" s="8" t="str">
        <f t="shared" ref="A461:I461" si="234">A312</f>
        <v>517 (9)</v>
      </c>
      <c r="B461" s="8">
        <f t="shared" si="234"/>
        <v>9</v>
      </c>
      <c r="C461" s="8">
        <f t="shared" si="234"/>
        <v>12</v>
      </c>
      <c r="D461" s="8">
        <f t="shared" si="234"/>
        <v>0.56666666666666665</v>
      </c>
      <c r="E461" s="8">
        <f t="shared" si="234"/>
        <v>0.43333333333333335</v>
      </c>
      <c r="F461" s="8">
        <f t="shared" si="234"/>
        <v>0.6</v>
      </c>
      <c r="G461" s="8">
        <f t="shared" si="234"/>
        <v>60</v>
      </c>
      <c r="H461" s="8">
        <f t="shared" si="234"/>
        <v>1</v>
      </c>
      <c r="I461" s="8">
        <f t="shared" si="234"/>
        <v>0.3</v>
      </c>
      <c r="J461" s="8">
        <f t="shared" si="227"/>
        <v>1.2E-2</v>
      </c>
      <c r="K461" s="8">
        <f t="shared" si="228"/>
        <v>2.9999999999999997E-4</v>
      </c>
      <c r="L461" s="8">
        <v>1.604573160427041E-4</v>
      </c>
      <c r="M461" s="8">
        <f t="shared" si="232"/>
        <v>-3.765876499528531E-13</v>
      </c>
      <c r="N461" s="8">
        <f t="shared" si="229"/>
        <v>0.53485772014234712</v>
      </c>
    </row>
    <row r="462" spans="1:30" x14ac:dyDescent="0.25">
      <c r="A462" s="8" t="str">
        <f t="shared" ref="A462:I462" si="235">A313</f>
        <v>520 (10)</v>
      </c>
      <c r="B462" s="8">
        <f t="shared" si="235"/>
        <v>10</v>
      </c>
      <c r="C462" s="8">
        <f t="shared" si="235"/>
        <v>12</v>
      </c>
      <c r="D462" s="8">
        <f t="shared" si="235"/>
        <v>0.41176470588235292</v>
      </c>
      <c r="E462" s="8">
        <f t="shared" si="235"/>
        <v>0.58823529411764708</v>
      </c>
      <c r="F462" s="8">
        <f t="shared" si="235"/>
        <v>0.68</v>
      </c>
      <c r="G462" s="8">
        <f t="shared" si="235"/>
        <v>30</v>
      </c>
      <c r="H462" s="8">
        <f t="shared" si="235"/>
        <v>0</v>
      </c>
      <c r="I462" s="8">
        <f t="shared" si="235"/>
        <v>0.34</v>
      </c>
      <c r="J462" s="8">
        <f t="shared" si="227"/>
        <v>1.2E-2</v>
      </c>
      <c r="K462" s="8">
        <f t="shared" si="228"/>
        <v>3.4000000000000002E-4</v>
      </c>
      <c r="L462" s="8">
        <v>1.9116296613261422E-4</v>
      </c>
      <c r="M462" s="8">
        <f t="shared" ref="M462:M491" si="236">(J462*$I$452*(1/K462)^$I$452)*L462^$J$452 - SQRT(2)*$H$452 + SQRT(2)*$H$452*(L462/K462)^$I$452</f>
        <v>-3.9968028886505635E-13</v>
      </c>
      <c r="N462" s="8">
        <f t="shared" si="229"/>
        <v>0.56224401803710056</v>
      </c>
    </row>
    <row r="463" spans="1:30" x14ac:dyDescent="0.25">
      <c r="A463" s="8" t="str">
        <f t="shared" ref="A463:I463" si="237">A314</f>
        <v>584 (11)</v>
      </c>
      <c r="B463" s="8">
        <f t="shared" si="237"/>
        <v>11</v>
      </c>
      <c r="C463" s="8">
        <f t="shared" si="237"/>
        <v>12</v>
      </c>
      <c r="D463" s="8">
        <f t="shared" si="237"/>
        <v>0.74149659863945583</v>
      </c>
      <c r="E463" s="8">
        <f t="shared" si="237"/>
        <v>0.25850340136054423</v>
      </c>
      <c r="F463" s="8">
        <f t="shared" si="237"/>
        <v>1.47</v>
      </c>
      <c r="G463" s="8">
        <f t="shared" si="237"/>
        <v>30</v>
      </c>
      <c r="H463" s="8">
        <f t="shared" si="237"/>
        <v>0</v>
      </c>
      <c r="I463" s="8">
        <f t="shared" si="237"/>
        <v>0.73499999999999999</v>
      </c>
      <c r="J463" s="8">
        <f t="shared" si="227"/>
        <v>1.2E-2</v>
      </c>
      <c r="K463" s="8">
        <f t="shared" si="228"/>
        <v>7.3499999999999998E-4</v>
      </c>
      <c r="L463" s="8">
        <v>5.3269500498006835E-4</v>
      </c>
      <c r="M463" s="8">
        <f t="shared" si="236"/>
        <v>-4.7606363295926712E-13</v>
      </c>
      <c r="N463" s="8">
        <f t="shared" si="229"/>
        <v>0.72475510881641958</v>
      </c>
    </row>
    <row r="464" spans="1:30" x14ac:dyDescent="0.25">
      <c r="A464" s="8" t="str">
        <f t="shared" ref="A464:I464" si="238">A315</f>
        <v>588 (12)</v>
      </c>
      <c r="B464" s="8">
        <f t="shared" si="238"/>
        <v>12</v>
      </c>
      <c r="C464" s="8">
        <f t="shared" si="238"/>
        <v>12</v>
      </c>
      <c r="D464" s="8">
        <f t="shared" si="238"/>
        <v>0.57823129251700678</v>
      </c>
      <c r="E464" s="8">
        <f t="shared" si="238"/>
        <v>0.42176870748299322</v>
      </c>
      <c r="F464" s="8">
        <f t="shared" si="238"/>
        <v>1.47</v>
      </c>
      <c r="G464" s="8">
        <f t="shared" si="238"/>
        <v>0</v>
      </c>
      <c r="H464" s="8">
        <f t="shared" si="238"/>
        <v>1</v>
      </c>
      <c r="I464" s="8">
        <f t="shared" si="238"/>
        <v>0.73499999999999999</v>
      </c>
      <c r="J464" s="8">
        <f t="shared" si="227"/>
        <v>1.2E-2</v>
      </c>
      <c r="K464" s="8">
        <f t="shared" si="228"/>
        <v>7.3499999999999998E-4</v>
      </c>
      <c r="L464" s="8">
        <v>5.3269500498006835E-4</v>
      </c>
      <c r="M464" s="8">
        <f t="shared" si="236"/>
        <v>-4.7606363295926712E-13</v>
      </c>
      <c r="N464" s="8">
        <f t="shared" si="229"/>
        <v>0.72475510881641958</v>
      </c>
      <c r="R464" t="s">
        <v>334</v>
      </c>
      <c r="U464" t="s">
        <v>335</v>
      </c>
      <c r="X464" t="s">
        <v>336</v>
      </c>
      <c r="AA464" t="s">
        <v>337</v>
      </c>
      <c r="AD464" t="s">
        <v>338</v>
      </c>
    </row>
    <row r="465" spans="1:31" x14ac:dyDescent="0.25">
      <c r="A465" s="8" t="str">
        <f t="shared" ref="A465:I465" si="239">A316</f>
        <v>642 (6)</v>
      </c>
      <c r="B465" s="8">
        <f t="shared" si="239"/>
        <v>6</v>
      </c>
      <c r="C465" s="8">
        <f t="shared" si="239"/>
        <v>12</v>
      </c>
      <c r="D465" s="8">
        <f t="shared" si="239"/>
        <v>0</v>
      </c>
      <c r="E465" s="8">
        <f t="shared" si="239"/>
        <v>1</v>
      </c>
      <c r="F465" s="1">
        <f t="shared" si="239"/>
        <v>0.84</v>
      </c>
      <c r="G465" s="8">
        <f t="shared" si="239"/>
        <v>60</v>
      </c>
      <c r="H465" s="8">
        <f t="shared" si="239"/>
        <v>0</v>
      </c>
      <c r="I465" s="8">
        <f t="shared" si="239"/>
        <v>0.42</v>
      </c>
      <c r="J465" s="8">
        <f t="shared" si="227"/>
        <v>1.2E-2</v>
      </c>
      <c r="K465" s="8">
        <f t="shared" si="228"/>
        <v>4.2000000000000002E-4</v>
      </c>
      <c r="L465" s="8">
        <v>2.5559168989280082E-4</v>
      </c>
      <c r="M465" s="8">
        <f t="shared" si="236"/>
        <v>-7.709388682997087E-13</v>
      </c>
      <c r="N465" s="8">
        <f t="shared" si="229"/>
        <v>0.60855164260190664</v>
      </c>
      <c r="R465" t="s">
        <v>328</v>
      </c>
      <c r="S465" t="s">
        <v>329</v>
      </c>
      <c r="U465" t="s">
        <v>328</v>
      </c>
      <c r="V465" t="s">
        <v>329</v>
      </c>
      <c r="X465" t="s">
        <v>328</v>
      </c>
      <c r="Y465" t="s">
        <v>329</v>
      </c>
      <c r="AA465" t="s">
        <v>328</v>
      </c>
      <c r="AB465" t="s">
        <v>329</v>
      </c>
      <c r="AD465" t="s">
        <v>328</v>
      </c>
      <c r="AE465" t="s">
        <v>329</v>
      </c>
    </row>
    <row r="466" spans="1:31" x14ac:dyDescent="0.25">
      <c r="A466" s="8" t="str">
        <f t="shared" ref="A466:I466" si="240">A317</f>
        <v>635 (7)</v>
      </c>
      <c r="B466" s="8">
        <f t="shared" si="240"/>
        <v>7</v>
      </c>
      <c r="C466" s="8">
        <f t="shared" si="240"/>
        <v>12</v>
      </c>
      <c r="D466" s="8">
        <f t="shared" si="240"/>
        <v>0.8</v>
      </c>
      <c r="E466" s="8">
        <f t="shared" si="240"/>
        <v>0.2</v>
      </c>
      <c r="F466" s="8">
        <f t="shared" si="240"/>
        <v>0.73</v>
      </c>
      <c r="G466" s="8">
        <f t="shared" si="240"/>
        <v>30</v>
      </c>
      <c r="H466" s="8">
        <f t="shared" si="240"/>
        <v>0</v>
      </c>
      <c r="I466" s="8">
        <f t="shared" si="240"/>
        <v>0.36499999999999999</v>
      </c>
      <c r="J466" s="8">
        <f t="shared" si="227"/>
        <v>1.2E-2</v>
      </c>
      <c r="K466" s="8">
        <f t="shared" si="228"/>
        <v>3.6499999999999998E-4</v>
      </c>
      <c r="L466" s="8">
        <v>2.1090337253188977E-4</v>
      </c>
      <c r="M466" s="8">
        <f t="shared" si="236"/>
        <v>7.1136242851821407E-7</v>
      </c>
      <c r="N466" s="8">
        <f t="shared" si="229"/>
        <v>0.57781745899147885</v>
      </c>
      <c r="R466">
        <f>L382</f>
        <v>0.39285714285714285</v>
      </c>
      <c r="S466">
        <f>N456</f>
        <v>0.60855164260190664</v>
      </c>
      <c r="U466">
        <f>O382</f>
        <v>0.2978723404255319</v>
      </c>
      <c r="V466">
        <f>N459</f>
        <v>0.48239409054343035</v>
      </c>
      <c r="X466">
        <f>I382</f>
        <v>0.36666666666666664</v>
      </c>
      <c r="Y466">
        <f>N460</f>
        <v>0.53485772014234712</v>
      </c>
      <c r="AA466">
        <f>I396</f>
        <v>0.41176470588235292</v>
      </c>
      <c r="AB466">
        <f>N462</f>
        <v>0.56224401803710056</v>
      </c>
      <c r="AD466">
        <f>L396</f>
        <v>0.74149659863945583</v>
      </c>
      <c r="AE466">
        <f>N463</f>
        <v>0.72475510881641958</v>
      </c>
    </row>
    <row r="467" spans="1:31" x14ac:dyDescent="0.25">
      <c r="A467" s="8" t="str">
        <f t="shared" ref="A467:I467" si="241">A318</f>
        <v>596 (14)</v>
      </c>
      <c r="B467" s="8">
        <f t="shared" si="241"/>
        <v>14</v>
      </c>
      <c r="C467" s="8">
        <f t="shared" si="241"/>
        <v>12</v>
      </c>
      <c r="D467" s="8">
        <f t="shared" si="241"/>
        <v>0.80838323353293418</v>
      </c>
      <c r="E467" s="8">
        <f t="shared" si="241"/>
        <v>0.19161676646706588</v>
      </c>
      <c r="F467" s="8">
        <f t="shared" si="241"/>
        <v>1.67</v>
      </c>
      <c r="G467" s="8">
        <f t="shared" si="241"/>
        <v>60</v>
      </c>
      <c r="H467" s="8">
        <f t="shared" si="241"/>
        <v>0</v>
      </c>
      <c r="I467" s="8">
        <f t="shared" si="241"/>
        <v>0.83499999999999996</v>
      </c>
      <c r="J467" s="8">
        <f t="shared" si="227"/>
        <v>1.2E-2</v>
      </c>
      <c r="K467" s="8">
        <f t="shared" si="228"/>
        <v>8.3500000000000002E-4</v>
      </c>
      <c r="L467" s="8">
        <v>6.2514888605246996E-4</v>
      </c>
      <c r="M467" s="8">
        <f t="shared" si="236"/>
        <v>-9.0594198809412774E-13</v>
      </c>
      <c r="N467" s="8">
        <f t="shared" si="229"/>
        <v>0.74868130066164063</v>
      </c>
      <c r="R467" s="8">
        <f t="shared" ref="R467:R475" si="242">L383</f>
        <v>0.59756097560975607</v>
      </c>
      <c r="S467" s="8">
        <f t="shared" ref="S467:S468" si="243">N457</f>
        <v>0.60329144540243329</v>
      </c>
      <c r="U467" s="8">
        <f t="shared" ref="U467:U468" si="244">O383</f>
        <v>0.11363636363636363</v>
      </c>
      <c r="V467">
        <f>N471</f>
        <v>0.31832952101777229</v>
      </c>
      <c r="X467" s="8">
        <f t="shared" ref="X467:X474" si="245">I383</f>
        <v>0.56666666666666665</v>
      </c>
      <c r="Y467" s="8">
        <f>N461</f>
        <v>0.53485772014234712</v>
      </c>
      <c r="AA467" s="8">
        <f t="shared" ref="AA467:AA469" si="246">I397</f>
        <v>0.8</v>
      </c>
      <c r="AB467">
        <f>N466</f>
        <v>0.57781745899147885</v>
      </c>
      <c r="AD467" s="8">
        <f t="shared" ref="AD467:AD474" si="247">L397</f>
        <v>0.57823129251700678</v>
      </c>
      <c r="AE467" s="8">
        <f>N464</f>
        <v>0.72475510881641958</v>
      </c>
    </row>
    <row r="468" spans="1:31" x14ac:dyDescent="0.25">
      <c r="A468" s="8" t="str">
        <f t="shared" ref="A468:I468" si="248">A319</f>
        <v>510 (2)</v>
      </c>
      <c r="B468" s="8">
        <f t="shared" si="248"/>
        <v>2</v>
      </c>
      <c r="C468" s="8">
        <f t="shared" si="248"/>
        <v>27</v>
      </c>
      <c r="D468" s="8">
        <f t="shared" si="248"/>
        <v>0.40740740740740738</v>
      </c>
      <c r="E468" s="8">
        <f t="shared" si="248"/>
        <v>0.59259259259259256</v>
      </c>
      <c r="F468" s="1">
        <f t="shared" si="248"/>
        <v>0.81</v>
      </c>
      <c r="G468" s="8">
        <f t="shared" si="248"/>
        <v>0</v>
      </c>
      <c r="H468" s="8">
        <f t="shared" si="248"/>
        <v>0</v>
      </c>
      <c r="I468" s="8">
        <f t="shared" si="248"/>
        <v>0.40500000000000003</v>
      </c>
      <c r="J468" s="8">
        <f t="shared" si="227"/>
        <v>2.7E-2</v>
      </c>
      <c r="K468" s="8">
        <f t="shared" si="228"/>
        <v>4.0500000000000003E-4</v>
      </c>
      <c r="L468" s="8">
        <v>1.7324770267616358E-4</v>
      </c>
      <c r="M468" s="8">
        <f t="shared" si="236"/>
        <v>-5.0004445029117051E-13</v>
      </c>
      <c r="N468" s="8">
        <f t="shared" si="229"/>
        <v>0.42777210537324339</v>
      </c>
      <c r="R468" s="8">
        <f t="shared" si="242"/>
        <v>0.5662650602409639</v>
      </c>
      <c r="S468" s="8">
        <f t="shared" si="243"/>
        <v>0.60593858288269908</v>
      </c>
      <c r="U468" s="8">
        <f t="shared" si="244"/>
        <v>0</v>
      </c>
      <c r="V468">
        <f>N483</f>
        <v>-2.8732841270478902E-2</v>
      </c>
      <c r="X468" s="8">
        <f t="shared" si="245"/>
        <v>0.31578947368421051</v>
      </c>
      <c r="Y468">
        <f>N472</f>
        <v>0.36182744367282355</v>
      </c>
      <c r="AA468" s="8">
        <f t="shared" si="246"/>
        <v>0.3</v>
      </c>
      <c r="AB468">
        <f>N477</f>
        <v>0.39946401825701378</v>
      </c>
      <c r="AD468" s="8">
        <f t="shared" si="247"/>
        <v>0.80838323353293418</v>
      </c>
      <c r="AE468">
        <f>N467</f>
        <v>0.74868130066164063</v>
      </c>
    </row>
    <row r="469" spans="1:31" x14ac:dyDescent="0.25">
      <c r="A469" s="8" t="str">
        <f t="shared" ref="A469:I469" si="249">A320</f>
        <v>505 (3)</v>
      </c>
      <c r="B469" s="8">
        <f t="shared" si="249"/>
        <v>3</v>
      </c>
      <c r="C469" s="8">
        <f t="shared" si="249"/>
        <v>27</v>
      </c>
      <c r="D469" s="8">
        <f t="shared" si="249"/>
        <v>0.44155844155844154</v>
      </c>
      <c r="E469" s="8">
        <f t="shared" si="249"/>
        <v>0.55844155844155841</v>
      </c>
      <c r="F469" s="1">
        <f t="shared" si="249"/>
        <v>0.77</v>
      </c>
      <c r="G469" s="8">
        <f t="shared" si="249"/>
        <v>60</v>
      </c>
      <c r="H469" s="8">
        <f t="shared" si="249"/>
        <v>0</v>
      </c>
      <c r="I469" s="8">
        <f t="shared" si="249"/>
        <v>0.38500000000000001</v>
      </c>
      <c r="J469" s="8">
        <f t="shared" si="227"/>
        <v>2.7E-2</v>
      </c>
      <c r="K469" s="8">
        <f t="shared" si="228"/>
        <v>3.8500000000000003E-4</v>
      </c>
      <c r="L469" s="8">
        <v>1.6085674815756869E-4</v>
      </c>
      <c r="M469" s="8">
        <f t="shared" si="236"/>
        <v>-6.0795812828473572E-13</v>
      </c>
      <c r="N469" s="8">
        <f t="shared" si="229"/>
        <v>0.41780973547420436</v>
      </c>
      <c r="R469" s="8">
        <f t="shared" si="242"/>
        <v>0</v>
      </c>
      <c r="S469">
        <f>N465</f>
        <v>0.60855164260190664</v>
      </c>
      <c r="U469" s="8"/>
      <c r="X469" s="8">
        <f t="shared" si="245"/>
        <v>0.48275862068965519</v>
      </c>
      <c r="Y469" s="8">
        <f t="shared" ref="Y469:Y470" si="250">N473</f>
        <v>0.36490873863733986</v>
      </c>
      <c r="AA469" s="8">
        <f t="shared" si="246"/>
        <v>0.30303030303030304</v>
      </c>
      <c r="AB469" s="8">
        <f>N478</f>
        <v>0.38841215658161649</v>
      </c>
      <c r="AD469" s="8">
        <f t="shared" si="247"/>
        <v>0.58278145695364236</v>
      </c>
      <c r="AE469">
        <f>N475</f>
        <v>0.55935763532609806</v>
      </c>
    </row>
    <row r="470" spans="1:31" x14ac:dyDescent="0.25">
      <c r="A470" s="8" t="str">
        <f t="shared" ref="A470:I470" si="251">A321</f>
        <v>508 (4)</v>
      </c>
      <c r="B470" s="8">
        <f t="shared" si="251"/>
        <v>4</v>
      </c>
      <c r="C470" s="8">
        <f t="shared" si="251"/>
        <v>27</v>
      </c>
      <c r="D470" s="8">
        <f t="shared" si="251"/>
        <v>0.40963855421686746</v>
      </c>
      <c r="E470" s="8">
        <f t="shared" si="251"/>
        <v>0.59036144578313254</v>
      </c>
      <c r="F470" s="1">
        <f t="shared" si="251"/>
        <v>0.83</v>
      </c>
      <c r="G470" s="8">
        <f t="shared" si="251"/>
        <v>30</v>
      </c>
      <c r="H470" s="8">
        <f t="shared" si="251"/>
        <v>0</v>
      </c>
      <c r="I470" s="8">
        <f t="shared" si="251"/>
        <v>0.41499999999999998</v>
      </c>
      <c r="J470" s="8">
        <f t="shared" si="227"/>
        <v>2.7E-2</v>
      </c>
      <c r="K470" s="8">
        <f t="shared" si="228"/>
        <v>4.15E-4</v>
      </c>
      <c r="L470" s="8">
        <v>1.795377758253835E-4</v>
      </c>
      <c r="M470" s="8">
        <f t="shared" si="236"/>
        <v>-5.4489746048602683E-13</v>
      </c>
      <c r="N470" s="8">
        <f t="shared" si="229"/>
        <v>0.43262114656718914</v>
      </c>
      <c r="R470" s="8">
        <f t="shared" si="242"/>
        <v>0.40740740740740738</v>
      </c>
      <c r="S470">
        <f>N468</f>
        <v>0.42777210537324339</v>
      </c>
      <c r="X470" s="8">
        <f t="shared" si="245"/>
        <v>0.31147540983606559</v>
      </c>
      <c r="Y470" s="8">
        <f t="shared" si="250"/>
        <v>0.37395471069360359</v>
      </c>
      <c r="AA470" s="8"/>
      <c r="AD470" s="8">
        <f t="shared" si="247"/>
        <v>0.6333333333333333</v>
      </c>
      <c r="AE470" s="8">
        <f>N476</f>
        <v>0.55790049178987888</v>
      </c>
    </row>
    <row r="471" spans="1:31" x14ac:dyDescent="0.25">
      <c r="A471" s="8" t="str">
        <f t="shared" ref="A471:I471" si="252">A322</f>
        <v>650 (5)</v>
      </c>
      <c r="B471" s="8">
        <f t="shared" si="252"/>
        <v>5</v>
      </c>
      <c r="C471" s="8">
        <f t="shared" si="252"/>
        <v>27</v>
      </c>
      <c r="D471" s="8">
        <f t="shared" si="252"/>
        <v>0.11363636363636363</v>
      </c>
      <c r="E471" s="8">
        <f t="shared" si="252"/>
        <v>0.88636363636363646</v>
      </c>
      <c r="F471" s="8">
        <f t="shared" si="252"/>
        <v>0.44</v>
      </c>
      <c r="G471" s="8">
        <f t="shared" si="252"/>
        <v>0</v>
      </c>
      <c r="H471" s="8">
        <f t="shared" si="252"/>
        <v>0</v>
      </c>
      <c r="I471" s="8">
        <f t="shared" si="252"/>
        <v>0.22</v>
      </c>
      <c r="J471" s="8">
        <f t="shared" si="227"/>
        <v>2.7E-2</v>
      </c>
      <c r="K471" s="8">
        <f t="shared" si="228"/>
        <v>2.2000000000000001E-4</v>
      </c>
      <c r="L471" s="8">
        <v>7.0032494623909901E-5</v>
      </c>
      <c r="M471" s="8">
        <f t="shared" si="236"/>
        <v>-1.496580637194711E-13</v>
      </c>
      <c r="N471" s="8">
        <f t="shared" si="229"/>
        <v>0.31832952101777229</v>
      </c>
      <c r="R471" s="8">
        <f t="shared" si="242"/>
        <v>0.44155844155844154</v>
      </c>
      <c r="S471">
        <f>N469</f>
        <v>0.41780973547420436</v>
      </c>
      <c r="X471" s="8">
        <f t="shared" si="245"/>
        <v>5.5555555555555552E-2</v>
      </c>
      <c r="Y471">
        <f>N484</f>
        <v>0.28240137765422224</v>
      </c>
      <c r="AA471" s="8"/>
      <c r="AD471" s="8">
        <f t="shared" si="247"/>
        <v>0.90410958904109584</v>
      </c>
      <c r="AE471">
        <f>N479</f>
        <v>0.55197674222898008</v>
      </c>
    </row>
    <row r="472" spans="1:31" x14ac:dyDescent="0.25">
      <c r="A472" s="8" t="str">
        <f t="shared" ref="A472:I472" si="253">A323</f>
        <v>523 (8)</v>
      </c>
      <c r="B472" s="8">
        <f t="shared" si="253"/>
        <v>8</v>
      </c>
      <c r="C472" s="8">
        <f t="shared" si="253"/>
        <v>27</v>
      </c>
      <c r="D472" s="8">
        <f t="shared" si="253"/>
        <v>0.31578947368421051</v>
      </c>
      <c r="E472" s="8">
        <f t="shared" si="253"/>
        <v>0.68421052631578938</v>
      </c>
      <c r="F472" s="8">
        <f t="shared" si="253"/>
        <v>0.56999999999999995</v>
      </c>
      <c r="G472" s="8">
        <f t="shared" si="253"/>
        <v>0</v>
      </c>
      <c r="H472" s="8">
        <f t="shared" si="253"/>
        <v>0</v>
      </c>
      <c r="I472" s="8">
        <f t="shared" si="253"/>
        <v>0.28499999999999998</v>
      </c>
      <c r="J472" s="8">
        <f>C472*10^-3</f>
        <v>2.7E-2</v>
      </c>
      <c r="K472" s="8">
        <f t="shared" si="228"/>
        <v>2.8499999999999999E-4</v>
      </c>
      <c r="L472" s="8">
        <v>1.0312082144675471E-4</v>
      </c>
      <c r="M472" s="8">
        <f t="shared" si="236"/>
        <v>-3.5171865420124959E-13</v>
      </c>
      <c r="N472" s="8">
        <f t="shared" si="229"/>
        <v>0.36182744367282355</v>
      </c>
      <c r="R472" s="8">
        <f t="shared" si="242"/>
        <v>0.40963855421686746</v>
      </c>
      <c r="S472">
        <f>N470</f>
        <v>0.43262114656718914</v>
      </c>
      <c r="X472" s="8">
        <f t="shared" si="245"/>
        <v>0.27272727272727271</v>
      </c>
      <c r="Y472" s="8">
        <f t="shared" ref="Y472:Y473" si="254">N485</f>
        <v>0.28505093569568357</v>
      </c>
      <c r="AA472" s="8"/>
      <c r="AD472" s="8">
        <f t="shared" si="247"/>
        <v>0.54794520547945202</v>
      </c>
      <c r="AE472">
        <f>N487</f>
        <v>0.45753438428999749</v>
      </c>
    </row>
    <row r="473" spans="1:31" x14ac:dyDescent="0.25">
      <c r="A473" s="8" t="str">
        <f t="shared" ref="A473:I473" si="255">A324</f>
        <v>525 (9)</v>
      </c>
      <c r="B473" s="8">
        <f t="shared" si="255"/>
        <v>9</v>
      </c>
      <c r="C473" s="8">
        <f t="shared" si="255"/>
        <v>27</v>
      </c>
      <c r="D473" s="8">
        <f t="shared" si="255"/>
        <v>0.48275862068965519</v>
      </c>
      <c r="E473" s="8">
        <f t="shared" si="255"/>
        <v>0.51724137931034486</v>
      </c>
      <c r="F473" s="8">
        <f t="shared" si="255"/>
        <v>0.57999999999999996</v>
      </c>
      <c r="G473" s="8">
        <f t="shared" si="255"/>
        <v>60</v>
      </c>
      <c r="H473" s="8">
        <f t="shared" si="255"/>
        <v>1</v>
      </c>
      <c r="I473" s="8">
        <f t="shared" si="255"/>
        <v>0.28999999999999998</v>
      </c>
      <c r="J473" s="8">
        <f t="shared" si="227"/>
        <v>2.7E-2</v>
      </c>
      <c r="K473" s="8">
        <f t="shared" si="228"/>
        <v>2.9E-4</v>
      </c>
      <c r="L473" s="8">
        <v>1.0582353420482856E-4</v>
      </c>
      <c r="M473" s="8">
        <f t="shared" si="236"/>
        <v>-5.9374727356953372E-13</v>
      </c>
      <c r="N473" s="8">
        <f t="shared" si="229"/>
        <v>0.36490873863733986</v>
      </c>
      <c r="R473" s="8">
        <f t="shared" si="242"/>
        <v>0.41249999999999998</v>
      </c>
      <c r="S473">
        <f>N480</f>
        <v>0.34401077174117123</v>
      </c>
      <c r="X473" s="8">
        <f t="shared" si="245"/>
        <v>0.29090909090909089</v>
      </c>
      <c r="Y473" s="8">
        <f t="shared" si="254"/>
        <v>0.28505093569568357</v>
      </c>
      <c r="AA473" s="8"/>
      <c r="AD473" s="8">
        <f t="shared" si="247"/>
        <v>0.64189189189189189</v>
      </c>
      <c r="AE473" s="8">
        <f>N488</f>
        <v>0.46033753570050184</v>
      </c>
    </row>
    <row r="474" spans="1:31" x14ac:dyDescent="0.25">
      <c r="A474" s="8" t="str">
        <f t="shared" ref="A474:I474" si="256">A325</f>
        <v>530 (10)</v>
      </c>
      <c r="B474" s="8">
        <f t="shared" si="256"/>
        <v>10</v>
      </c>
      <c r="C474" s="8">
        <f t="shared" si="256"/>
        <v>27</v>
      </c>
      <c r="D474" s="8">
        <f t="shared" si="256"/>
        <v>0.31147540983606559</v>
      </c>
      <c r="E474" s="8">
        <f t="shared" si="256"/>
        <v>0.68852459016393441</v>
      </c>
      <c r="F474" s="8">
        <f t="shared" si="256"/>
        <v>0.61</v>
      </c>
      <c r="G474" s="8">
        <f t="shared" si="256"/>
        <v>30</v>
      </c>
      <c r="H474" s="8">
        <f t="shared" si="256"/>
        <v>0</v>
      </c>
      <c r="I474" s="8">
        <f t="shared" si="256"/>
        <v>0.30499999999999999</v>
      </c>
      <c r="J474" s="8">
        <f t="shared" si="227"/>
        <v>2.7E-2</v>
      </c>
      <c r="K474" s="8">
        <f t="shared" si="228"/>
        <v>3.0499999999999999E-4</v>
      </c>
      <c r="L474" s="8">
        <v>1.1405618676154909E-4</v>
      </c>
      <c r="M474" s="8">
        <f t="shared" si="236"/>
        <v>-5.4889426337467739E-13</v>
      </c>
      <c r="N474" s="8">
        <f t="shared" si="229"/>
        <v>0.37395471069360359</v>
      </c>
      <c r="R474" s="8">
        <f t="shared" si="242"/>
        <v>0.35802469135802467</v>
      </c>
      <c r="S474" s="8">
        <f t="shared" ref="S474:S475" si="257">N481</f>
        <v>0.34612542873095847</v>
      </c>
      <c r="X474" s="8">
        <f t="shared" si="245"/>
        <v>0</v>
      </c>
      <c r="Y474">
        <f>N490</f>
        <v>0.28505093569568357</v>
      </c>
      <c r="AA474" s="8"/>
      <c r="AD474" s="8">
        <f t="shared" si="247"/>
        <v>0.91275167785234901</v>
      </c>
      <c r="AE474">
        <f>N491</f>
        <v>0.46172812541281771</v>
      </c>
    </row>
    <row r="475" spans="1:31" x14ac:dyDescent="0.25">
      <c r="A475" s="8" t="str">
        <f t="shared" ref="A475:I475" si="258">A326</f>
        <v>602 (11)</v>
      </c>
      <c r="B475" s="8">
        <f t="shared" si="258"/>
        <v>11</v>
      </c>
      <c r="C475" s="8">
        <f t="shared" si="258"/>
        <v>27</v>
      </c>
      <c r="D475" s="8">
        <f t="shared" si="258"/>
        <v>0.58278145695364236</v>
      </c>
      <c r="E475" s="8">
        <f t="shared" si="258"/>
        <v>0.41721854304635764</v>
      </c>
      <c r="F475" s="8">
        <f t="shared" si="258"/>
        <v>1.51</v>
      </c>
      <c r="G475" s="8">
        <f t="shared" si="258"/>
        <v>30</v>
      </c>
      <c r="H475" s="8">
        <f t="shared" si="258"/>
        <v>0</v>
      </c>
      <c r="I475" s="8">
        <f t="shared" si="258"/>
        <v>0.755</v>
      </c>
      <c r="J475" s="8">
        <f t="shared" si="227"/>
        <v>2.7E-2</v>
      </c>
      <c r="K475" s="8">
        <f t="shared" si="228"/>
        <v>7.5500000000000003E-4</v>
      </c>
      <c r="L475" s="8">
        <v>4.2231501467120401E-4</v>
      </c>
      <c r="M475" s="8">
        <f t="shared" si="236"/>
        <v>-3.5171865420124959E-13</v>
      </c>
      <c r="N475" s="8">
        <f t="shared" si="229"/>
        <v>0.55935763532609806</v>
      </c>
      <c r="R475" s="8">
        <f t="shared" si="242"/>
        <v>0.3125</v>
      </c>
      <c r="S475" s="8">
        <f t="shared" si="257"/>
        <v>0.34401077174117123</v>
      </c>
      <c r="X475" s="8">
        <f>D489</f>
        <v>0.31746031746031744</v>
      </c>
      <c r="Y475">
        <f>N489</f>
        <v>0.30534441611364216</v>
      </c>
      <c r="AD475" s="8"/>
    </row>
    <row r="476" spans="1:31" x14ac:dyDescent="0.25">
      <c r="A476" s="8" t="str">
        <f t="shared" ref="A476:I476" si="259">A327</f>
        <v>607(12)</v>
      </c>
      <c r="B476" s="8">
        <f t="shared" si="259"/>
        <v>12</v>
      </c>
      <c r="C476" s="8">
        <f t="shared" si="259"/>
        <v>27</v>
      </c>
      <c r="D476" s="8">
        <f t="shared" si="259"/>
        <v>0.6333333333333333</v>
      </c>
      <c r="E476" s="8">
        <f t="shared" si="259"/>
        <v>0.3666666666666667</v>
      </c>
      <c r="F476" s="8">
        <f t="shared" si="259"/>
        <v>1.5</v>
      </c>
      <c r="G476" s="8">
        <f t="shared" si="259"/>
        <v>0</v>
      </c>
      <c r="H476" s="8">
        <f t="shared" si="259"/>
        <v>1</v>
      </c>
      <c r="I476" s="8">
        <f t="shared" si="259"/>
        <v>0.75</v>
      </c>
      <c r="J476" s="8">
        <f t="shared" si="227"/>
        <v>2.7E-2</v>
      </c>
      <c r="K476" s="8">
        <f t="shared" si="228"/>
        <v>7.5000000000000002E-4</v>
      </c>
      <c r="L476" s="8">
        <v>4.1842536884240914E-4</v>
      </c>
      <c r="M476" s="8">
        <f t="shared" si="236"/>
        <v>-3.1707969583294471E-13</v>
      </c>
      <c r="N476" s="8">
        <f t="shared" si="229"/>
        <v>0.55790049178987888</v>
      </c>
      <c r="R476" s="8"/>
      <c r="X476" s="8"/>
      <c r="AD476" s="8"/>
    </row>
    <row r="477" spans="1:31" x14ac:dyDescent="0.25">
      <c r="A477" s="8" t="str">
        <f t="shared" ref="A477:I477" si="260">A328</f>
        <v>654 (6)</v>
      </c>
      <c r="B477" s="8">
        <f t="shared" si="260"/>
        <v>6</v>
      </c>
      <c r="C477" s="8">
        <f t="shared" si="260"/>
        <v>27</v>
      </c>
      <c r="D477" s="8">
        <f t="shared" si="260"/>
        <v>0.3</v>
      </c>
      <c r="E477" s="8">
        <f t="shared" si="260"/>
        <v>0.7</v>
      </c>
      <c r="F477" s="8">
        <f t="shared" si="260"/>
        <v>0.7</v>
      </c>
      <c r="G477" s="8">
        <f t="shared" si="260"/>
        <v>60</v>
      </c>
      <c r="H477" s="8">
        <f t="shared" si="260"/>
        <v>0</v>
      </c>
      <c r="I477" s="8">
        <f t="shared" si="260"/>
        <v>0.35</v>
      </c>
      <c r="J477" s="8">
        <f t="shared" si="227"/>
        <v>2.7E-2</v>
      </c>
      <c r="K477" s="8">
        <f t="shared" si="228"/>
        <v>3.5E-4</v>
      </c>
      <c r="L477" s="8">
        <v>1.3981240638995482E-4</v>
      </c>
      <c r="M477" s="8">
        <f t="shared" si="236"/>
        <v>-5.5111470942392771E-13</v>
      </c>
      <c r="N477" s="8">
        <f t="shared" si="229"/>
        <v>0.39946401825701378</v>
      </c>
      <c r="R477" s="8"/>
      <c r="X477" s="8"/>
      <c r="AD477" s="8"/>
    </row>
    <row r="478" spans="1:31" x14ac:dyDescent="0.25">
      <c r="A478" s="8" t="str">
        <f t="shared" ref="A478:I478" si="261">A329</f>
        <v>646 (7)</v>
      </c>
      <c r="B478" s="8">
        <f t="shared" si="261"/>
        <v>7</v>
      </c>
      <c r="C478" s="8">
        <f t="shared" si="261"/>
        <v>27</v>
      </c>
      <c r="D478" s="8">
        <f t="shared" si="261"/>
        <v>0.30303030303030304</v>
      </c>
      <c r="E478" s="8">
        <f t="shared" si="261"/>
        <v>0.69696969696969702</v>
      </c>
      <c r="F478" s="8">
        <f t="shared" si="261"/>
        <v>0.66</v>
      </c>
      <c r="G478" s="8">
        <f t="shared" si="261"/>
        <v>30</v>
      </c>
      <c r="H478" s="8">
        <f t="shared" si="261"/>
        <v>0</v>
      </c>
      <c r="I478" s="8">
        <f t="shared" si="261"/>
        <v>0.33</v>
      </c>
      <c r="J478" s="8">
        <f t="shared" si="227"/>
        <v>2.7E-2</v>
      </c>
      <c r="K478" s="8">
        <f t="shared" si="228"/>
        <v>3.3E-4</v>
      </c>
      <c r="L478" s="8">
        <v>1.2817601167193344E-4</v>
      </c>
      <c r="M478" s="8">
        <f t="shared" si="236"/>
        <v>-4.1522341120980855E-13</v>
      </c>
      <c r="N478" s="8">
        <f t="shared" si="229"/>
        <v>0.38841215658161649</v>
      </c>
      <c r="R478" s="8"/>
    </row>
    <row r="479" spans="1:31" x14ac:dyDescent="0.25">
      <c r="A479" s="8" t="str">
        <f t="shared" ref="A479:I479" si="262">A330</f>
        <v>610 (14)</v>
      </c>
      <c r="B479" s="8">
        <f t="shared" si="262"/>
        <v>14</v>
      </c>
      <c r="C479" s="8">
        <f t="shared" si="262"/>
        <v>27</v>
      </c>
      <c r="D479" s="8">
        <f t="shared" si="262"/>
        <v>0.90410958904109584</v>
      </c>
      <c r="E479" s="8">
        <f t="shared" si="262"/>
        <v>9.5890410958904104E-2</v>
      </c>
      <c r="F479" s="8">
        <f t="shared" si="262"/>
        <v>1.46</v>
      </c>
      <c r="G479" s="8">
        <f t="shared" si="262"/>
        <v>60</v>
      </c>
      <c r="H479" s="8">
        <f t="shared" si="262"/>
        <v>0</v>
      </c>
      <c r="I479" s="8">
        <f t="shared" si="262"/>
        <v>0.73</v>
      </c>
      <c r="J479" s="8">
        <f t="shared" si="227"/>
        <v>2.7E-2</v>
      </c>
      <c r="K479" s="8">
        <f t="shared" si="228"/>
        <v>7.2999999999999996E-4</v>
      </c>
      <c r="L479" s="8">
        <v>4.0294302182715543E-4</v>
      </c>
      <c r="M479" s="8">
        <f t="shared" si="236"/>
        <v>-3.6504133049675147E-13</v>
      </c>
      <c r="N479" s="8">
        <f t="shared" si="229"/>
        <v>0.55197674222898008</v>
      </c>
      <c r="R479" s="8"/>
    </row>
    <row r="480" spans="1:31" x14ac:dyDescent="0.25">
      <c r="A480" s="8" t="str">
        <f t="shared" ref="A480:I480" si="263">A331</f>
        <v>503 (2)</v>
      </c>
      <c r="B480" s="8">
        <f t="shared" si="263"/>
        <v>2</v>
      </c>
      <c r="C480" s="8">
        <f t="shared" si="263"/>
        <v>42</v>
      </c>
      <c r="D480" s="8">
        <f t="shared" si="263"/>
        <v>0.41249999999999998</v>
      </c>
      <c r="E480" s="8">
        <f t="shared" si="263"/>
        <v>0.58749999999999991</v>
      </c>
      <c r="F480" s="1">
        <f t="shared" si="263"/>
        <v>0.8</v>
      </c>
      <c r="G480" s="8">
        <f t="shared" si="263"/>
        <v>0</v>
      </c>
      <c r="H480" s="8">
        <f t="shared" si="263"/>
        <v>0</v>
      </c>
      <c r="I480" s="8">
        <f t="shared" si="263"/>
        <v>0.4</v>
      </c>
      <c r="J480" s="8">
        <f t="shared" si="227"/>
        <v>4.2000000000000003E-2</v>
      </c>
      <c r="K480" s="8">
        <f t="shared" si="228"/>
        <v>4.0000000000000002E-4</v>
      </c>
      <c r="L480" s="8">
        <v>1.376043086964685E-4</v>
      </c>
      <c r="M480" s="8">
        <f t="shared" si="236"/>
        <v>-5.007105841059456E-13</v>
      </c>
      <c r="N480" s="8">
        <f t="shared" si="229"/>
        <v>0.34401077174117123</v>
      </c>
      <c r="R480" s="8"/>
    </row>
    <row r="481" spans="1:18" x14ac:dyDescent="0.25">
      <c r="A481" s="8" t="str">
        <f t="shared" ref="A481:I481" si="264">A332</f>
        <v>499 (3)</v>
      </c>
      <c r="B481" s="8">
        <f t="shared" si="264"/>
        <v>3</v>
      </c>
      <c r="C481" s="8">
        <f t="shared" si="264"/>
        <v>42</v>
      </c>
      <c r="D481" s="8">
        <f t="shared" si="264"/>
        <v>0.35802469135802467</v>
      </c>
      <c r="E481" s="8">
        <f t="shared" si="264"/>
        <v>0.64197530864197527</v>
      </c>
      <c r="F481" s="1">
        <f t="shared" si="264"/>
        <v>0.81</v>
      </c>
      <c r="G481" s="8">
        <f t="shared" si="264"/>
        <v>60</v>
      </c>
      <c r="H481" s="8">
        <f t="shared" si="264"/>
        <v>0</v>
      </c>
      <c r="I481" s="8">
        <f t="shared" si="264"/>
        <v>0.40500000000000003</v>
      </c>
      <c r="J481" s="8">
        <f>C481*10^-3</f>
        <v>4.2000000000000003E-2</v>
      </c>
      <c r="K481" s="8">
        <f t="shared" si="228"/>
        <v>4.0500000000000003E-4</v>
      </c>
      <c r="L481" s="8">
        <v>1.4018079863603819E-4</v>
      </c>
      <c r="M481" s="8">
        <f t="shared" si="236"/>
        <v>-4.1544545581473358E-13</v>
      </c>
      <c r="N481" s="8">
        <f t="shared" si="229"/>
        <v>0.34612542873095847</v>
      </c>
      <c r="R481" s="8"/>
    </row>
    <row r="482" spans="1:18" x14ac:dyDescent="0.25">
      <c r="A482" s="8" t="str">
        <f t="shared" ref="A482:I482" si="265">A333</f>
        <v>501 (4)</v>
      </c>
      <c r="B482" s="8">
        <f t="shared" si="265"/>
        <v>4</v>
      </c>
      <c r="C482" s="8">
        <f t="shared" si="265"/>
        <v>42</v>
      </c>
      <c r="D482" s="8">
        <f t="shared" si="265"/>
        <v>0.3125</v>
      </c>
      <c r="E482" s="8">
        <f t="shared" si="265"/>
        <v>0.6875</v>
      </c>
      <c r="F482" s="1">
        <f t="shared" si="265"/>
        <v>0.8</v>
      </c>
      <c r="G482" s="8">
        <f t="shared" si="265"/>
        <v>30</v>
      </c>
      <c r="H482" s="8">
        <f t="shared" si="265"/>
        <v>0</v>
      </c>
      <c r="I482" s="8">
        <f t="shared" si="265"/>
        <v>0.4</v>
      </c>
      <c r="J482" s="8">
        <f t="shared" si="227"/>
        <v>4.2000000000000003E-2</v>
      </c>
      <c r="K482" s="8">
        <f t="shared" si="228"/>
        <v>4.0000000000000002E-4</v>
      </c>
      <c r="L482" s="8">
        <v>1.376043086964685E-4</v>
      </c>
      <c r="M482" s="8">
        <f t="shared" si="236"/>
        <v>-5.007105841059456E-13</v>
      </c>
      <c r="N482" s="8">
        <f t="shared" si="229"/>
        <v>0.34401077174117123</v>
      </c>
      <c r="R482" s="8"/>
    </row>
    <row r="483" spans="1:18" x14ac:dyDescent="0.25">
      <c r="A483" s="8" t="str">
        <f t="shared" ref="A483:I483" si="266">A334</f>
        <v>661 (5)</v>
      </c>
      <c r="B483" s="8">
        <f t="shared" si="266"/>
        <v>5</v>
      </c>
      <c r="C483" s="8">
        <f t="shared" si="266"/>
        <v>42</v>
      </c>
      <c r="D483" s="8">
        <f t="shared" si="266"/>
        <v>0</v>
      </c>
      <c r="E483" s="8">
        <f t="shared" si="266"/>
        <v>1</v>
      </c>
      <c r="F483" s="8">
        <f t="shared" si="266"/>
        <v>0.41</v>
      </c>
      <c r="G483" s="8">
        <f t="shared" si="266"/>
        <v>0</v>
      </c>
      <c r="H483" s="8">
        <f t="shared" si="266"/>
        <v>0</v>
      </c>
      <c r="I483" s="8">
        <f t="shared" si="266"/>
        <v>0.20499999999999999</v>
      </c>
      <c r="J483" s="8">
        <f t="shared" si="227"/>
        <v>4.2000000000000003E-2</v>
      </c>
      <c r="K483" s="8">
        <f t="shared" si="228"/>
        <v>2.05E-4</v>
      </c>
      <c r="L483" s="8">
        <v>-5.8902324604481748E-6</v>
      </c>
      <c r="M483" s="8" t="e">
        <f t="shared" si="236"/>
        <v>#NUM!</v>
      </c>
      <c r="N483" s="8">
        <f t="shared" si="229"/>
        <v>-2.8732841270478902E-2</v>
      </c>
      <c r="R483" s="8"/>
    </row>
    <row r="484" spans="1:18" x14ac:dyDescent="0.25">
      <c r="A484" s="8" t="str">
        <f t="shared" ref="A484:I484" si="267">A335</f>
        <v>532 (8)</v>
      </c>
      <c r="B484" s="8">
        <f t="shared" si="267"/>
        <v>8</v>
      </c>
      <c r="C484" s="8">
        <f t="shared" si="267"/>
        <v>42</v>
      </c>
      <c r="D484" s="8">
        <f t="shared" si="267"/>
        <v>5.5555555555555552E-2</v>
      </c>
      <c r="E484" s="8">
        <f t="shared" si="267"/>
        <v>0.94444444444444442</v>
      </c>
      <c r="F484" s="8">
        <f t="shared" si="267"/>
        <v>0.54</v>
      </c>
      <c r="G484" s="8">
        <f t="shared" si="267"/>
        <v>0</v>
      </c>
      <c r="H484" s="8">
        <f t="shared" si="267"/>
        <v>0</v>
      </c>
      <c r="I484" s="8">
        <f t="shared" si="267"/>
        <v>0.27</v>
      </c>
      <c r="J484" s="8">
        <f t="shared" si="227"/>
        <v>4.2000000000000003E-2</v>
      </c>
      <c r="K484" s="8">
        <f t="shared" si="228"/>
        <v>2.7E-4</v>
      </c>
      <c r="L484" s="8">
        <v>7.6248371966640004E-5</v>
      </c>
      <c r="M484" s="8">
        <f t="shared" si="236"/>
        <v>-1.0973444375395047E-12</v>
      </c>
      <c r="N484" s="8">
        <f t="shared" si="229"/>
        <v>0.28240137765422224</v>
      </c>
      <c r="R484" s="8"/>
    </row>
    <row r="485" spans="1:18" x14ac:dyDescent="0.25">
      <c r="A485" s="8" t="str">
        <f t="shared" ref="A485:I485" si="268">A336</f>
        <v>534 (9)</v>
      </c>
      <c r="B485" s="8">
        <f t="shared" si="268"/>
        <v>9</v>
      </c>
      <c r="C485" s="8">
        <f t="shared" si="268"/>
        <v>42</v>
      </c>
      <c r="D485" s="8">
        <f t="shared" si="268"/>
        <v>0.27272727272727271</v>
      </c>
      <c r="E485" s="8">
        <f t="shared" si="268"/>
        <v>0.72727272727272729</v>
      </c>
      <c r="F485" s="8">
        <f t="shared" si="268"/>
        <v>0.55000000000000004</v>
      </c>
      <c r="G485" s="8">
        <f t="shared" si="268"/>
        <v>60</v>
      </c>
      <c r="H485" s="8">
        <f t="shared" si="268"/>
        <v>1</v>
      </c>
      <c r="I485" s="8">
        <f t="shared" si="268"/>
        <v>0.27500000000000002</v>
      </c>
      <c r="J485" s="8">
        <f t="shared" si="227"/>
        <v>4.2000000000000003E-2</v>
      </c>
      <c r="K485" s="8">
        <f t="shared" si="228"/>
        <v>2.7500000000000002E-4</v>
      </c>
      <c r="L485" s="8">
        <v>7.8389007316312986E-5</v>
      </c>
      <c r="M485" s="8">
        <f t="shared" si="236"/>
        <v>-1.1226575225009583E-12</v>
      </c>
      <c r="N485" s="8">
        <f t="shared" si="229"/>
        <v>0.28505093569568357</v>
      </c>
    </row>
    <row r="486" spans="1:18" x14ac:dyDescent="0.25">
      <c r="A486" s="8" t="str">
        <f t="shared" ref="A486:I486" si="269">A337</f>
        <v>536(10)</v>
      </c>
      <c r="B486" s="8">
        <f t="shared" si="269"/>
        <v>10</v>
      </c>
      <c r="C486" s="8">
        <f t="shared" si="269"/>
        <v>42</v>
      </c>
      <c r="D486" s="8">
        <f t="shared" si="269"/>
        <v>0.29090909090909089</v>
      </c>
      <c r="E486" s="8">
        <f t="shared" si="269"/>
        <v>0.70909090909090899</v>
      </c>
      <c r="F486" s="8">
        <f t="shared" si="269"/>
        <v>0.55000000000000004</v>
      </c>
      <c r="G486" s="8">
        <f t="shared" si="269"/>
        <v>30</v>
      </c>
      <c r="H486" s="8">
        <f t="shared" si="269"/>
        <v>0</v>
      </c>
      <c r="I486" s="8">
        <f t="shared" si="269"/>
        <v>0.27500000000000002</v>
      </c>
      <c r="J486" s="8">
        <f t="shared" si="227"/>
        <v>4.2000000000000003E-2</v>
      </c>
      <c r="K486" s="8">
        <f t="shared" si="228"/>
        <v>2.7500000000000002E-4</v>
      </c>
      <c r="L486" s="8">
        <v>7.8389007316312986E-5</v>
      </c>
      <c r="M486" s="8">
        <f t="shared" si="236"/>
        <v>-1.1226575225009583E-12</v>
      </c>
      <c r="N486" s="8">
        <f t="shared" si="229"/>
        <v>0.28505093569568357</v>
      </c>
    </row>
    <row r="487" spans="1:18" x14ac:dyDescent="0.25">
      <c r="A487" s="8" t="str">
        <f t="shared" ref="A487:I487" si="270">A338</f>
        <v>614 (11)</v>
      </c>
      <c r="B487" s="8">
        <f t="shared" si="270"/>
        <v>11</v>
      </c>
      <c r="C487" s="8">
        <f t="shared" si="270"/>
        <v>42</v>
      </c>
      <c r="D487" s="8">
        <f t="shared" si="270"/>
        <v>0.54794520547945202</v>
      </c>
      <c r="E487" s="8">
        <f t="shared" si="270"/>
        <v>0.45205479452054792</v>
      </c>
      <c r="F487" s="8">
        <f t="shared" si="270"/>
        <v>1.46</v>
      </c>
      <c r="G487" s="8">
        <f t="shared" si="270"/>
        <v>30</v>
      </c>
      <c r="H487" s="8">
        <f t="shared" si="270"/>
        <v>0</v>
      </c>
      <c r="I487" s="8">
        <f t="shared" si="270"/>
        <v>0.73</v>
      </c>
      <c r="J487" s="8">
        <f t="shared" si="227"/>
        <v>4.2000000000000003E-2</v>
      </c>
      <c r="K487" s="8">
        <f t="shared" si="228"/>
        <v>7.2999999999999996E-4</v>
      </c>
      <c r="L487" s="8">
        <v>3.3400010053169813E-4</v>
      </c>
      <c r="M487" s="8">
        <f t="shared" si="236"/>
        <v>-4.7073456244106637E-13</v>
      </c>
      <c r="N487" s="8">
        <f t="shared" si="229"/>
        <v>0.45753438428999749</v>
      </c>
    </row>
    <row r="488" spans="1:18" x14ac:dyDescent="0.25">
      <c r="A488" s="8" t="str">
        <f t="shared" ref="A488:I488" si="271">A339</f>
        <v>617 (12)</v>
      </c>
      <c r="B488" s="8">
        <f t="shared" si="271"/>
        <v>12</v>
      </c>
      <c r="C488" s="8">
        <f t="shared" si="271"/>
        <v>42</v>
      </c>
      <c r="D488" s="8">
        <f t="shared" si="271"/>
        <v>0.64189189189189189</v>
      </c>
      <c r="E488" s="8">
        <f t="shared" si="271"/>
        <v>0.35810810810810811</v>
      </c>
      <c r="F488" s="8">
        <f t="shared" si="271"/>
        <v>1.48</v>
      </c>
      <c r="G488" s="8">
        <f t="shared" si="271"/>
        <v>0</v>
      </c>
      <c r="H488" s="8">
        <f t="shared" si="271"/>
        <v>1</v>
      </c>
      <c r="I488" s="8">
        <f t="shared" si="271"/>
        <v>0.74</v>
      </c>
      <c r="J488" s="8">
        <f t="shared" si="227"/>
        <v>4.2000000000000003E-2</v>
      </c>
      <c r="K488" s="8">
        <f t="shared" si="228"/>
        <v>7.3999999999999999E-4</v>
      </c>
      <c r="L488" s="8">
        <v>3.4064977641837138E-4</v>
      </c>
      <c r="M488" s="8">
        <f t="shared" si="236"/>
        <v>-4.9205084451386938E-13</v>
      </c>
      <c r="N488" s="8">
        <f t="shared" si="229"/>
        <v>0.46033753570050184</v>
      </c>
    </row>
    <row r="489" spans="1:18" x14ac:dyDescent="0.25">
      <c r="A489" s="8" t="str">
        <f t="shared" ref="A489:I489" si="272">A340</f>
        <v>666 (6)</v>
      </c>
      <c r="B489" s="8">
        <f t="shared" si="272"/>
        <v>6</v>
      </c>
      <c r="C489" s="8">
        <f t="shared" si="272"/>
        <v>42</v>
      </c>
      <c r="D489" s="8">
        <f t="shared" si="272"/>
        <v>0.31746031746031744</v>
      </c>
      <c r="E489" s="8">
        <f t="shared" si="272"/>
        <v>0.68253968253968256</v>
      </c>
      <c r="F489" s="8">
        <f t="shared" si="272"/>
        <v>0.63</v>
      </c>
      <c r="G489" s="8">
        <f t="shared" si="272"/>
        <v>60</v>
      </c>
      <c r="H489" s="8">
        <f t="shared" si="272"/>
        <v>0</v>
      </c>
      <c r="I489" s="8">
        <f t="shared" si="272"/>
        <v>0.315</v>
      </c>
      <c r="J489" s="8">
        <f t="shared" si="227"/>
        <v>4.2000000000000003E-2</v>
      </c>
      <c r="K489" s="8">
        <f t="shared" si="228"/>
        <v>3.1500000000000001E-4</v>
      </c>
      <c r="L489" s="8">
        <v>9.6183491075797292E-5</v>
      </c>
      <c r="M489" s="8">
        <f t="shared" si="236"/>
        <v>9.4040842224529797E-7</v>
      </c>
      <c r="N489" s="8">
        <f t="shared" si="229"/>
        <v>0.30534441611364216</v>
      </c>
    </row>
    <row r="490" spans="1:18" x14ac:dyDescent="0.25">
      <c r="A490" s="8" t="str">
        <f t="shared" ref="A490:I490" si="273">A341</f>
        <v>657 (7)</v>
      </c>
      <c r="B490" s="8">
        <f t="shared" si="273"/>
        <v>7</v>
      </c>
      <c r="C490" s="8">
        <f t="shared" si="273"/>
        <v>42</v>
      </c>
      <c r="D490" s="8">
        <f t="shared" si="273"/>
        <v>0</v>
      </c>
      <c r="E490" s="8">
        <f t="shared" si="273"/>
        <v>1</v>
      </c>
      <c r="F490" s="8">
        <f t="shared" si="273"/>
        <v>0.55000000000000004</v>
      </c>
      <c r="G490" s="8">
        <f t="shared" si="273"/>
        <v>30</v>
      </c>
      <c r="H490" s="8">
        <f t="shared" si="273"/>
        <v>0</v>
      </c>
      <c r="I490" s="8">
        <f t="shared" si="273"/>
        <v>0.27500000000000002</v>
      </c>
      <c r="J490" s="8">
        <f t="shared" si="227"/>
        <v>4.2000000000000003E-2</v>
      </c>
      <c r="K490" s="8">
        <f t="shared" si="228"/>
        <v>2.7500000000000002E-4</v>
      </c>
      <c r="L490" s="8">
        <v>7.8389007316312986E-5</v>
      </c>
      <c r="M490" s="8">
        <f t="shared" si="236"/>
        <v>-1.1226575225009583E-12</v>
      </c>
      <c r="N490" s="8">
        <f t="shared" si="229"/>
        <v>0.28505093569568357</v>
      </c>
    </row>
    <row r="491" spans="1:18" x14ac:dyDescent="0.25">
      <c r="A491" s="8" t="str">
        <f t="shared" ref="A491:I491" si="274">A342</f>
        <v>631 (14)</v>
      </c>
      <c r="B491" s="8">
        <f t="shared" si="274"/>
        <v>14</v>
      </c>
      <c r="C491" s="8">
        <f t="shared" si="274"/>
        <v>42</v>
      </c>
      <c r="D491" s="8">
        <f t="shared" si="274"/>
        <v>0.91275167785234901</v>
      </c>
      <c r="E491" s="8">
        <f t="shared" si="274"/>
        <v>8.7248322147651006E-2</v>
      </c>
      <c r="F491" s="8">
        <f t="shared" si="274"/>
        <v>1.49</v>
      </c>
      <c r="G491" s="8">
        <f t="shared" si="274"/>
        <v>60</v>
      </c>
      <c r="H491" s="8">
        <f t="shared" si="274"/>
        <v>0</v>
      </c>
      <c r="I491" s="8">
        <f t="shared" si="274"/>
        <v>0.745</v>
      </c>
      <c r="J491" s="8">
        <f t="shared" si="227"/>
        <v>4.2000000000000003E-2</v>
      </c>
      <c r="K491" s="8">
        <f t="shared" si="228"/>
        <v>7.45E-4</v>
      </c>
      <c r="L491" s="8">
        <v>3.4398745343254918E-4</v>
      </c>
      <c r="M491" s="8">
        <f t="shared" si="236"/>
        <v>-4.4408920985006262E-13</v>
      </c>
      <c r="N491" s="8">
        <f t="shared" si="229"/>
        <v>0.46172812541281771</v>
      </c>
    </row>
    <row r="492" spans="1:18" x14ac:dyDescent="0.25">
      <c r="A492" s="8"/>
      <c r="B492" s="8"/>
      <c r="C492" s="8"/>
      <c r="D492" s="8"/>
      <c r="E492" s="8"/>
      <c r="F492" s="8"/>
      <c r="G492" s="8"/>
      <c r="H492" s="8"/>
      <c r="I492" s="8"/>
    </row>
    <row r="493" spans="1:18" x14ac:dyDescent="0.25">
      <c r="A493" s="8"/>
      <c r="B493" s="8"/>
      <c r="C493" s="8"/>
      <c r="D493" s="8"/>
      <c r="E493" s="8"/>
      <c r="F493" s="8"/>
      <c r="G493" s="8"/>
      <c r="H493" s="8"/>
      <c r="I493" s="8"/>
    </row>
    <row r="494" spans="1:18" x14ac:dyDescent="0.25">
      <c r="A494" s="8"/>
      <c r="B494" s="8"/>
      <c r="C494" s="8"/>
      <c r="D494" s="8"/>
      <c r="E494" s="8"/>
      <c r="F494" s="8"/>
      <c r="G494" s="8"/>
      <c r="H494" s="8"/>
      <c r="I494" s="8"/>
    </row>
    <row r="495" spans="1:18" x14ac:dyDescent="0.25">
      <c r="A495" s="8"/>
      <c r="B495" s="8"/>
      <c r="C495" s="8"/>
      <c r="D495" s="8"/>
      <c r="E495" s="8"/>
      <c r="F495" s="8"/>
      <c r="G495" s="8"/>
      <c r="H495" s="8"/>
      <c r="I495" s="8"/>
    </row>
    <row r="496" spans="1:18" x14ac:dyDescent="0.25">
      <c r="A496" s="8"/>
      <c r="B496" s="8"/>
      <c r="C496" s="8"/>
      <c r="D496" s="8"/>
      <c r="E496" s="8"/>
      <c r="F496" s="8"/>
      <c r="G496" s="8"/>
      <c r="H496" s="8"/>
      <c r="I496" s="8"/>
    </row>
    <row r="497" spans="1:14" x14ac:dyDescent="0.25">
      <c r="A497" s="8"/>
      <c r="B497" s="8"/>
      <c r="C497" s="8" t="s">
        <v>302</v>
      </c>
      <c r="D497" s="8"/>
      <c r="E497" s="8"/>
      <c r="F497" s="8"/>
      <c r="G497" s="8"/>
      <c r="H497" s="8"/>
      <c r="I497" s="8"/>
    </row>
    <row r="498" spans="1:14" x14ac:dyDescent="0.25">
      <c r="A498" s="8"/>
      <c r="B498" s="8"/>
      <c r="C498" s="8">
        <v>9.4E-2</v>
      </c>
      <c r="D498" s="8"/>
      <c r="E498" s="8"/>
      <c r="F498" s="8"/>
      <c r="G498" s="8"/>
      <c r="H498" s="8"/>
      <c r="I498" s="8"/>
    </row>
    <row r="499" spans="1:14" x14ac:dyDescent="0.25">
      <c r="A499" s="8"/>
      <c r="B499" s="8"/>
      <c r="C499" s="8"/>
      <c r="D499" s="8"/>
      <c r="E499" s="8"/>
      <c r="F499" s="8"/>
      <c r="G499" s="8"/>
      <c r="H499" s="8"/>
      <c r="I499" s="8"/>
    </row>
    <row r="500" spans="1:14" x14ac:dyDescent="0.25">
      <c r="A500" s="8"/>
      <c r="B500" s="8"/>
      <c r="C500" s="8"/>
      <c r="D500" s="8"/>
      <c r="E500" s="8"/>
      <c r="F500" s="8"/>
      <c r="G500" s="8"/>
      <c r="H500" s="8"/>
      <c r="I500" s="8"/>
    </row>
    <row r="501" spans="1:14" x14ac:dyDescent="0.25">
      <c r="A501" s="8"/>
      <c r="B501" s="8"/>
      <c r="C501" s="8"/>
      <c r="D501" s="8"/>
      <c r="E501" s="8"/>
      <c r="F501" s="8"/>
      <c r="G501" s="8"/>
      <c r="H501" s="8"/>
      <c r="I501" s="8"/>
    </row>
    <row r="502" spans="1:14" x14ac:dyDescent="0.25">
      <c r="A502" s="8"/>
      <c r="B502" s="8"/>
      <c r="C502" s="8"/>
      <c r="D502" s="8"/>
      <c r="E502" s="8"/>
      <c r="F502" s="8"/>
      <c r="G502" s="8"/>
      <c r="H502" s="8"/>
      <c r="I502" s="8"/>
    </row>
    <row r="503" spans="1:14" x14ac:dyDescent="0.25">
      <c r="A503" s="8"/>
      <c r="B503" s="8"/>
      <c r="C503" s="8"/>
      <c r="D503" s="8"/>
      <c r="E503" s="8"/>
      <c r="F503" s="8"/>
      <c r="G503" s="8"/>
      <c r="H503" s="8"/>
      <c r="I503" s="8"/>
    </row>
    <row r="504" spans="1:14" x14ac:dyDescent="0.25">
      <c r="A504" s="8"/>
      <c r="B504" s="8"/>
      <c r="C504" s="8"/>
      <c r="D504" s="8"/>
      <c r="E504" s="8"/>
      <c r="F504" s="8"/>
      <c r="G504" s="8"/>
      <c r="H504" s="8"/>
      <c r="I504" s="8"/>
    </row>
    <row r="505" spans="1:14" x14ac:dyDescent="0.25">
      <c r="A505" s="8"/>
      <c r="B505" s="8"/>
      <c r="C505" s="8"/>
      <c r="D505" s="8"/>
      <c r="E505" s="8"/>
      <c r="F505" s="8"/>
      <c r="G505" s="8"/>
      <c r="H505" s="8"/>
      <c r="I505" s="8"/>
    </row>
    <row r="506" spans="1:14" x14ac:dyDescent="0.25">
      <c r="A506" s="8"/>
      <c r="B506" s="8"/>
      <c r="C506" s="8"/>
      <c r="D506" s="8"/>
      <c r="E506" s="8"/>
      <c r="F506" s="8"/>
      <c r="G506" s="8"/>
      <c r="H506" s="8"/>
      <c r="I506" s="8"/>
    </row>
    <row r="507" spans="1:14" x14ac:dyDescent="0.25">
      <c r="A507" s="8"/>
      <c r="B507" s="8"/>
      <c r="C507" s="8"/>
      <c r="D507" s="8"/>
      <c r="E507" s="8"/>
      <c r="F507" s="8"/>
      <c r="G507" s="8"/>
      <c r="H507" s="8"/>
      <c r="I507" s="8"/>
    </row>
    <row r="508" spans="1:14" ht="26.25" x14ac:dyDescent="0.4">
      <c r="A508" s="8"/>
      <c r="B508" s="8"/>
      <c r="C508" s="8"/>
      <c r="D508" s="8"/>
      <c r="E508" s="32" t="s">
        <v>313</v>
      </c>
      <c r="F508" s="8"/>
      <c r="G508" s="8"/>
      <c r="H508" s="8"/>
      <c r="I508" s="8"/>
      <c r="N508" s="34" t="s">
        <v>342</v>
      </c>
    </row>
    <row r="509" spans="1:14" ht="26.25" x14ac:dyDescent="0.4">
      <c r="A509" s="8"/>
      <c r="B509" s="8"/>
      <c r="C509" s="8"/>
      <c r="D509" s="8"/>
      <c r="E509" s="8"/>
      <c r="F509" s="8"/>
      <c r="G509" s="8"/>
      <c r="H509" s="8"/>
      <c r="I509" s="8" t="s">
        <v>343</v>
      </c>
      <c r="N509" s="35" t="s">
        <v>301</v>
      </c>
    </row>
    <row r="510" spans="1:14" x14ac:dyDescent="0.25">
      <c r="A510" s="8"/>
      <c r="B510" s="8"/>
      <c r="C510" s="8"/>
      <c r="D510" s="8"/>
      <c r="E510" s="8"/>
      <c r="F510" s="8"/>
      <c r="G510" s="8"/>
      <c r="H510" s="8"/>
      <c r="I510" s="8" t="s">
        <v>344</v>
      </c>
    </row>
    <row r="511" spans="1:14" x14ac:dyDescent="0.25">
      <c r="A511" s="8"/>
      <c r="B511" s="8"/>
      <c r="C511" s="8"/>
      <c r="D511" s="8"/>
      <c r="E511" s="8"/>
      <c r="F511" s="8"/>
      <c r="G511" s="8"/>
      <c r="H511" s="8"/>
      <c r="I511" s="8" t="s">
        <v>345</v>
      </c>
    </row>
    <row r="512" spans="1:14" x14ac:dyDescent="0.25">
      <c r="A512" s="8"/>
      <c r="B512" s="8"/>
      <c r="C512" s="8"/>
      <c r="D512" s="8"/>
      <c r="E512" s="8"/>
      <c r="F512" s="8"/>
      <c r="G512" s="8"/>
      <c r="H512" s="8"/>
      <c r="I512" s="8"/>
    </row>
    <row r="513" spans="1:12" x14ac:dyDescent="0.25">
      <c r="A513" s="8"/>
      <c r="B513" s="8"/>
      <c r="C513" s="8"/>
      <c r="D513" s="8"/>
      <c r="E513" s="8"/>
      <c r="F513" s="8"/>
      <c r="G513" s="8"/>
      <c r="H513" s="8"/>
      <c r="I513" s="8"/>
    </row>
    <row r="514" spans="1:12" x14ac:dyDescent="0.25">
      <c r="A514" s="8"/>
      <c r="B514" s="8"/>
      <c r="C514" s="8"/>
      <c r="D514" s="8"/>
      <c r="E514" s="8"/>
      <c r="F514" s="8" t="s">
        <v>306</v>
      </c>
      <c r="G514" s="8"/>
      <c r="H514" s="8"/>
      <c r="I514" s="8" t="s">
        <v>319</v>
      </c>
    </row>
    <row r="515" spans="1:12" x14ac:dyDescent="0.25">
      <c r="A515" s="8"/>
      <c r="B515" s="8"/>
      <c r="C515" s="8"/>
      <c r="D515" s="8"/>
      <c r="E515" s="8"/>
      <c r="F515" s="8" t="s">
        <v>307</v>
      </c>
      <c r="G515" s="8"/>
      <c r="H515" s="8"/>
      <c r="I515" s="8" t="s">
        <v>320</v>
      </c>
    </row>
    <row r="516" spans="1:12" x14ac:dyDescent="0.25">
      <c r="A516" s="8"/>
      <c r="B516" s="8"/>
      <c r="C516" s="8"/>
      <c r="D516" s="8"/>
      <c r="E516" s="8"/>
      <c r="F516" s="8"/>
      <c r="G516" s="8"/>
      <c r="H516" s="8"/>
      <c r="I516" s="8"/>
    </row>
    <row r="517" spans="1:12" x14ac:dyDescent="0.25">
      <c r="A517" s="8"/>
      <c r="B517" s="8"/>
      <c r="C517" s="8"/>
      <c r="D517" s="8"/>
      <c r="E517" s="8"/>
      <c r="F517" s="8"/>
      <c r="G517" s="8"/>
      <c r="H517" s="8"/>
      <c r="I517" s="8"/>
      <c r="L517" t="s">
        <v>321</v>
      </c>
    </row>
    <row r="518" spans="1:12" x14ac:dyDescent="0.25">
      <c r="A518" s="8"/>
      <c r="B518" s="8"/>
      <c r="C518" s="8"/>
      <c r="D518" s="8"/>
      <c r="E518" s="8"/>
      <c r="F518" s="8" t="s">
        <v>308</v>
      </c>
      <c r="G518" s="8"/>
      <c r="H518" s="8"/>
      <c r="I518" s="8"/>
      <c r="L518" t="s">
        <v>322</v>
      </c>
    </row>
    <row r="519" spans="1:12" x14ac:dyDescent="0.25">
      <c r="A519" s="8"/>
      <c r="B519" s="8"/>
      <c r="C519" s="8"/>
      <c r="D519" s="8"/>
      <c r="E519" s="8"/>
      <c r="F519" s="8" t="s">
        <v>309</v>
      </c>
      <c r="G519" s="8"/>
      <c r="H519" s="8"/>
      <c r="I519" s="8"/>
      <c r="L519" t="s">
        <v>323</v>
      </c>
    </row>
    <row r="520" spans="1:12" x14ac:dyDescent="0.25">
      <c r="A520" s="8"/>
      <c r="B520" s="8"/>
      <c r="C520" s="8"/>
      <c r="D520" s="8"/>
      <c r="E520" s="8"/>
      <c r="F520" s="8" t="s">
        <v>310</v>
      </c>
      <c r="G520" s="8"/>
      <c r="H520" s="8"/>
      <c r="I520" s="8"/>
    </row>
    <row r="521" spans="1:12" x14ac:dyDescent="0.25">
      <c r="A521" s="8"/>
      <c r="B521" s="8"/>
      <c r="C521" s="8"/>
      <c r="D521" s="8"/>
      <c r="E521" s="8"/>
      <c r="F521" s="8" t="s">
        <v>311</v>
      </c>
      <c r="G521" s="8"/>
      <c r="H521" s="8"/>
      <c r="I521" s="8"/>
    </row>
    <row r="522" spans="1:12" x14ac:dyDescent="0.25">
      <c r="A522" s="8"/>
      <c r="B522" s="8"/>
      <c r="C522" s="8"/>
      <c r="D522" s="8"/>
      <c r="E522" s="8"/>
      <c r="F522" s="8" t="s">
        <v>312</v>
      </c>
      <c r="G522" s="8"/>
      <c r="H522" s="8"/>
      <c r="I522" s="8"/>
    </row>
    <row r="523" spans="1:12" x14ac:dyDescent="0.25">
      <c r="A523" s="8"/>
      <c r="B523" s="8"/>
      <c r="C523" s="8"/>
      <c r="D523" s="8"/>
      <c r="E523" s="8"/>
      <c r="F523" s="8"/>
      <c r="G523" s="8"/>
      <c r="H523" s="8"/>
      <c r="I523" s="8"/>
    </row>
    <row r="524" spans="1:12" x14ac:dyDescent="0.25">
      <c r="A524" s="8"/>
      <c r="B524" s="8"/>
      <c r="C524" s="8"/>
      <c r="D524" s="8"/>
      <c r="E524" s="8"/>
      <c r="F524" s="8"/>
      <c r="G524" s="8"/>
      <c r="H524" s="8"/>
      <c r="I524" s="8"/>
    </row>
    <row r="525" spans="1:12" x14ac:dyDescent="0.25">
      <c r="A525" s="8"/>
      <c r="B525" s="8"/>
      <c r="C525" s="8"/>
      <c r="D525" s="8"/>
      <c r="E525" s="8"/>
      <c r="F525" s="8" t="s">
        <v>305</v>
      </c>
      <c r="G525" s="8"/>
      <c r="H525" s="8"/>
      <c r="I525" s="8"/>
    </row>
    <row r="526" spans="1:12" x14ac:dyDescent="0.25">
      <c r="A526" s="8"/>
      <c r="B526" s="8"/>
      <c r="C526" s="8"/>
      <c r="D526" s="8"/>
      <c r="E526" s="8"/>
      <c r="F526" s="8" t="s">
        <v>315</v>
      </c>
      <c r="G526" s="8"/>
      <c r="H526" s="8"/>
      <c r="I526" s="8"/>
    </row>
    <row r="527" spans="1:12" x14ac:dyDescent="0.25">
      <c r="A527" s="8"/>
      <c r="B527" s="8"/>
      <c r="C527" s="8"/>
      <c r="D527" s="8"/>
      <c r="E527" s="8"/>
      <c r="F527" s="8" t="s">
        <v>316</v>
      </c>
      <c r="G527" s="8"/>
      <c r="H527" s="8"/>
      <c r="I527" s="8"/>
    </row>
    <row r="528" spans="1:12" x14ac:dyDescent="0.25">
      <c r="A528" s="8"/>
      <c r="B528" s="8"/>
      <c r="C528" s="8"/>
      <c r="D528" s="8"/>
      <c r="E528" s="8"/>
      <c r="F528" s="8"/>
      <c r="G528" s="8"/>
      <c r="H528" s="8"/>
      <c r="I528" s="8"/>
    </row>
    <row r="529" spans="1:10" x14ac:dyDescent="0.25">
      <c r="A529" s="8"/>
      <c r="B529" s="8"/>
      <c r="C529" s="8"/>
      <c r="D529" s="8"/>
      <c r="E529" s="8"/>
      <c r="F529" s="8" t="s">
        <v>317</v>
      </c>
      <c r="G529" s="8"/>
      <c r="H529" s="8" t="s">
        <v>302</v>
      </c>
      <c r="I529" s="8" t="s">
        <v>183</v>
      </c>
      <c r="J529" t="s">
        <v>314</v>
      </c>
    </row>
    <row r="530" spans="1:10" x14ac:dyDescent="0.25">
      <c r="A530" s="8"/>
      <c r="B530" s="8"/>
      <c r="C530" s="8"/>
      <c r="D530" s="8"/>
      <c r="E530" s="8"/>
      <c r="F530" s="8"/>
      <c r="G530" s="8"/>
      <c r="H530" s="8">
        <v>0.5</v>
      </c>
      <c r="I530" s="8">
        <v>25</v>
      </c>
      <c r="J530">
        <v>0.85909999999999997</v>
      </c>
    </row>
    <row r="531" spans="1:10" x14ac:dyDescent="0.25">
      <c r="A531" s="8"/>
      <c r="B531" s="8"/>
      <c r="C531" s="8"/>
      <c r="D531" s="8"/>
      <c r="E531" s="8"/>
      <c r="F531" s="8"/>
      <c r="G531" s="8"/>
      <c r="H531" s="1">
        <v>0.55000000000000004</v>
      </c>
      <c r="I531" s="1">
        <v>32</v>
      </c>
      <c r="J531" s="1">
        <v>0.86050000000000004</v>
      </c>
    </row>
    <row r="532" spans="1:10" x14ac:dyDescent="0.25">
      <c r="A532" s="8"/>
      <c r="B532" s="8"/>
      <c r="C532" s="8"/>
      <c r="D532" s="8"/>
      <c r="E532" s="8"/>
      <c r="F532" s="8"/>
      <c r="G532" s="8"/>
      <c r="H532" s="8">
        <v>0.6</v>
      </c>
      <c r="I532" s="8">
        <v>39</v>
      </c>
      <c r="J532">
        <v>0.86180000000000001</v>
      </c>
    </row>
    <row r="533" spans="1:10" x14ac:dyDescent="0.25">
      <c r="A533" s="8"/>
      <c r="B533" s="8"/>
      <c r="C533" s="8"/>
      <c r="D533" s="8"/>
      <c r="E533" s="8"/>
      <c r="F533" s="8"/>
      <c r="G533" s="8"/>
      <c r="H533" s="8">
        <v>0.65</v>
      </c>
      <c r="I533" s="8">
        <v>45</v>
      </c>
      <c r="J533">
        <v>0.8629</v>
      </c>
    </row>
    <row r="534" spans="1:10" x14ac:dyDescent="0.25">
      <c r="A534" s="8"/>
      <c r="B534" s="8"/>
      <c r="C534" s="8"/>
      <c r="D534" s="8"/>
      <c r="E534" s="8"/>
      <c r="F534" s="8"/>
      <c r="G534" s="8"/>
      <c r="H534" s="8">
        <v>0.7</v>
      </c>
      <c r="I534" s="8">
        <v>50</v>
      </c>
      <c r="J534">
        <v>0.86380000000000001</v>
      </c>
    </row>
    <row r="535" spans="1:10" x14ac:dyDescent="0.25">
      <c r="A535" s="8"/>
      <c r="B535" s="8"/>
      <c r="C535" s="8"/>
      <c r="D535" s="8"/>
      <c r="E535" s="8"/>
      <c r="F535" s="8"/>
      <c r="G535" s="8"/>
      <c r="H535" s="8">
        <v>0.75</v>
      </c>
      <c r="I535" s="8">
        <v>56</v>
      </c>
      <c r="J535">
        <v>0.86470000000000002</v>
      </c>
    </row>
    <row r="536" spans="1:10" x14ac:dyDescent="0.25">
      <c r="A536" s="8"/>
      <c r="B536" s="8"/>
      <c r="C536" s="8"/>
      <c r="D536" s="8"/>
      <c r="E536" s="8"/>
      <c r="F536" s="8"/>
      <c r="G536" s="8"/>
      <c r="H536" s="8">
        <v>0.8</v>
      </c>
      <c r="I536" s="8">
        <v>62</v>
      </c>
      <c r="J536">
        <v>0.86529999999999996</v>
      </c>
    </row>
    <row r="537" spans="1:10" x14ac:dyDescent="0.25">
      <c r="A537" s="8"/>
      <c r="B537" s="8"/>
      <c r="C537" s="8"/>
      <c r="D537" s="8"/>
      <c r="E537" s="8"/>
      <c r="F537" s="8"/>
      <c r="G537" s="8"/>
      <c r="H537" s="8">
        <v>0.85</v>
      </c>
      <c r="I537" s="8">
        <v>68</v>
      </c>
      <c r="J537">
        <v>0.86580000000000001</v>
      </c>
    </row>
    <row r="538" spans="1:10" x14ac:dyDescent="0.25">
      <c r="A538" s="8"/>
      <c r="B538" s="8"/>
      <c r="C538" s="8"/>
      <c r="D538" s="8"/>
      <c r="E538" s="8"/>
      <c r="F538" s="8"/>
      <c r="G538" s="8"/>
      <c r="H538" s="8">
        <v>0.9</v>
      </c>
      <c r="I538" s="8">
        <v>74</v>
      </c>
      <c r="J538">
        <v>0.86609999999999998</v>
      </c>
    </row>
    <row r="539" spans="1:10" x14ac:dyDescent="0.25">
      <c r="A539" s="8"/>
      <c r="B539" s="8"/>
      <c r="C539" s="8"/>
      <c r="D539" s="8"/>
      <c r="E539" s="8"/>
      <c r="F539" s="8"/>
      <c r="G539" s="8"/>
      <c r="H539" s="8">
        <v>0.95</v>
      </c>
      <c r="I539" s="8">
        <v>80</v>
      </c>
      <c r="J539">
        <v>0.86629999999999996</v>
      </c>
    </row>
    <row r="540" spans="1:10" x14ac:dyDescent="0.25">
      <c r="A540" s="8"/>
      <c r="B540" s="8"/>
      <c r="C540" s="8"/>
      <c r="D540" s="8"/>
      <c r="E540" s="8"/>
      <c r="F540" s="8"/>
      <c r="G540" s="8"/>
      <c r="H540" s="8">
        <v>1</v>
      </c>
      <c r="I540" s="8">
        <v>70</v>
      </c>
      <c r="J540">
        <v>0.86780000000000002</v>
      </c>
    </row>
    <row r="541" spans="1:10" x14ac:dyDescent="0.25">
      <c r="A541" s="8"/>
      <c r="B541" s="8"/>
      <c r="C541" s="8"/>
      <c r="D541" s="8"/>
      <c r="E541" s="8"/>
      <c r="F541" s="8"/>
      <c r="G541" s="8"/>
      <c r="H541" s="8">
        <v>1.05</v>
      </c>
      <c r="I541" s="8">
        <v>75</v>
      </c>
      <c r="J541">
        <v>0.86819999999999997</v>
      </c>
    </row>
    <row r="542" spans="1:10" x14ac:dyDescent="0.25">
      <c r="A542" s="8"/>
      <c r="B542" s="8"/>
      <c r="C542" s="8"/>
      <c r="D542" s="8"/>
      <c r="E542" s="8"/>
      <c r="F542" s="8"/>
      <c r="G542" s="8"/>
      <c r="H542" s="8">
        <v>2</v>
      </c>
      <c r="I542" s="8">
        <v>100</v>
      </c>
      <c r="J542">
        <v>0.87270000000000003</v>
      </c>
    </row>
    <row r="543" spans="1:10" x14ac:dyDescent="0.25">
      <c r="A543" s="8"/>
      <c r="B543" s="8"/>
      <c r="C543" s="8"/>
      <c r="D543" s="8"/>
      <c r="E543" s="8"/>
      <c r="F543" s="8"/>
      <c r="G543" s="8"/>
      <c r="H543" s="8">
        <v>3</v>
      </c>
      <c r="I543" s="8">
        <v>115</v>
      </c>
      <c r="J543">
        <v>0.87409999999999999</v>
      </c>
    </row>
    <row r="544" spans="1:10" x14ac:dyDescent="0.25">
      <c r="A544" s="8"/>
      <c r="B544" s="8"/>
      <c r="C544" s="8"/>
      <c r="D544" s="8"/>
      <c r="E544" s="8"/>
      <c r="F544" s="8"/>
      <c r="G544" s="8"/>
      <c r="H544" s="8">
        <v>4</v>
      </c>
      <c r="I544" s="8">
        <v>120</v>
      </c>
      <c r="J544">
        <v>0.875</v>
      </c>
    </row>
    <row r="545" spans="1:10" x14ac:dyDescent="0.25">
      <c r="A545" s="8"/>
      <c r="B545" s="8"/>
      <c r="C545" s="8"/>
      <c r="D545" s="8"/>
      <c r="E545" s="8"/>
      <c r="F545" s="8"/>
      <c r="G545" s="8"/>
      <c r="H545" s="8">
        <v>5</v>
      </c>
      <c r="I545" s="8">
        <v>125</v>
      </c>
      <c r="J545">
        <v>0.87529999999999997</v>
      </c>
    </row>
    <row r="546" spans="1:10" x14ac:dyDescent="0.25">
      <c r="A546" s="8"/>
      <c r="B546" s="8"/>
      <c r="C546" s="8"/>
      <c r="D546" s="8"/>
      <c r="E546" s="8"/>
      <c r="F546" s="8"/>
      <c r="G546" s="8"/>
      <c r="H546" s="8">
        <v>6</v>
      </c>
      <c r="I546" s="8">
        <v>128</v>
      </c>
      <c r="J546">
        <v>0.87560000000000004</v>
      </c>
    </row>
    <row r="547" spans="1:10" x14ac:dyDescent="0.25">
      <c r="A547" s="8"/>
      <c r="B547" s="8"/>
      <c r="C547" s="8"/>
      <c r="D547" s="8"/>
      <c r="E547" s="8"/>
      <c r="F547" s="8"/>
      <c r="G547" s="8"/>
      <c r="H547" s="8">
        <v>7</v>
      </c>
      <c r="I547" s="8">
        <v>130</v>
      </c>
      <c r="J547">
        <v>0.87580000000000002</v>
      </c>
    </row>
    <row r="548" spans="1:10" x14ac:dyDescent="0.25">
      <c r="A548" s="8"/>
      <c r="B548" s="8"/>
      <c r="C548" s="8"/>
      <c r="D548" s="8"/>
      <c r="E548" s="8"/>
      <c r="F548" s="8"/>
      <c r="G548" s="8"/>
      <c r="H548" s="8">
        <v>8</v>
      </c>
      <c r="I548" s="8">
        <v>132</v>
      </c>
      <c r="J548">
        <v>0.87590000000000001</v>
      </c>
    </row>
    <row r="549" spans="1:10" x14ac:dyDescent="0.25">
      <c r="A549" s="8"/>
      <c r="B549" s="8"/>
      <c r="C549" s="8"/>
      <c r="D549" s="8"/>
      <c r="E549" s="8"/>
      <c r="F549" s="8"/>
      <c r="G549" s="8"/>
      <c r="H549" s="8">
        <v>9</v>
      </c>
      <c r="I549" s="8">
        <v>134</v>
      </c>
      <c r="J549">
        <v>0.876</v>
      </c>
    </row>
    <row r="550" spans="1:10" x14ac:dyDescent="0.25">
      <c r="A550" s="8"/>
      <c r="B550" s="8"/>
      <c r="C550" s="8"/>
      <c r="D550" s="8"/>
      <c r="E550" s="8"/>
      <c r="F550" s="8"/>
      <c r="G550" s="8"/>
      <c r="H550" s="8">
        <v>10</v>
      </c>
      <c r="I550" s="8">
        <v>135</v>
      </c>
      <c r="J550">
        <v>0.87609999999999999</v>
      </c>
    </row>
    <row r="551" spans="1:10" x14ac:dyDescent="0.25">
      <c r="A551" s="8"/>
      <c r="B551" s="8"/>
      <c r="C551" s="8"/>
      <c r="D551" s="8"/>
      <c r="E551" s="8"/>
      <c r="F551" s="8"/>
      <c r="G551" s="8"/>
      <c r="H551" s="8">
        <v>12</v>
      </c>
      <c r="I551" s="8">
        <v>136</v>
      </c>
      <c r="J551">
        <v>0.87619999999999998</v>
      </c>
    </row>
    <row r="552" spans="1:10" x14ac:dyDescent="0.25">
      <c r="H552">
        <v>14</v>
      </c>
      <c r="I552">
        <v>137</v>
      </c>
      <c r="J552">
        <v>0.87629999999999997</v>
      </c>
    </row>
    <row r="553" spans="1:10" x14ac:dyDescent="0.25">
      <c r="H553">
        <v>16</v>
      </c>
      <c r="I553">
        <v>138</v>
      </c>
      <c r="J553">
        <v>0.87639999999999996</v>
      </c>
    </row>
    <row r="554" spans="1:10" x14ac:dyDescent="0.25">
      <c r="H554">
        <v>20</v>
      </c>
      <c r="I554">
        <v>140</v>
      </c>
      <c r="J554">
        <v>0.87639999999999996</v>
      </c>
    </row>
    <row r="555" spans="1:10" x14ac:dyDescent="0.25">
      <c r="H555">
        <v>30</v>
      </c>
      <c r="I555">
        <v>140</v>
      </c>
      <c r="J555">
        <v>0.87670000000000003</v>
      </c>
    </row>
    <row r="556" spans="1:10" x14ac:dyDescent="0.25">
      <c r="H556">
        <v>35</v>
      </c>
      <c r="I556">
        <v>138</v>
      </c>
      <c r="J556">
        <v>0.87670000000000003</v>
      </c>
    </row>
    <row r="557" spans="1:10" x14ac:dyDescent="0.25">
      <c r="H557">
        <v>40</v>
      </c>
      <c r="I557">
        <v>138</v>
      </c>
      <c r="J557">
        <v>0.87670000000000003</v>
      </c>
    </row>
    <row r="558" spans="1:10" x14ac:dyDescent="0.25">
      <c r="H558">
        <v>42</v>
      </c>
      <c r="I558">
        <v>139</v>
      </c>
      <c r="J558">
        <v>0.87670000000000003</v>
      </c>
    </row>
    <row r="559" spans="1:10" x14ac:dyDescent="0.25">
      <c r="H559">
        <v>44</v>
      </c>
      <c r="I559">
        <v>139</v>
      </c>
      <c r="J559">
        <v>0.87670000000000003</v>
      </c>
    </row>
    <row r="560" spans="1:10" x14ac:dyDescent="0.25">
      <c r="H560">
        <v>45</v>
      </c>
      <c r="I560">
        <v>138</v>
      </c>
      <c r="J560">
        <v>0.87680000000000002</v>
      </c>
    </row>
    <row r="561" spans="8:10" x14ac:dyDescent="0.25">
      <c r="H561">
        <v>50</v>
      </c>
      <c r="I561">
        <v>139</v>
      </c>
      <c r="J561">
        <v>0.87670000000000003</v>
      </c>
    </row>
    <row r="562" spans="8:10" x14ac:dyDescent="0.25">
      <c r="H562">
        <v>55</v>
      </c>
      <c r="I562">
        <v>140</v>
      </c>
      <c r="J562">
        <v>0.87670000000000003</v>
      </c>
    </row>
    <row r="563" spans="8:10" x14ac:dyDescent="0.25">
      <c r="H563">
        <v>60</v>
      </c>
      <c r="I563">
        <v>138</v>
      </c>
      <c r="J563">
        <v>0.87670000000000003</v>
      </c>
    </row>
    <row r="564" spans="8:10" x14ac:dyDescent="0.25">
      <c r="H564">
        <v>70</v>
      </c>
      <c r="I564">
        <v>140</v>
      </c>
      <c r="J564">
        <v>0.87670000000000003</v>
      </c>
    </row>
    <row r="565" spans="8:10" x14ac:dyDescent="0.25">
      <c r="H565">
        <v>80</v>
      </c>
      <c r="I565">
        <v>138</v>
      </c>
      <c r="J565">
        <v>0.87670000000000003</v>
      </c>
    </row>
    <row r="566" spans="8:10" x14ac:dyDescent="0.25">
      <c r="H566">
        <v>90</v>
      </c>
      <c r="I566">
        <v>140</v>
      </c>
      <c r="J566" s="1">
        <v>0.87680000000000002</v>
      </c>
    </row>
    <row r="567" spans="8:10" x14ac:dyDescent="0.25">
      <c r="H567">
        <v>100</v>
      </c>
      <c r="I567">
        <v>138</v>
      </c>
      <c r="J567" s="1">
        <v>0.87670000000000003</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EEC8D-C13B-4C83-A668-0AFD55127A1A}">
  <sheetPr codeName="Sheet5"/>
  <dimension ref="A1:BT110"/>
  <sheetViews>
    <sheetView topLeftCell="Y56" zoomScale="77" zoomScaleNormal="77" workbookViewId="0">
      <selection activeCell="AJ77" sqref="AJ77"/>
    </sheetView>
  </sheetViews>
  <sheetFormatPr defaultRowHeight="15" x14ac:dyDescent="0.25"/>
  <cols>
    <col min="1" max="1" width="27.85546875" bestFit="1" customWidth="1"/>
    <col min="2" max="2" width="19.140625" bestFit="1" customWidth="1"/>
    <col min="3" max="3" width="35.140625" bestFit="1" customWidth="1"/>
    <col min="4" max="4" width="15.85546875" bestFit="1" customWidth="1"/>
    <col min="5" max="5" width="15.42578125" bestFit="1" customWidth="1"/>
    <col min="6" max="6" width="12" bestFit="1" customWidth="1"/>
    <col min="7" max="7" width="18.42578125" bestFit="1" customWidth="1"/>
    <col min="8" max="8" width="9.42578125" bestFit="1" customWidth="1"/>
    <col min="11" max="11" width="18" bestFit="1" customWidth="1"/>
    <col min="12" max="12" width="13.85546875" bestFit="1" customWidth="1"/>
    <col min="13" max="13" width="24.85546875" bestFit="1" customWidth="1"/>
    <col min="14" max="15" width="13.85546875" bestFit="1" customWidth="1"/>
    <col min="17" max="17" width="11.85546875" bestFit="1" customWidth="1"/>
    <col min="18" max="18" width="11.140625" bestFit="1" customWidth="1"/>
    <col min="21" max="21" width="12.140625" bestFit="1" customWidth="1"/>
    <col min="22" max="22" width="9.28515625" bestFit="1" customWidth="1"/>
    <col min="27" max="27" width="11.85546875" bestFit="1" customWidth="1"/>
    <col min="28" max="28" width="12.140625" bestFit="1" customWidth="1"/>
  </cols>
  <sheetData>
    <row r="1" spans="1:33" ht="18.75" x14ac:dyDescent="0.3">
      <c r="A1" s="2" t="str">
        <f>'estimates new'!AR60</f>
        <v>sample files from polar</v>
      </c>
      <c r="B1" s="2" t="str">
        <f>'estimates new'!AS60</f>
        <v>sample number</v>
      </c>
      <c r="C1" s="2" t="str">
        <f>'estimates new'!AT60</f>
        <v>Distance from injection point</v>
      </c>
      <c r="D1" s="2" t="str">
        <f>'estimates new'!AU60</f>
        <v>core fraction</v>
      </c>
      <c r="E1" s="2" t="str">
        <f>'estimates new'!AV60</f>
        <v>skin fraction</v>
      </c>
      <c r="F1" s="2" t="str">
        <f>'estimates new'!AW60</f>
        <v>thickness</v>
      </c>
      <c r="G1" s="2" t="s">
        <v>110</v>
      </c>
      <c r="H1" s="2" t="s">
        <v>111</v>
      </c>
      <c r="J1" t="s">
        <v>120</v>
      </c>
      <c r="K1" t="s">
        <v>119</v>
      </c>
      <c r="N1" t="s">
        <v>121</v>
      </c>
      <c r="O1" t="s">
        <v>119</v>
      </c>
      <c r="Q1" t="s">
        <v>122</v>
      </c>
      <c r="R1" t="s">
        <v>119</v>
      </c>
      <c r="T1" s="8" t="s">
        <v>120</v>
      </c>
      <c r="U1" s="8" t="s">
        <v>123</v>
      </c>
      <c r="V1" s="8"/>
      <c r="W1" s="8"/>
      <c r="X1" s="8" t="s">
        <v>121</v>
      </c>
      <c r="Y1" s="8" t="s">
        <v>123</v>
      </c>
      <c r="Z1" s="8"/>
      <c r="AA1" s="8" t="s">
        <v>122</v>
      </c>
      <c r="AB1" s="8" t="s">
        <v>123</v>
      </c>
    </row>
    <row r="2" spans="1:33" ht="15.75" x14ac:dyDescent="0.25">
      <c r="A2" s="17" t="str">
        <f>'estimates new'!AR61</f>
        <v>462 (2)</v>
      </c>
      <c r="B2" s="17">
        <f>'estimates new'!AS61</f>
        <v>2</v>
      </c>
      <c r="C2" s="17">
        <f>'estimates new'!AT61</f>
        <v>12</v>
      </c>
      <c r="D2" s="17">
        <f>'estimates new'!AU61</f>
        <v>0.39285714285714285</v>
      </c>
      <c r="E2" s="17">
        <f>'estimates new'!AV61</f>
        <v>0.60714285714285721</v>
      </c>
      <c r="F2" s="17">
        <f>'estimates new'!AW61</f>
        <v>0.84</v>
      </c>
      <c r="G2" s="18">
        <f>0</f>
        <v>0</v>
      </c>
      <c r="H2" s="8">
        <v>0</v>
      </c>
      <c r="K2" t="s">
        <v>107</v>
      </c>
      <c r="L2" t="s">
        <v>98</v>
      </c>
      <c r="N2" t="s">
        <v>107</v>
      </c>
      <c r="O2" t="s">
        <v>98</v>
      </c>
      <c r="Q2" t="s">
        <v>107</v>
      </c>
      <c r="R2" t="s">
        <v>98</v>
      </c>
      <c r="T2" s="8"/>
      <c r="U2" s="8" t="s">
        <v>107</v>
      </c>
      <c r="V2" s="8" t="s">
        <v>98</v>
      </c>
      <c r="W2" s="8"/>
      <c r="X2" s="8" t="s">
        <v>107</v>
      </c>
      <c r="Y2" s="8" t="s">
        <v>98</v>
      </c>
      <c r="Z2" s="8"/>
      <c r="AA2" s="8" t="s">
        <v>107</v>
      </c>
      <c r="AB2" s="8" t="s">
        <v>98</v>
      </c>
    </row>
    <row r="3" spans="1:33" ht="15.75" x14ac:dyDescent="0.25">
      <c r="A3" s="17" t="str">
        <f>'estimates new'!AR64</f>
        <v>442 (3)</v>
      </c>
      <c r="B3" s="17">
        <f>'estimates new'!AS64</f>
        <v>3</v>
      </c>
      <c r="C3" s="17">
        <f>'estimates new'!AT64</f>
        <v>12</v>
      </c>
      <c r="D3" s="17">
        <f>'estimates new'!AU64</f>
        <v>0.59756097560975607</v>
      </c>
      <c r="E3" s="17">
        <f>'estimates new'!AV64</f>
        <v>0.40243902439024393</v>
      </c>
      <c r="F3" s="17">
        <f>'estimates new'!AW64</f>
        <v>0.82</v>
      </c>
      <c r="G3" s="18">
        <v>60</v>
      </c>
      <c r="H3" s="8">
        <v>0</v>
      </c>
      <c r="J3" s="8"/>
      <c r="K3" s="8">
        <f>E5</f>
        <v>0.7021276595744681</v>
      </c>
      <c r="L3" s="8">
        <f>F5</f>
        <v>0.47</v>
      </c>
      <c r="N3">
        <f>E14</f>
        <v>0.59259259259259256</v>
      </c>
      <c r="O3" s="8">
        <f>F14</f>
        <v>0.81</v>
      </c>
      <c r="Q3">
        <f>E26</f>
        <v>0.58749999999999991</v>
      </c>
      <c r="R3" s="8">
        <f>F26</f>
        <v>0.8</v>
      </c>
      <c r="T3" s="8"/>
      <c r="U3" s="8">
        <f>AD4</f>
        <v>0.58823529411764708</v>
      </c>
      <c r="V3" s="8">
        <f>AE4</f>
        <v>0.68</v>
      </c>
      <c r="W3" s="8"/>
      <c r="X3" s="8">
        <f>AF4</f>
        <v>0.68852459016393441</v>
      </c>
      <c r="Y3" s="8">
        <f>AG4</f>
        <v>0.61</v>
      </c>
      <c r="Z3" s="8"/>
      <c r="AA3" s="23">
        <f>E36</f>
        <v>1</v>
      </c>
      <c r="AB3" s="23">
        <f>F36</f>
        <v>0.55000000000000004</v>
      </c>
      <c r="AD3">
        <f>E12</f>
        <v>0.2</v>
      </c>
      <c r="AE3">
        <f>F12</f>
        <v>0.73</v>
      </c>
      <c r="AF3">
        <f>E24</f>
        <v>0.69696969696969702</v>
      </c>
      <c r="AG3">
        <f>F24</f>
        <v>0.66</v>
      </c>
    </row>
    <row r="4" spans="1:33" ht="15.75" x14ac:dyDescent="0.25">
      <c r="A4" s="17" t="str">
        <f>'estimates new'!AR67</f>
        <v>453 (4)</v>
      </c>
      <c r="B4" s="17">
        <f>'estimates new'!AS67</f>
        <v>4</v>
      </c>
      <c r="C4" s="17">
        <f>'estimates new'!AT67</f>
        <v>12</v>
      </c>
      <c r="D4" s="17">
        <f>'estimates new'!AU67</f>
        <v>0.5662650602409639</v>
      </c>
      <c r="E4" s="17">
        <f>'estimates new'!AV67</f>
        <v>0.43373493975903615</v>
      </c>
      <c r="F4" s="17">
        <f>'estimates new'!AW67</f>
        <v>0.83</v>
      </c>
      <c r="G4" s="18">
        <v>30</v>
      </c>
      <c r="H4" s="8">
        <v>0</v>
      </c>
      <c r="K4">
        <f>E10</f>
        <v>0.42176870748299322</v>
      </c>
      <c r="L4" s="8">
        <f>F10</f>
        <v>1.47</v>
      </c>
      <c r="N4">
        <f>E17</f>
        <v>0.88636363636363646</v>
      </c>
      <c r="O4" s="8">
        <f>F17</f>
        <v>0.44</v>
      </c>
      <c r="Q4">
        <f>E29</f>
        <v>1</v>
      </c>
      <c r="R4" s="8">
        <f>F29</f>
        <v>0.41</v>
      </c>
      <c r="T4" s="8"/>
      <c r="U4" s="8">
        <f>AD3</f>
        <v>0.2</v>
      </c>
      <c r="V4" s="8">
        <f>AE3</f>
        <v>0.73</v>
      </c>
      <c r="W4" s="8"/>
      <c r="X4" s="8">
        <f>AF3</f>
        <v>0.69696969696969702</v>
      </c>
      <c r="Y4" s="8">
        <f>AG3</f>
        <v>0.66</v>
      </c>
      <c r="Z4" s="8"/>
      <c r="AA4" s="23">
        <f>E32</f>
        <v>0.70909090909090899</v>
      </c>
      <c r="AB4" s="23">
        <f>F32</f>
        <v>0.55000000000000004</v>
      </c>
      <c r="AD4">
        <f>E8</f>
        <v>0.58823529411764708</v>
      </c>
      <c r="AE4">
        <f>F8</f>
        <v>0.68</v>
      </c>
      <c r="AF4">
        <f>E20</f>
        <v>0.68852459016393441</v>
      </c>
      <c r="AG4">
        <f>F20</f>
        <v>0.61</v>
      </c>
    </row>
    <row r="5" spans="1:33" ht="15.75" x14ac:dyDescent="0.25">
      <c r="A5" s="17" t="str">
        <f>'estimates new'!AR70</f>
        <v>639 (5)</v>
      </c>
      <c r="B5" s="17">
        <f>'estimates new'!AS70</f>
        <v>5</v>
      </c>
      <c r="C5" s="17">
        <f>'estimates new'!AT70</f>
        <v>12</v>
      </c>
      <c r="D5" s="17">
        <f>'estimates new'!AU70</f>
        <v>0.2978723404255319</v>
      </c>
      <c r="E5" s="17">
        <f>'estimates new'!AV70</f>
        <v>0.7021276595744681</v>
      </c>
      <c r="F5" s="17">
        <f>'estimates new'!AW70</f>
        <v>0.47</v>
      </c>
      <c r="G5" s="18">
        <f>0</f>
        <v>0</v>
      </c>
      <c r="H5" s="8">
        <v>0</v>
      </c>
      <c r="K5">
        <f>E6</f>
        <v>0.6333333333333333</v>
      </c>
      <c r="L5" s="8">
        <f>F6</f>
        <v>0.6</v>
      </c>
      <c r="N5" s="8">
        <f>E18</f>
        <v>0.68421052631578938</v>
      </c>
      <c r="O5" s="8">
        <f>F18</f>
        <v>0.56999999999999995</v>
      </c>
      <c r="Q5" s="8">
        <f>E30</f>
        <v>0.94444444444444442</v>
      </c>
      <c r="R5" s="8">
        <f>F30</f>
        <v>0.54</v>
      </c>
      <c r="T5" s="8"/>
      <c r="U5" s="8">
        <f>E4</f>
        <v>0.43373493975903615</v>
      </c>
      <c r="V5" s="8">
        <f>F4</f>
        <v>0.83</v>
      </c>
      <c r="W5" s="8"/>
      <c r="X5" s="8">
        <f>E16</f>
        <v>0.59036144578313254</v>
      </c>
      <c r="Y5" s="8">
        <f>F16</f>
        <v>0.83</v>
      </c>
      <c r="Z5" s="8"/>
      <c r="AA5" s="8">
        <f>E28</f>
        <v>0.6875</v>
      </c>
      <c r="AB5" s="8">
        <f>F28</f>
        <v>0.8</v>
      </c>
    </row>
    <row r="6" spans="1:33" ht="15.75" x14ac:dyDescent="0.25">
      <c r="A6" s="17" t="str">
        <f>'estimates new'!AR73</f>
        <v>514 (8)</v>
      </c>
      <c r="B6" s="17">
        <f>'estimates new'!AS73</f>
        <v>8</v>
      </c>
      <c r="C6" s="17">
        <f>'estimates new'!AT73</f>
        <v>12</v>
      </c>
      <c r="D6" s="17">
        <f>'estimates new'!AU73</f>
        <v>0.36666666666666664</v>
      </c>
      <c r="E6" s="17">
        <f>'estimates new'!AV73</f>
        <v>0.6333333333333333</v>
      </c>
      <c r="F6" s="17">
        <f>'estimates new'!AW73</f>
        <v>0.6</v>
      </c>
      <c r="G6" s="18">
        <f>0</f>
        <v>0</v>
      </c>
      <c r="H6" s="8">
        <v>0</v>
      </c>
      <c r="K6">
        <f>E2</f>
        <v>0.60714285714285721</v>
      </c>
      <c r="L6" s="8">
        <f>F2</f>
        <v>0.84</v>
      </c>
      <c r="N6">
        <f>E22</f>
        <v>0.3666666666666667</v>
      </c>
      <c r="O6" s="8">
        <f>F22</f>
        <v>1.5</v>
      </c>
      <c r="Q6">
        <f>E34</f>
        <v>0.35810810810810811</v>
      </c>
      <c r="R6" s="8">
        <f>F34</f>
        <v>1.48</v>
      </c>
      <c r="T6" s="8"/>
      <c r="U6" s="8">
        <f>E9</f>
        <v>0.25850340136054423</v>
      </c>
      <c r="V6" s="8">
        <f>F9</f>
        <v>1.47</v>
      </c>
      <c r="W6" s="8"/>
      <c r="X6" s="8">
        <f>E21</f>
        <v>0.41721854304635764</v>
      </c>
      <c r="Y6" s="8">
        <f>F21</f>
        <v>1.51</v>
      </c>
      <c r="Z6" s="8"/>
      <c r="AA6" s="8">
        <f>E33</f>
        <v>0.45205479452054792</v>
      </c>
      <c r="AB6" s="8">
        <f>F33</f>
        <v>1.46</v>
      </c>
    </row>
    <row r="7" spans="1:33" ht="15.75" x14ac:dyDescent="0.25">
      <c r="A7" s="17" t="str">
        <f>'estimates new'!AR76</f>
        <v>517 (9)</v>
      </c>
      <c r="B7" s="17">
        <f>'estimates new'!AS76</f>
        <v>9</v>
      </c>
      <c r="C7" s="17">
        <f>'estimates new'!AT76</f>
        <v>12</v>
      </c>
      <c r="D7" s="17">
        <f>'estimates new'!AU76</f>
        <v>0.56666666666666665</v>
      </c>
      <c r="E7" s="17">
        <f>'estimates new'!AV76</f>
        <v>0.43333333333333335</v>
      </c>
      <c r="F7" s="17">
        <f>'estimates new'!AW76</f>
        <v>0.6</v>
      </c>
      <c r="G7" s="18">
        <v>60</v>
      </c>
      <c r="H7" s="8">
        <v>1</v>
      </c>
      <c r="K7" s="8"/>
      <c r="L7" s="8"/>
      <c r="T7" s="8"/>
      <c r="U7" s="8"/>
      <c r="V7" s="8"/>
      <c r="W7" s="8"/>
      <c r="X7" s="8"/>
      <c r="Y7" s="8"/>
      <c r="Z7" s="8"/>
      <c r="AA7" s="8"/>
      <c r="AB7" s="8"/>
    </row>
    <row r="8" spans="1:33" ht="15.75" x14ac:dyDescent="0.25">
      <c r="A8" s="17" t="str">
        <f>'estimates new'!AR79</f>
        <v>520 (10)</v>
      </c>
      <c r="B8" s="17">
        <f>'estimates new'!AS79</f>
        <v>10</v>
      </c>
      <c r="C8" s="17">
        <f>'estimates new'!AT79</f>
        <v>12</v>
      </c>
      <c r="D8" s="17">
        <f>'estimates new'!AU79</f>
        <v>0.41176470588235292</v>
      </c>
      <c r="E8" s="17">
        <f>'estimates new'!AV79</f>
        <v>0.58823529411764708</v>
      </c>
      <c r="F8" s="17">
        <f>'estimates new'!AW79</f>
        <v>0.68</v>
      </c>
      <c r="G8" s="8">
        <v>30</v>
      </c>
      <c r="H8" s="8">
        <v>0</v>
      </c>
      <c r="K8">
        <f>K3</f>
        <v>0.7021276595744681</v>
      </c>
      <c r="L8" s="8">
        <f>L3</f>
        <v>0.47</v>
      </c>
      <c r="N8">
        <f>N4</f>
        <v>0.88636363636363646</v>
      </c>
      <c r="O8" s="8">
        <f>O4</f>
        <v>0.44</v>
      </c>
      <c r="Q8">
        <f>Q4</f>
        <v>1</v>
      </c>
      <c r="R8" s="8">
        <f>R4</f>
        <v>0.41</v>
      </c>
      <c r="T8" s="8"/>
      <c r="U8" s="8"/>
      <c r="V8" s="8"/>
      <c r="W8" s="8"/>
      <c r="X8" s="8"/>
      <c r="Y8" s="8"/>
      <c r="Z8" s="8"/>
      <c r="AA8" s="8"/>
      <c r="AB8" s="8"/>
    </row>
    <row r="9" spans="1:33" ht="15.75" x14ac:dyDescent="0.25">
      <c r="A9" s="17" t="str">
        <f>'estimates new'!AR82</f>
        <v>584 (11)</v>
      </c>
      <c r="B9" s="17">
        <f>'estimates new'!AS82</f>
        <v>11</v>
      </c>
      <c r="C9" s="17">
        <f>'estimates new'!AT82</f>
        <v>12</v>
      </c>
      <c r="D9" s="17">
        <f>'estimates new'!AU82</f>
        <v>0.74149659863945583</v>
      </c>
      <c r="E9" s="17">
        <f>'estimates new'!AV82</f>
        <v>0.25850340136054423</v>
      </c>
      <c r="F9" s="17">
        <f>'estimates new'!AW82</f>
        <v>1.47</v>
      </c>
      <c r="G9" s="8">
        <v>30</v>
      </c>
      <c r="H9" s="8">
        <v>0</v>
      </c>
      <c r="K9">
        <f>K5</f>
        <v>0.6333333333333333</v>
      </c>
      <c r="L9" s="8">
        <f>L5</f>
        <v>0.6</v>
      </c>
      <c r="N9">
        <f>N5</f>
        <v>0.68421052631578938</v>
      </c>
      <c r="O9" s="8">
        <f>O5</f>
        <v>0.56999999999999995</v>
      </c>
      <c r="Q9">
        <f>Q5</f>
        <v>0.94444444444444442</v>
      </c>
      <c r="R9" s="8">
        <f>R5</f>
        <v>0.54</v>
      </c>
      <c r="T9" s="8" t="s">
        <v>120</v>
      </c>
      <c r="U9" s="8" t="s">
        <v>124</v>
      </c>
      <c r="V9" s="8"/>
      <c r="W9" s="8"/>
      <c r="X9" s="8" t="s">
        <v>121</v>
      </c>
      <c r="Y9" s="8" t="s">
        <v>124</v>
      </c>
      <c r="Z9" s="8"/>
      <c r="AA9" s="8" t="s">
        <v>122</v>
      </c>
      <c r="AB9" s="8" t="s">
        <v>124</v>
      </c>
    </row>
    <row r="10" spans="1:33" ht="15.75" x14ac:dyDescent="0.25">
      <c r="A10" s="17" t="str">
        <f>'estimates new'!AR85</f>
        <v>588 (12)</v>
      </c>
      <c r="B10" s="17">
        <f>'estimates new'!AS85</f>
        <v>12</v>
      </c>
      <c r="C10" s="17">
        <f>'estimates new'!AT85</f>
        <v>12</v>
      </c>
      <c r="D10" s="17">
        <f>'estimates new'!AU85</f>
        <v>0.57823129251700678</v>
      </c>
      <c r="E10" s="17">
        <f>'estimates new'!AV85</f>
        <v>0.42176870748299322</v>
      </c>
      <c r="F10" s="17">
        <f>'estimates new'!AW85</f>
        <v>1.47</v>
      </c>
      <c r="G10" s="8">
        <f>0</f>
        <v>0</v>
      </c>
      <c r="H10" s="8">
        <v>1</v>
      </c>
      <c r="K10">
        <f>K6</f>
        <v>0.60714285714285721</v>
      </c>
      <c r="L10" s="8">
        <f>L6</f>
        <v>0.84</v>
      </c>
      <c r="N10">
        <f>N3</f>
        <v>0.59259259259259256</v>
      </c>
      <c r="O10" s="8">
        <f>O3</f>
        <v>0.81</v>
      </c>
      <c r="Q10">
        <f>Q3</f>
        <v>0.58749999999999991</v>
      </c>
      <c r="R10" s="8">
        <f>R3</f>
        <v>0.8</v>
      </c>
      <c r="T10" s="8"/>
      <c r="U10" s="8" t="s">
        <v>107</v>
      </c>
      <c r="V10" s="8" t="s">
        <v>98</v>
      </c>
      <c r="W10" s="8"/>
      <c r="X10" s="8" t="s">
        <v>107</v>
      </c>
      <c r="Y10" s="8" t="s">
        <v>98</v>
      </c>
      <c r="Z10" s="8"/>
      <c r="AA10" s="8" t="s">
        <v>107</v>
      </c>
      <c r="AB10" s="8" t="s">
        <v>98</v>
      </c>
    </row>
    <row r="11" spans="1:33" ht="15.75" x14ac:dyDescent="0.25">
      <c r="A11" s="8" t="s">
        <v>56</v>
      </c>
      <c r="B11" s="8">
        <v>6</v>
      </c>
      <c r="C11" s="8">
        <v>12</v>
      </c>
      <c r="D11" s="8">
        <f>'estimates new'!AU88</f>
        <v>0</v>
      </c>
      <c r="E11" s="8">
        <f>'estimates new'!AV88</f>
        <v>1</v>
      </c>
      <c r="F11" s="17">
        <f>'estimates new'!AW88</f>
        <v>0.84</v>
      </c>
      <c r="G11" s="8">
        <v>60</v>
      </c>
      <c r="H11" s="8">
        <v>0</v>
      </c>
      <c r="K11">
        <f>K4</f>
        <v>0.42176870748299322</v>
      </c>
      <c r="L11" s="8">
        <f>L4</f>
        <v>1.47</v>
      </c>
      <c r="N11">
        <f>N6</f>
        <v>0.3666666666666667</v>
      </c>
      <c r="O11" s="8">
        <f>O6</f>
        <v>1.5</v>
      </c>
      <c r="Q11">
        <f>Q6</f>
        <v>0.35810810810810811</v>
      </c>
      <c r="R11" s="8">
        <f>R6</f>
        <v>1.48</v>
      </c>
      <c r="T11" s="8"/>
      <c r="U11" s="8">
        <f>U17</f>
        <v>0.43333333333333335</v>
      </c>
      <c r="V11" s="8">
        <f>V17</f>
        <v>0.6</v>
      </c>
      <c r="W11" s="8"/>
      <c r="X11" s="8">
        <f>X17</f>
        <v>0.51724137931034486</v>
      </c>
      <c r="Y11" s="8">
        <f>Y17</f>
        <v>0.57999999999999996</v>
      </c>
      <c r="Z11" s="8"/>
      <c r="AA11" s="8">
        <f>AA17</f>
        <v>0.72727272727272729</v>
      </c>
      <c r="AB11" s="8">
        <f>AB17</f>
        <v>0.55000000000000004</v>
      </c>
    </row>
    <row r="12" spans="1:33" ht="15.75" x14ac:dyDescent="0.25">
      <c r="A12" s="17" t="str">
        <f>'estimates new'!AR91</f>
        <v>635 (7)</v>
      </c>
      <c r="B12" s="17">
        <f>'estimates new'!AS91</f>
        <v>7</v>
      </c>
      <c r="C12" s="17">
        <f>'estimates new'!AT91</f>
        <v>12</v>
      </c>
      <c r="D12" s="17">
        <f>'estimates new'!AU91</f>
        <v>0.8</v>
      </c>
      <c r="E12" s="17">
        <f>'estimates new'!AV91</f>
        <v>0.2</v>
      </c>
      <c r="F12" s="17">
        <f>'estimates new'!AW91</f>
        <v>0.73</v>
      </c>
      <c r="G12" s="8">
        <v>30</v>
      </c>
      <c r="H12" s="8">
        <v>0</v>
      </c>
      <c r="T12" s="8"/>
      <c r="U12" s="8">
        <f t="shared" ref="U12" si="0">U18</f>
        <v>0.40243902439024393</v>
      </c>
      <c r="V12" s="8">
        <f>V18</f>
        <v>0.82</v>
      </c>
      <c r="W12" s="8"/>
      <c r="X12" s="8">
        <f>X18</f>
        <v>0.7</v>
      </c>
      <c r="Y12" s="8">
        <f>Y18</f>
        <v>0.7</v>
      </c>
      <c r="Z12" s="8"/>
      <c r="AA12" s="8">
        <f>AA18</f>
        <v>0.68253968253968256</v>
      </c>
      <c r="AB12" s="8">
        <f>AB18</f>
        <v>0.63</v>
      </c>
    </row>
    <row r="13" spans="1:33" ht="15.75" x14ac:dyDescent="0.25">
      <c r="A13" s="17" t="str">
        <f>'estimates new'!AR94</f>
        <v>596 (14)</v>
      </c>
      <c r="B13" s="17">
        <f>'estimates new'!AS94</f>
        <v>14</v>
      </c>
      <c r="C13" s="17">
        <f>'estimates new'!AT94</f>
        <v>12</v>
      </c>
      <c r="D13" s="17">
        <f>'estimates new'!AU94</f>
        <v>0.80838323353293418</v>
      </c>
      <c r="E13" s="17">
        <f>'estimates new'!AV94</f>
        <v>0.19161676646706588</v>
      </c>
      <c r="F13" s="17">
        <f>'estimates new'!AW94</f>
        <v>1.67</v>
      </c>
      <c r="G13" s="8">
        <v>60</v>
      </c>
      <c r="H13" s="8">
        <v>0</v>
      </c>
      <c r="T13" s="8"/>
      <c r="U13" s="8">
        <f t="shared" ref="U13:V13" si="1">U19</f>
        <v>1</v>
      </c>
      <c r="V13" s="8">
        <f t="shared" si="1"/>
        <v>0.84</v>
      </c>
      <c r="W13" s="8"/>
      <c r="X13" s="8">
        <f>E15</f>
        <v>0.55844155844155841</v>
      </c>
      <c r="Y13" s="8">
        <f>F15</f>
        <v>0.77</v>
      </c>
      <c r="Z13" s="8"/>
      <c r="AA13" s="8">
        <f>E27</f>
        <v>0.64197530864197527</v>
      </c>
      <c r="AB13" s="8">
        <f>F27</f>
        <v>0.81</v>
      </c>
    </row>
    <row r="14" spans="1:33" ht="15.75" x14ac:dyDescent="0.25">
      <c r="A14" s="17" t="str">
        <f>'estimates new'!AR62</f>
        <v>510 (2)</v>
      </c>
      <c r="B14" s="17">
        <f>'estimates new'!AS62</f>
        <v>2</v>
      </c>
      <c r="C14" s="17">
        <f>'estimates new'!AT62</f>
        <v>27</v>
      </c>
      <c r="D14" s="17">
        <f>'estimates new'!AU62</f>
        <v>0.40740740740740738</v>
      </c>
      <c r="E14" s="17">
        <f>'estimates new'!AV62</f>
        <v>0.59259259259259256</v>
      </c>
      <c r="F14" s="17">
        <f>'estimates new'!AW62</f>
        <v>0.81</v>
      </c>
      <c r="G14" s="18">
        <f>0</f>
        <v>0</v>
      </c>
      <c r="H14" s="8">
        <v>0</v>
      </c>
      <c r="T14" s="8"/>
      <c r="U14" s="8">
        <f>E13</f>
        <v>0.19161676646706588</v>
      </c>
      <c r="V14" s="8">
        <f>F13</f>
        <v>1.67</v>
      </c>
      <c r="W14" s="8"/>
      <c r="X14" s="8">
        <f>E25</f>
        <v>9.5890410958904104E-2</v>
      </c>
      <c r="Y14" s="8">
        <f>F25</f>
        <v>1.46</v>
      </c>
      <c r="Z14" s="8"/>
      <c r="AA14" s="8">
        <f>E37</f>
        <v>8.7248322147651006E-2</v>
      </c>
      <c r="AB14" s="8">
        <f>F37</f>
        <v>1.49</v>
      </c>
    </row>
    <row r="15" spans="1:33" ht="15.75" x14ac:dyDescent="0.25">
      <c r="A15" s="17" t="str">
        <f>'estimates new'!AR65</f>
        <v>505 (3)</v>
      </c>
      <c r="B15" s="17">
        <f>'estimates new'!AS65</f>
        <v>3</v>
      </c>
      <c r="C15" s="17">
        <f>'estimates new'!AT65</f>
        <v>27</v>
      </c>
      <c r="D15" s="17">
        <f>'estimates new'!AU65</f>
        <v>0.44155844155844154</v>
      </c>
      <c r="E15" s="17">
        <f>'estimates new'!AV65</f>
        <v>0.55844155844155841</v>
      </c>
      <c r="F15" s="17">
        <f>'estimates new'!AW65</f>
        <v>0.77</v>
      </c>
      <c r="G15" s="18">
        <v>60</v>
      </c>
      <c r="H15" s="8">
        <v>0</v>
      </c>
    </row>
    <row r="16" spans="1:33" ht="15.75" x14ac:dyDescent="0.25">
      <c r="A16" s="17" t="str">
        <f>'estimates new'!AR68</f>
        <v>508 (4)</v>
      </c>
      <c r="B16" s="17">
        <f>'estimates new'!AS68</f>
        <v>4</v>
      </c>
      <c r="C16" s="17">
        <f>'estimates new'!AT68</f>
        <v>27</v>
      </c>
      <c r="D16" s="17">
        <f>'estimates new'!AU68</f>
        <v>0.40963855421686746</v>
      </c>
      <c r="E16" s="17">
        <f>'estimates new'!AV68</f>
        <v>0.59036144578313254</v>
      </c>
      <c r="F16" s="17">
        <f>'estimates new'!AW68</f>
        <v>0.83</v>
      </c>
      <c r="G16" s="18">
        <v>30</v>
      </c>
      <c r="H16" s="8">
        <v>0</v>
      </c>
      <c r="J16" s="3"/>
      <c r="K16" s="3"/>
      <c r="L16" s="3"/>
      <c r="M16" s="3"/>
      <c r="N16" s="3"/>
      <c r="O16" s="3"/>
      <c r="P16" s="3"/>
      <c r="Q16" s="3"/>
      <c r="R16" s="3"/>
      <c r="S16" s="3"/>
      <c r="T16" s="3"/>
      <c r="U16" s="3"/>
      <c r="V16" s="3"/>
      <c r="W16" s="3"/>
      <c r="X16" s="3"/>
      <c r="Y16" s="3"/>
      <c r="Z16" s="3"/>
      <c r="AA16" s="3"/>
      <c r="AB16" s="3"/>
      <c r="AC16" s="3"/>
    </row>
    <row r="17" spans="1:45" ht="15.75" x14ac:dyDescent="0.25">
      <c r="A17" s="17" t="str">
        <f>'estimates new'!AR71</f>
        <v>650 (5)</v>
      </c>
      <c r="B17" s="17">
        <f>'estimates new'!AS71</f>
        <v>5</v>
      </c>
      <c r="C17" s="17">
        <f>'estimates new'!AT71</f>
        <v>27</v>
      </c>
      <c r="D17" s="17">
        <f>'estimates new'!AU71</f>
        <v>0.11363636363636363</v>
      </c>
      <c r="E17" s="17">
        <f>'estimates new'!AV71</f>
        <v>0.88636363636363646</v>
      </c>
      <c r="F17" s="17">
        <f>'estimates new'!AW71</f>
        <v>0.44</v>
      </c>
      <c r="G17" s="18">
        <f>0</f>
        <v>0</v>
      </c>
      <c r="H17" s="8">
        <v>0</v>
      </c>
      <c r="J17" s="3"/>
      <c r="K17" s="3"/>
      <c r="L17" s="3"/>
      <c r="M17" s="3"/>
      <c r="N17" s="3"/>
      <c r="O17" s="3"/>
      <c r="P17" s="3"/>
      <c r="Q17" s="3"/>
      <c r="R17" s="3"/>
      <c r="S17" s="3"/>
      <c r="T17" s="3"/>
      <c r="U17" s="3">
        <f>E7</f>
        <v>0.43333333333333335</v>
      </c>
      <c r="V17" s="3">
        <f>F7</f>
        <v>0.6</v>
      </c>
      <c r="W17" s="3"/>
      <c r="X17" s="3">
        <f>E19</f>
        <v>0.51724137931034486</v>
      </c>
      <c r="Y17" s="3">
        <f>F19</f>
        <v>0.57999999999999996</v>
      </c>
      <c r="Z17" s="3"/>
      <c r="AA17" s="3">
        <f>E31</f>
        <v>0.72727272727272729</v>
      </c>
      <c r="AB17" s="3">
        <f>F31</f>
        <v>0.55000000000000004</v>
      </c>
      <c r="AC17" s="3"/>
    </row>
    <row r="18" spans="1:45" ht="15.75" x14ac:dyDescent="0.25">
      <c r="A18" s="17" t="str">
        <f>'estimates new'!AR74</f>
        <v>523 (8)</v>
      </c>
      <c r="B18" s="17">
        <f>'estimates new'!AS74</f>
        <v>8</v>
      </c>
      <c r="C18" s="17">
        <f>'estimates new'!AT74</f>
        <v>27</v>
      </c>
      <c r="D18" s="17">
        <f>'estimates new'!AU74</f>
        <v>0.31578947368421051</v>
      </c>
      <c r="E18" s="17">
        <f>'estimates new'!AV74</f>
        <v>0.68421052631578938</v>
      </c>
      <c r="F18" s="17">
        <f>'estimates new'!AW74</f>
        <v>0.56999999999999995</v>
      </c>
      <c r="G18" s="18">
        <f>0</f>
        <v>0</v>
      </c>
      <c r="H18" s="8">
        <v>0</v>
      </c>
      <c r="J18" s="3"/>
      <c r="K18" s="3" t="s">
        <v>228</v>
      </c>
      <c r="L18" s="3"/>
      <c r="M18" s="3"/>
      <c r="N18" s="3"/>
      <c r="O18" s="3"/>
      <c r="P18" s="3"/>
      <c r="Q18" s="3"/>
      <c r="R18" s="3"/>
      <c r="S18" s="3"/>
      <c r="T18" s="3"/>
      <c r="U18" s="3">
        <f>E3</f>
        <v>0.40243902439024393</v>
      </c>
      <c r="V18" s="3">
        <f>F3</f>
        <v>0.82</v>
      </c>
      <c r="W18" s="3"/>
      <c r="X18" s="3">
        <f>E23</f>
        <v>0.7</v>
      </c>
      <c r="Y18" s="3">
        <f>F23</f>
        <v>0.7</v>
      </c>
      <c r="Z18" s="3"/>
      <c r="AA18" s="3">
        <f>E35</f>
        <v>0.68253968253968256</v>
      </c>
      <c r="AB18" s="3">
        <f>F35</f>
        <v>0.63</v>
      </c>
      <c r="AC18" s="3"/>
      <c r="AE18" s="30"/>
      <c r="AF18" s="30"/>
      <c r="AG18" s="30"/>
      <c r="AH18" s="30"/>
      <c r="AI18" s="30"/>
      <c r="AJ18" s="30"/>
      <c r="AK18" s="30"/>
      <c r="AL18" s="30"/>
      <c r="AM18" s="30"/>
      <c r="AN18" s="30"/>
      <c r="AO18" s="30"/>
      <c r="AP18" s="30"/>
      <c r="AQ18" s="30"/>
      <c r="AR18" s="30"/>
      <c r="AS18" s="30"/>
    </row>
    <row r="19" spans="1:45" ht="15.75" x14ac:dyDescent="0.25">
      <c r="A19" s="17" t="str">
        <f>'estimates new'!AR77</f>
        <v>525 (9)</v>
      </c>
      <c r="B19" s="17">
        <f>'estimates new'!AS77</f>
        <v>9</v>
      </c>
      <c r="C19" s="17">
        <f>'estimates new'!AT77</f>
        <v>27</v>
      </c>
      <c r="D19" s="17">
        <f>'estimates new'!AU77</f>
        <v>0.48275862068965519</v>
      </c>
      <c r="E19" s="17">
        <f>'estimates new'!AV77</f>
        <v>0.51724137931034486</v>
      </c>
      <c r="F19" s="17">
        <f>'estimates new'!AW77</f>
        <v>0.57999999999999996</v>
      </c>
      <c r="G19" s="18">
        <v>60</v>
      </c>
      <c r="H19" s="8">
        <v>1</v>
      </c>
      <c r="J19" s="3"/>
      <c r="K19" s="3"/>
      <c r="L19" s="3"/>
      <c r="M19" s="3"/>
      <c r="N19" s="3"/>
      <c r="O19" s="3"/>
      <c r="P19" s="3"/>
      <c r="Q19" s="3"/>
      <c r="R19" s="3"/>
      <c r="S19" s="3"/>
      <c r="T19" s="3"/>
      <c r="U19" s="3">
        <f>E11</f>
        <v>1</v>
      </c>
      <c r="V19" s="3">
        <f>F11</f>
        <v>0.84</v>
      </c>
      <c r="W19" s="3"/>
      <c r="X19" s="3"/>
      <c r="Y19" s="3"/>
      <c r="Z19" s="3"/>
      <c r="AA19" s="3"/>
      <c r="AB19" s="3"/>
      <c r="AC19" s="3"/>
      <c r="AE19" s="30"/>
      <c r="AF19" s="30"/>
      <c r="AG19" s="30"/>
      <c r="AH19" s="30"/>
      <c r="AI19" s="30"/>
      <c r="AJ19" s="30"/>
      <c r="AK19" s="30"/>
      <c r="AL19" s="30"/>
      <c r="AM19" s="30"/>
      <c r="AN19" s="30"/>
      <c r="AO19" s="30"/>
      <c r="AP19" s="30"/>
      <c r="AQ19" s="30"/>
      <c r="AR19" s="30"/>
      <c r="AS19" s="30"/>
    </row>
    <row r="20" spans="1:45" ht="15.75" x14ac:dyDescent="0.25">
      <c r="A20" s="17" t="str">
        <f>'estimates new'!AR80</f>
        <v>530 (10)</v>
      </c>
      <c r="B20" s="17">
        <f>'estimates new'!AS80</f>
        <v>10</v>
      </c>
      <c r="C20" s="17">
        <f>'estimates new'!AT80</f>
        <v>27</v>
      </c>
      <c r="D20" s="17">
        <f>'estimates new'!AU80</f>
        <v>0.31147540983606559</v>
      </c>
      <c r="E20" s="17">
        <f>'estimates new'!AV80</f>
        <v>0.68852459016393441</v>
      </c>
      <c r="F20" s="17">
        <f>'estimates new'!AW80</f>
        <v>0.61</v>
      </c>
      <c r="G20" s="8">
        <v>30</v>
      </c>
      <c r="H20" s="8">
        <v>0</v>
      </c>
      <c r="J20" s="3"/>
      <c r="K20" s="3" t="s">
        <v>98</v>
      </c>
      <c r="L20" s="3" t="s">
        <v>107</v>
      </c>
      <c r="M20" s="3"/>
      <c r="N20" s="3" t="s">
        <v>229</v>
      </c>
      <c r="O20" s="3" t="s">
        <v>217</v>
      </c>
      <c r="P20" s="3"/>
      <c r="Q20" s="3"/>
      <c r="R20" s="3"/>
      <c r="S20" s="3"/>
      <c r="T20" s="3"/>
      <c r="U20" s="3"/>
      <c r="V20" s="3"/>
      <c r="W20" s="3"/>
      <c r="X20" s="3"/>
      <c r="Y20" s="3"/>
      <c r="Z20" s="3"/>
      <c r="AA20" s="3"/>
      <c r="AB20" s="3"/>
      <c r="AC20" s="3"/>
      <c r="AE20" s="30"/>
      <c r="AF20" s="30"/>
      <c r="AG20" s="30"/>
      <c r="AH20" s="30"/>
      <c r="AI20" s="30"/>
      <c r="AJ20" s="30"/>
      <c r="AK20" s="30"/>
      <c r="AL20" s="30"/>
      <c r="AM20" s="30"/>
      <c r="AN20" s="30"/>
      <c r="AO20" s="30"/>
      <c r="AP20" s="30"/>
      <c r="AQ20" s="30"/>
      <c r="AR20" s="30"/>
      <c r="AS20" s="30"/>
    </row>
    <row r="21" spans="1:45" ht="15.75" x14ac:dyDescent="0.25">
      <c r="A21" s="17" t="str">
        <f>'estimates new'!AR83</f>
        <v>602 (11)</v>
      </c>
      <c r="B21" s="17">
        <f>'estimates new'!AS83</f>
        <v>11</v>
      </c>
      <c r="C21" s="17">
        <f>'estimates new'!AT83</f>
        <v>27</v>
      </c>
      <c r="D21" s="17">
        <f>'estimates new'!AU83</f>
        <v>0.58278145695364236</v>
      </c>
      <c r="E21" s="17">
        <f>'estimates new'!AV83</f>
        <v>0.41721854304635764</v>
      </c>
      <c r="F21" s="17">
        <f>'estimates new'!AW83</f>
        <v>1.51</v>
      </c>
      <c r="G21" s="8">
        <v>30</v>
      </c>
      <c r="H21" s="8">
        <v>0</v>
      </c>
      <c r="J21" s="3">
        <v>12</v>
      </c>
      <c r="K21" s="3">
        <v>0.84</v>
      </c>
      <c r="L21" s="3">
        <f>K6</f>
        <v>0.60714285714285721</v>
      </c>
      <c r="M21" s="3"/>
      <c r="N21" s="3">
        <f>AVERAGE(K21:K23)</f>
        <v>0.81666666666666676</v>
      </c>
      <c r="O21" s="3">
        <f>_xlfn.STDEV.S(K21:K23)</f>
        <v>2.0816659994661285E-2</v>
      </c>
      <c r="P21" s="3"/>
      <c r="Q21" s="3"/>
      <c r="R21" s="3"/>
      <c r="S21" s="3"/>
      <c r="T21" s="3"/>
      <c r="U21" s="3"/>
      <c r="V21" s="3"/>
      <c r="W21" s="3"/>
      <c r="X21" s="3"/>
      <c r="Y21" s="3"/>
      <c r="Z21" s="3"/>
      <c r="AA21" s="3"/>
      <c r="AB21" s="3"/>
      <c r="AC21" s="3"/>
      <c r="AE21" s="30"/>
      <c r="AF21" s="30" t="s">
        <v>270</v>
      </c>
      <c r="AG21" s="30"/>
      <c r="AH21" s="30" t="s">
        <v>269</v>
      </c>
      <c r="AI21" s="30"/>
      <c r="AJ21" s="30"/>
      <c r="AK21" s="30" t="s">
        <v>271</v>
      </c>
      <c r="AL21" s="30"/>
      <c r="AM21" s="30"/>
      <c r="AN21" s="30"/>
      <c r="AO21" s="30"/>
      <c r="AP21" s="30"/>
      <c r="AQ21" s="30" t="s">
        <v>272</v>
      </c>
      <c r="AR21" s="30"/>
      <c r="AS21" s="30"/>
    </row>
    <row r="22" spans="1:45" ht="15.75" x14ac:dyDescent="0.25">
      <c r="A22" s="17" t="str">
        <f>'estimates new'!AR86</f>
        <v>607(12)</v>
      </c>
      <c r="B22" s="17">
        <f>'estimates new'!AS86</f>
        <v>12</v>
      </c>
      <c r="C22" s="17">
        <f>'estimates new'!AT86</f>
        <v>27</v>
      </c>
      <c r="D22" s="17">
        <f>'estimates new'!AU86</f>
        <v>0.6333333333333333</v>
      </c>
      <c r="E22" s="17">
        <f>'estimates new'!AV86</f>
        <v>0.3666666666666667</v>
      </c>
      <c r="F22" s="17">
        <f>'estimates new'!AW86</f>
        <v>1.5</v>
      </c>
      <c r="G22" s="8">
        <f>0</f>
        <v>0</v>
      </c>
      <c r="H22" s="8">
        <v>1</v>
      </c>
      <c r="J22" s="3">
        <v>27</v>
      </c>
      <c r="K22" s="3">
        <v>0.81</v>
      </c>
      <c r="L22" s="3">
        <f>N3</f>
        <v>0.59259259259259256</v>
      </c>
      <c r="M22" s="3"/>
      <c r="N22" s="3">
        <f>AVERAGE(K25:K27)</f>
        <v>0.56999999999999995</v>
      </c>
      <c r="O22" s="3">
        <f>_xlfn.STDEV.S(K25:K27)</f>
        <v>2.9999999999999971E-2</v>
      </c>
      <c r="P22" s="3"/>
      <c r="Q22" s="3" t="s">
        <v>230</v>
      </c>
      <c r="R22" s="3"/>
      <c r="S22" s="3"/>
      <c r="T22" s="3"/>
      <c r="U22" s="3"/>
      <c r="V22" s="3"/>
      <c r="W22" s="3"/>
      <c r="X22" s="3" t="s">
        <v>231</v>
      </c>
      <c r="Y22" s="3"/>
      <c r="Z22" s="3"/>
      <c r="AA22" s="3"/>
      <c r="AB22" s="3"/>
      <c r="AC22" s="3"/>
      <c r="AE22" s="30"/>
      <c r="AF22" s="30">
        <v>12</v>
      </c>
      <c r="AG22" s="30">
        <f>SUM(K3:K6,U3:U6,U11:U14)</f>
        <v>5.8722353169615218</v>
      </c>
      <c r="AH22" s="30">
        <f>AG22/12</f>
        <v>0.48935294308012683</v>
      </c>
      <c r="AI22" s="30">
        <f>_xlfn.STDEV.S(K3:K6,U3:U6,U11:U14)</f>
        <v>0.23246362712115923</v>
      </c>
      <c r="AJ22" s="30"/>
      <c r="AK22" s="30">
        <f>AVERAGE(L6,O3,R3,V5,Y5,AB5,V12,V13,Y13,AB13)</f>
        <v>0.81500000000000006</v>
      </c>
      <c r="AL22" s="30">
        <f>_xlfn.STDEV.S(L6,O3,R3,V5,Y5,AB5,V12,V13,Y13,AB13)</f>
        <v>2.1730674684008799E-2</v>
      </c>
      <c r="AM22" s="30">
        <f>AVERAGE(K6,N3,Q3,U5,X5,AA5,U13,U12,X13,AA13)</f>
        <v>0.61016877267513958</v>
      </c>
      <c r="AN22" s="30">
        <f>_xlfn.STDEV.S(K6,N3,Q3,U5,X5,AA5,U13,U12,X13,AA13)</f>
        <v>0.16232364529066043</v>
      </c>
      <c r="AO22" s="30"/>
      <c r="AP22" s="30">
        <v>0</v>
      </c>
      <c r="AQ22" s="30">
        <f>AVERAGE(K3:K6,N3:N6,Q3:Q6)</f>
        <v>0.64868821100207419</v>
      </c>
      <c r="AR22" s="30">
        <f>_xlfn.STDEV.S(K3:K6,N3:N6,Q3:Q6)</f>
        <v>0.21230699322382129</v>
      </c>
      <c r="AS22" s="30"/>
    </row>
    <row r="23" spans="1:45" ht="15.75" x14ac:dyDescent="0.25">
      <c r="A23" s="17" t="str">
        <f>'estimates new'!AR89</f>
        <v>654 (6)</v>
      </c>
      <c r="B23" s="17">
        <f>'estimates new'!AS89</f>
        <v>6</v>
      </c>
      <c r="C23" s="17">
        <f>'estimates new'!AT89</f>
        <v>27</v>
      </c>
      <c r="D23" s="17">
        <f>'estimates new'!AU89</f>
        <v>0.3</v>
      </c>
      <c r="E23" s="17">
        <f>'estimates new'!AV89</f>
        <v>0.7</v>
      </c>
      <c r="F23" s="17">
        <f>'estimates new'!AW89</f>
        <v>0.7</v>
      </c>
      <c r="G23" s="8">
        <v>60</v>
      </c>
      <c r="H23" s="8">
        <v>0</v>
      </c>
      <c r="J23" s="3">
        <v>42</v>
      </c>
      <c r="K23" s="3">
        <v>0.8</v>
      </c>
      <c r="L23" s="3">
        <f>Q3</f>
        <v>0.58749999999999991</v>
      </c>
      <c r="M23" s="3"/>
      <c r="N23" s="3">
        <f>AVERAGE(K29:K31)</f>
        <v>0.43999999999999995</v>
      </c>
      <c r="O23" s="3">
        <f>_xlfn.STDEV.S(K29:K31)</f>
        <v>0.03</v>
      </c>
      <c r="P23" s="3"/>
      <c r="Q23" s="3"/>
      <c r="R23" s="3"/>
      <c r="S23" s="3"/>
      <c r="T23" s="3"/>
      <c r="U23" s="3"/>
      <c r="V23" s="3"/>
      <c r="W23" s="3"/>
      <c r="X23" s="3"/>
      <c r="Y23" s="3"/>
      <c r="Z23" s="3"/>
      <c r="AA23" s="3"/>
      <c r="AB23" s="3"/>
      <c r="AC23" s="3"/>
      <c r="AE23" s="30"/>
      <c r="AF23" s="30">
        <v>27</v>
      </c>
      <c r="AG23" s="30">
        <f>SUM(N3:N6,X3:X6,X11:X14)</f>
        <v>6.7944810466126144</v>
      </c>
      <c r="AH23" s="30">
        <f t="shared" ref="AH23:AH24" si="2">AG23/12</f>
        <v>0.56620675388438457</v>
      </c>
      <c r="AI23" s="30">
        <f>_xlfn.STDEV.S(N3:N6,X3:X6,X11:X14)</f>
        <v>0.20300813157926403</v>
      </c>
      <c r="AJ23" s="30"/>
      <c r="AK23" s="30">
        <f>AVERAGE(L5,O5,R5,Y3,AB3,AB4,V11,Y11,AB11,AB12)</f>
        <v>0.57799999999999996</v>
      </c>
      <c r="AL23" s="30">
        <f>_xlfn.STDEV.S(L5,O5,R5,Y3,AB3,AB4,V11,Y11,AB11,AB12)</f>
        <v>3.0840089349920986E-2</v>
      </c>
      <c r="AM23" s="30">
        <f>AVERAGE(K5,N5,Q5,X3,AA3,AA4,U11,X11,AA11,AA12)</f>
        <v>0.70199909258045001</v>
      </c>
      <c r="AN23" s="30">
        <f>_xlfn.STDEV.S(K5,N5,Q5,X3,AA3,AA4,U11,X11,AA11,AA12)</f>
        <v>0.17002669502077125</v>
      </c>
      <c r="AO23" s="30"/>
      <c r="AP23" s="30">
        <v>30</v>
      </c>
      <c r="AQ23" s="30">
        <f>AVERAGE(U3:U6,X3:X6,AA3:AA6)</f>
        <v>0.56018280123431718</v>
      </c>
      <c r="AR23" s="30">
        <f>_xlfn.STDEV.S(U3:U6,X3:X6,AA3:AA6)</f>
        <v>0.22106437602723322</v>
      </c>
      <c r="AS23" s="30"/>
    </row>
    <row r="24" spans="1:45" ht="15.75" x14ac:dyDescent="0.25">
      <c r="A24" s="17" t="str">
        <f>'estimates new'!AR92</f>
        <v>646 (7)</v>
      </c>
      <c r="B24" s="17">
        <f>'estimates new'!AS92</f>
        <v>7</v>
      </c>
      <c r="C24" s="17">
        <f>'estimates new'!AT92</f>
        <v>27</v>
      </c>
      <c r="D24" s="17">
        <f>'estimates new'!AU92</f>
        <v>0.30303030303030304</v>
      </c>
      <c r="E24" s="17">
        <f>'estimates new'!AV92</f>
        <v>0.69696969696969702</v>
      </c>
      <c r="F24" s="17">
        <f>'estimates new'!AW92</f>
        <v>0.66</v>
      </c>
      <c r="G24" s="8">
        <v>30</v>
      </c>
      <c r="H24" s="8">
        <v>0</v>
      </c>
      <c r="J24" s="3"/>
      <c r="K24" s="3"/>
      <c r="L24" s="3"/>
      <c r="M24" s="3"/>
      <c r="N24" s="3">
        <f>AVERAGE(K33:K35)</f>
        <v>1.4833333333333332</v>
      </c>
      <c r="O24" s="3">
        <f>_xlfn.STDEV.S(K33:K35)</f>
        <v>1.527525231651948E-2</v>
      </c>
      <c r="P24" s="3"/>
      <c r="Q24" s="3"/>
      <c r="R24" s="3" t="s">
        <v>98</v>
      </c>
      <c r="S24" s="3" t="s">
        <v>107</v>
      </c>
      <c r="T24" s="3"/>
      <c r="U24" s="3" t="s">
        <v>229</v>
      </c>
      <c r="V24" s="3" t="s">
        <v>217</v>
      </c>
      <c r="W24" s="3"/>
      <c r="X24" s="3"/>
      <c r="Y24" s="3" t="s">
        <v>98</v>
      </c>
      <c r="Z24" s="3" t="s">
        <v>107</v>
      </c>
      <c r="AA24" s="3"/>
      <c r="AB24" s="3" t="s">
        <v>229</v>
      </c>
      <c r="AC24" s="3" t="s">
        <v>217</v>
      </c>
      <c r="AE24" s="30"/>
      <c r="AF24" s="30">
        <v>42</v>
      </c>
      <c r="AG24" s="30">
        <f>SUM(Q3:Q6,AA3:AA6,AA11:AA14)</f>
        <v>7.8777342967660458</v>
      </c>
      <c r="AH24" s="30">
        <f t="shared" si="2"/>
        <v>0.65647785806383718</v>
      </c>
      <c r="AI24" s="30">
        <f>_xlfn.STDEV.S(Q3:Q6,AA3:AA6,AA11:AA14)</f>
        <v>0.26767774850669496</v>
      </c>
      <c r="AJ24" s="30"/>
      <c r="AK24" s="30">
        <f>AVERAGE(L3,O4,R4)</f>
        <v>0.43999999999999995</v>
      </c>
      <c r="AL24" s="30">
        <f>_xlfn.STDEV.S(L3,O4,R4)</f>
        <v>0.03</v>
      </c>
      <c r="AM24" s="30">
        <f>AVERAGE(K3,N4,Q4)</f>
        <v>0.86283043197936815</v>
      </c>
      <c r="AN24" s="30">
        <f>_xlfn.STDEV.S(K3,N4,Q4)</f>
        <v>0.15032412174727533</v>
      </c>
      <c r="AO24" s="30"/>
      <c r="AP24" s="30">
        <v>60</v>
      </c>
      <c r="AQ24" s="30">
        <f>AVERAGE(U11:U14,X11:X14,AA11:AA14)</f>
        <v>0.50316654279195727</v>
      </c>
      <c r="AR24" s="30">
        <f>_xlfn.STDEV.S(U11:U14,X11:X14,AA11:AA14)</f>
        <v>0.27657882127847705</v>
      </c>
      <c r="AS24" s="30"/>
    </row>
    <row r="25" spans="1:45" ht="15.75" x14ac:dyDescent="0.25">
      <c r="A25" s="17" t="str">
        <f>'estimates new'!AR95</f>
        <v>610 (14)</v>
      </c>
      <c r="B25" s="17">
        <f>'estimates new'!AS95</f>
        <v>14</v>
      </c>
      <c r="C25" s="17">
        <f>'estimates new'!AT95</f>
        <v>27</v>
      </c>
      <c r="D25" s="17">
        <f>'estimates new'!AU95</f>
        <v>0.90410958904109584</v>
      </c>
      <c r="E25" s="17">
        <f>'estimates new'!AV95</f>
        <v>9.5890410958904104E-2</v>
      </c>
      <c r="F25" s="17">
        <f>'estimates new'!AW95</f>
        <v>1.46</v>
      </c>
      <c r="G25" s="8">
        <v>60</v>
      </c>
      <c r="H25" s="8">
        <v>0</v>
      </c>
      <c r="J25" s="3">
        <v>12</v>
      </c>
      <c r="K25" s="3">
        <v>0.6</v>
      </c>
      <c r="L25" s="3">
        <f>K5</f>
        <v>0.6333333333333333</v>
      </c>
      <c r="M25" s="3"/>
      <c r="N25" s="3"/>
      <c r="O25" s="3"/>
      <c r="P25" s="3"/>
      <c r="Q25" s="3">
        <v>12</v>
      </c>
      <c r="R25" s="3">
        <f>V5</f>
        <v>0.83</v>
      </c>
      <c r="S25" s="3">
        <f>U5</f>
        <v>0.43373493975903615</v>
      </c>
      <c r="T25" s="3"/>
      <c r="U25" s="3">
        <f>AVERAGE(R25:R27)</f>
        <v>0.82</v>
      </c>
      <c r="V25" s="3">
        <f>_xlfn.STDEV.S(R25:R27)</f>
        <v>1.7320508075688724E-2</v>
      </c>
      <c r="W25" s="3"/>
      <c r="X25" s="3">
        <v>12</v>
      </c>
      <c r="Y25" s="3">
        <f>V11</f>
        <v>0.6</v>
      </c>
      <c r="Z25" s="3">
        <f>U11</f>
        <v>0.43333333333333335</v>
      </c>
      <c r="AA25" s="3"/>
      <c r="AB25" s="3">
        <f>AVERAGE(Y25:Y27)</f>
        <v>0.57666666666666666</v>
      </c>
      <c r="AC25" s="3">
        <f>_xlfn.STDEV.S(Y25:Y27)</f>
        <v>2.5166114784235794E-2</v>
      </c>
      <c r="AE25" s="30"/>
      <c r="AF25" s="30"/>
      <c r="AG25" s="30"/>
      <c r="AH25" s="30"/>
      <c r="AI25" s="30"/>
      <c r="AJ25" s="30"/>
      <c r="AK25" s="30">
        <f>AVERAGE(V4,V3,Y4,Y12)</f>
        <v>0.69250000000000012</v>
      </c>
      <c r="AL25" s="30">
        <f>_xlfn.STDEV.S(V4,V3,Y4,Y12)</f>
        <v>2.9860788111948165E-2</v>
      </c>
      <c r="AM25" s="30">
        <f>AVERAGE(U3,U4,X4,X13,X12)</f>
        <v>0.5487293099057805</v>
      </c>
      <c r="AN25" s="30">
        <f>_xlfn.STDEV.S(U3,U4,X4,X13,X12)</f>
        <v>0.20501537514658022</v>
      </c>
      <c r="AO25" s="30"/>
      <c r="AP25" s="30"/>
      <c r="AQ25" s="30"/>
      <c r="AR25" s="30"/>
      <c r="AS25" s="30"/>
    </row>
    <row r="26" spans="1:45" ht="15.75" x14ac:dyDescent="0.25">
      <c r="A26" s="17" t="str">
        <f>'estimates new'!AR63</f>
        <v>503 (2)</v>
      </c>
      <c r="B26" s="17">
        <f>'estimates new'!AS63</f>
        <v>2</v>
      </c>
      <c r="C26" s="17">
        <f>'estimates new'!AT63</f>
        <v>42</v>
      </c>
      <c r="D26" s="17">
        <f>'estimates new'!AU63</f>
        <v>0.41249999999999998</v>
      </c>
      <c r="E26" s="17">
        <f>'estimates new'!AV63</f>
        <v>0.58749999999999991</v>
      </c>
      <c r="F26" s="17">
        <f>'estimates new'!AW63</f>
        <v>0.8</v>
      </c>
      <c r="G26" s="18">
        <f>0</f>
        <v>0</v>
      </c>
      <c r="H26" s="8">
        <v>0</v>
      </c>
      <c r="J26" s="3">
        <v>27</v>
      </c>
      <c r="K26" s="3">
        <v>0.56999999999999995</v>
      </c>
      <c r="L26" s="3">
        <f>N5</f>
        <v>0.68421052631578938</v>
      </c>
      <c r="M26" s="3"/>
      <c r="N26" s="3"/>
      <c r="O26" s="3"/>
      <c r="P26" s="3"/>
      <c r="Q26" s="3">
        <v>27</v>
      </c>
      <c r="R26" s="3">
        <f>Y5</f>
        <v>0.83</v>
      </c>
      <c r="S26" s="3">
        <f>X5</f>
        <v>0.59036144578313254</v>
      </c>
      <c r="T26" s="3"/>
      <c r="U26" s="3">
        <f>AVERAGE(R29:R31)</f>
        <v>1.4799999999999998</v>
      </c>
      <c r="V26" s="3">
        <f>_xlfn.STDEV.S(R29:R31)</f>
        <v>2.6457513110645928E-2</v>
      </c>
      <c r="W26" s="3"/>
      <c r="X26" s="3">
        <v>27</v>
      </c>
      <c r="Y26" s="3">
        <f>Y11</f>
        <v>0.57999999999999996</v>
      </c>
      <c r="Z26" s="3">
        <f>X11</f>
        <v>0.51724137931034486</v>
      </c>
      <c r="AA26" s="3"/>
      <c r="AB26" s="3">
        <f>AVERAGE(Y29:Y31)</f>
        <v>0.79999999999999993</v>
      </c>
      <c r="AC26" s="3">
        <f>_xlfn.STDEV.S(Y29:Y31)</f>
        <v>2.6457513110645887E-2</v>
      </c>
      <c r="AE26" s="30"/>
      <c r="AF26" s="30"/>
      <c r="AG26" s="30"/>
      <c r="AH26" s="30"/>
      <c r="AI26" s="30"/>
      <c r="AJ26" s="30"/>
      <c r="AK26" s="30">
        <f>AVERAGE(L4,O6,R6,V6,Y6,AB6,Y14,AB14)</f>
        <v>1.4799999999999998</v>
      </c>
      <c r="AL26" s="30">
        <f>_xlfn.STDEV.S(L4,O6,R6,V6,Y6,AB6,Y14,AB14)</f>
        <v>1.8516401995451046E-2</v>
      </c>
      <c r="AM26" s="30">
        <f>AVERAGE(K4,N6,Q6,U6,X6,AA6,X14,AA14)</f>
        <v>0.30718236928647163</v>
      </c>
      <c r="AN26" s="30">
        <f>_xlfn.STDEV.S(K4,N6,Q6,U6,X6,AA6,X14,AA14)</f>
        <v>0.14527940528642655</v>
      </c>
      <c r="AO26" s="30"/>
      <c r="AP26" s="30"/>
      <c r="AQ26" s="30"/>
      <c r="AR26" s="30"/>
      <c r="AS26" s="30"/>
    </row>
    <row r="27" spans="1:45" ht="15.75" x14ac:dyDescent="0.25">
      <c r="A27" s="17" t="str">
        <f>'estimates new'!AR66</f>
        <v>499 (3)</v>
      </c>
      <c r="B27" s="17">
        <f>'estimates new'!AS66</f>
        <v>3</v>
      </c>
      <c r="C27" s="17">
        <f>'estimates new'!AT66</f>
        <v>42</v>
      </c>
      <c r="D27" s="17">
        <f>'estimates new'!AU66</f>
        <v>0.35802469135802467</v>
      </c>
      <c r="E27" s="17">
        <f>'estimates new'!AV66</f>
        <v>0.64197530864197527</v>
      </c>
      <c r="F27" s="17">
        <f>'estimates new'!AW66</f>
        <v>0.81</v>
      </c>
      <c r="G27" s="18">
        <v>60</v>
      </c>
      <c r="H27" s="8">
        <v>0</v>
      </c>
      <c r="J27" s="3">
        <v>42</v>
      </c>
      <c r="K27" s="3">
        <v>0.54</v>
      </c>
      <c r="L27" s="3">
        <f>Q5</f>
        <v>0.94444444444444442</v>
      </c>
      <c r="M27" s="3"/>
      <c r="N27" s="3"/>
      <c r="O27" s="3"/>
      <c r="P27" s="3"/>
      <c r="Q27" s="3">
        <v>42</v>
      </c>
      <c r="R27" s="3">
        <f>AB5</f>
        <v>0.8</v>
      </c>
      <c r="S27" s="3">
        <f>AA5</f>
        <v>0.6875</v>
      </c>
      <c r="T27" s="3"/>
      <c r="U27" s="3">
        <f>AVERAGE(R33:R35)</f>
        <v>0.63</v>
      </c>
      <c r="V27" s="3">
        <f>_xlfn.STDEV.S(R33:R35)</f>
        <v>6.9999999999999993E-2</v>
      </c>
      <c r="W27" s="3"/>
      <c r="X27" s="3">
        <v>42</v>
      </c>
      <c r="Y27" s="3">
        <f>AB11</f>
        <v>0.55000000000000004</v>
      </c>
      <c r="Z27" s="3">
        <f>AA11</f>
        <v>0.72727272727272729</v>
      </c>
      <c r="AA27" s="3"/>
      <c r="AB27" s="3">
        <f>AVERAGE(Y33:Y35)</f>
        <v>1.54</v>
      </c>
      <c r="AC27" s="3">
        <f>_xlfn.STDEV.S(Y33:Y35)</f>
        <v>0.11357816691600545</v>
      </c>
      <c r="AE27" s="30"/>
      <c r="AF27" s="30"/>
      <c r="AG27" s="30"/>
      <c r="AH27" s="30"/>
      <c r="AI27" s="30"/>
      <c r="AJ27" s="30"/>
      <c r="AK27" s="30">
        <f>V14</f>
        <v>1.67</v>
      </c>
      <c r="AL27" s="30"/>
      <c r="AM27" s="30">
        <f>U14</f>
        <v>0.19161676646706588</v>
      </c>
      <c r="AN27" s="30"/>
      <c r="AO27" s="30"/>
      <c r="AP27" s="30"/>
      <c r="AQ27" s="30"/>
      <c r="AR27" s="30"/>
      <c r="AS27" s="30"/>
    </row>
    <row r="28" spans="1:45" ht="15.75" x14ac:dyDescent="0.25">
      <c r="A28" s="17" t="str">
        <f>'estimates new'!AR69</f>
        <v>501 (4)</v>
      </c>
      <c r="B28" s="17">
        <f>'estimates new'!AS69</f>
        <v>4</v>
      </c>
      <c r="C28" s="17">
        <f>'estimates new'!AT69</f>
        <v>42</v>
      </c>
      <c r="D28" s="17">
        <f>'estimates new'!AU69</f>
        <v>0.3125</v>
      </c>
      <c r="E28" s="17">
        <f>'estimates new'!AV69</f>
        <v>0.6875</v>
      </c>
      <c r="F28" s="17">
        <f>'estimates new'!AW69</f>
        <v>0.8</v>
      </c>
      <c r="G28" s="18">
        <v>30</v>
      </c>
      <c r="H28" s="8">
        <v>0</v>
      </c>
      <c r="J28" s="3"/>
      <c r="K28" s="3"/>
      <c r="L28" s="3"/>
      <c r="M28" s="3"/>
      <c r="N28" s="3"/>
      <c r="O28" s="3"/>
      <c r="P28" s="3"/>
      <c r="Q28" s="3"/>
      <c r="R28" s="3"/>
      <c r="S28" s="3"/>
      <c r="T28" s="3"/>
      <c r="U28" s="3"/>
      <c r="V28" s="3"/>
      <c r="W28" s="3"/>
      <c r="X28" s="3"/>
      <c r="Y28" s="3"/>
      <c r="Z28" s="3"/>
      <c r="AA28" s="3"/>
      <c r="AB28" s="3"/>
      <c r="AC28" s="3"/>
      <c r="AE28" s="30"/>
      <c r="AF28" s="30"/>
      <c r="AG28" s="30"/>
      <c r="AH28" s="30"/>
      <c r="AI28" s="30"/>
      <c r="AJ28" s="30"/>
      <c r="AK28" s="30"/>
      <c r="AL28" s="30"/>
      <c r="AM28" s="30"/>
      <c r="AN28" s="30"/>
      <c r="AO28" s="30"/>
      <c r="AP28" s="30"/>
      <c r="AQ28" s="30"/>
      <c r="AR28" s="30"/>
      <c r="AS28" s="30"/>
    </row>
    <row r="29" spans="1:45" ht="15.75" x14ac:dyDescent="0.25">
      <c r="A29" s="17" t="str">
        <f>'estimates new'!AR72</f>
        <v>661 (5)</v>
      </c>
      <c r="B29" s="17">
        <f>'estimates new'!AS72</f>
        <v>5</v>
      </c>
      <c r="C29" s="17">
        <f>'estimates new'!AT72</f>
        <v>42</v>
      </c>
      <c r="D29" s="17">
        <f>'estimates new'!AU72</f>
        <v>0</v>
      </c>
      <c r="E29" s="17">
        <f>'estimates new'!AV72</f>
        <v>1</v>
      </c>
      <c r="F29" s="17">
        <f>'estimates new'!AW72</f>
        <v>0.41</v>
      </c>
      <c r="G29" s="18">
        <f>0</f>
        <v>0</v>
      </c>
      <c r="H29" s="8">
        <v>0</v>
      </c>
      <c r="J29" s="3">
        <v>12</v>
      </c>
      <c r="K29" s="3">
        <v>0.47</v>
      </c>
      <c r="L29" s="3">
        <f>K3</f>
        <v>0.7021276595744681</v>
      </c>
      <c r="M29" s="3"/>
      <c r="N29" s="3"/>
      <c r="O29" s="3"/>
      <c r="P29" s="3"/>
      <c r="Q29" s="3">
        <v>12</v>
      </c>
      <c r="R29" s="3">
        <f>V6</f>
        <v>1.47</v>
      </c>
      <c r="S29" s="3">
        <f>U6</f>
        <v>0.25850340136054423</v>
      </c>
      <c r="T29" s="3"/>
      <c r="U29" s="3"/>
      <c r="V29" s="3"/>
      <c r="W29" s="3"/>
      <c r="X29" s="3">
        <v>12</v>
      </c>
      <c r="Y29" s="3">
        <f>0.82</f>
        <v>0.82</v>
      </c>
      <c r="Z29" s="3">
        <f>U12</f>
        <v>0.40243902439024393</v>
      </c>
      <c r="AA29" s="3"/>
      <c r="AB29" s="3"/>
      <c r="AC29" s="3"/>
      <c r="AE29" s="30"/>
      <c r="AF29" s="30"/>
      <c r="AG29" s="30"/>
      <c r="AH29" s="30"/>
      <c r="AI29" s="30"/>
      <c r="AJ29" s="30"/>
      <c r="AK29" s="30"/>
      <c r="AL29" s="30"/>
      <c r="AM29" s="30"/>
      <c r="AN29" s="30"/>
      <c r="AO29" s="30"/>
      <c r="AP29" s="30"/>
      <c r="AQ29" s="30"/>
      <c r="AR29" s="30"/>
      <c r="AS29" s="30"/>
    </row>
    <row r="30" spans="1:45" ht="15.75" x14ac:dyDescent="0.25">
      <c r="A30" s="17" t="str">
        <f>'estimates new'!AR75</f>
        <v>532 (8)</v>
      </c>
      <c r="B30" s="17">
        <f>'estimates new'!AS75</f>
        <v>8</v>
      </c>
      <c r="C30" s="17">
        <f>'estimates new'!AT75</f>
        <v>42</v>
      </c>
      <c r="D30" s="17">
        <f>'estimates new'!AU75</f>
        <v>5.5555555555555552E-2</v>
      </c>
      <c r="E30" s="17">
        <f>'estimates new'!AV75</f>
        <v>0.94444444444444442</v>
      </c>
      <c r="F30" s="17">
        <f>'estimates new'!AW75</f>
        <v>0.54</v>
      </c>
      <c r="G30" s="18">
        <f>0</f>
        <v>0</v>
      </c>
      <c r="H30" s="8">
        <v>0</v>
      </c>
      <c r="J30" s="3">
        <v>27</v>
      </c>
      <c r="K30" s="3">
        <v>0.44</v>
      </c>
      <c r="L30" s="3">
        <f>N4</f>
        <v>0.88636363636363646</v>
      </c>
      <c r="M30" s="3"/>
      <c r="N30" s="3"/>
      <c r="O30" s="3"/>
      <c r="P30" s="3"/>
      <c r="Q30" s="3">
        <v>27</v>
      </c>
      <c r="R30" s="3">
        <f>Y6</f>
        <v>1.51</v>
      </c>
      <c r="S30" s="3">
        <f>X6</f>
        <v>0.41721854304635764</v>
      </c>
      <c r="T30" s="3"/>
      <c r="U30" s="3"/>
      <c r="V30" s="3"/>
      <c r="W30" s="3"/>
      <c r="X30" s="3">
        <v>27</v>
      </c>
      <c r="Y30" s="3">
        <f>Y13</f>
        <v>0.77</v>
      </c>
      <c r="Z30" s="3">
        <f>X13</f>
        <v>0.55844155844155841</v>
      </c>
      <c r="AA30" s="3"/>
      <c r="AB30" s="3"/>
      <c r="AC30" s="3"/>
      <c r="AE30" s="30"/>
      <c r="AF30" s="30"/>
      <c r="AG30" s="30"/>
      <c r="AH30" s="30"/>
      <c r="AI30" s="30"/>
      <c r="AJ30" s="30"/>
      <c r="AK30" s="30">
        <f>AK24</f>
        <v>0.43999999999999995</v>
      </c>
      <c r="AL30" s="30">
        <f t="shared" ref="AL30:AN30" si="3">AL24</f>
        <v>0.03</v>
      </c>
      <c r="AM30" s="30">
        <f t="shared" si="3"/>
        <v>0.86283043197936815</v>
      </c>
      <c r="AN30" s="30">
        <f t="shared" si="3"/>
        <v>0.15032412174727533</v>
      </c>
      <c r="AO30" s="30"/>
      <c r="AP30" s="30"/>
      <c r="AQ30" s="30"/>
      <c r="AR30" s="30"/>
      <c r="AS30" s="30"/>
    </row>
    <row r="31" spans="1:45" ht="15.75" x14ac:dyDescent="0.25">
      <c r="A31" s="17" t="str">
        <f>'estimates new'!AR78</f>
        <v>534 (9)</v>
      </c>
      <c r="B31" s="17">
        <f>'estimates new'!AS78</f>
        <v>9</v>
      </c>
      <c r="C31" s="17">
        <f>'estimates new'!AT78</f>
        <v>42</v>
      </c>
      <c r="D31" s="17">
        <f>'estimates new'!AU78</f>
        <v>0.27272727272727271</v>
      </c>
      <c r="E31" s="17">
        <f>'estimates new'!AV78</f>
        <v>0.72727272727272729</v>
      </c>
      <c r="F31" s="17">
        <f>'estimates new'!AW78</f>
        <v>0.55000000000000004</v>
      </c>
      <c r="G31" s="18">
        <v>60</v>
      </c>
      <c r="H31" s="8">
        <v>1</v>
      </c>
      <c r="J31" s="3">
        <v>42</v>
      </c>
      <c r="K31" s="3">
        <v>0.41</v>
      </c>
      <c r="L31" s="3">
        <f>Q4</f>
        <v>1</v>
      </c>
      <c r="M31" s="3"/>
      <c r="N31" s="3"/>
      <c r="O31" s="3"/>
      <c r="P31" s="3"/>
      <c r="Q31" s="3">
        <v>42</v>
      </c>
      <c r="R31" s="3">
        <f>AB6</f>
        <v>1.46</v>
      </c>
      <c r="S31" s="3">
        <f>AA6</f>
        <v>0.45205479452054792</v>
      </c>
      <c r="T31" s="3"/>
      <c r="U31" s="3"/>
      <c r="V31" s="3"/>
      <c r="W31" s="3"/>
      <c r="X31" s="3">
        <v>42</v>
      </c>
      <c r="Y31" s="3">
        <f>0.81</f>
        <v>0.81</v>
      </c>
      <c r="Z31" s="3">
        <f>AA13</f>
        <v>0.64197530864197527</v>
      </c>
      <c r="AA31" s="3"/>
      <c r="AB31" s="3"/>
      <c r="AC31" s="3"/>
      <c r="AE31" s="30"/>
      <c r="AF31" s="30"/>
      <c r="AG31" s="30"/>
      <c r="AH31" s="30"/>
      <c r="AI31" s="30"/>
      <c r="AJ31" s="30"/>
      <c r="AK31" s="30">
        <f>AK23</f>
        <v>0.57799999999999996</v>
      </c>
      <c r="AL31" s="30">
        <f t="shared" ref="AL31:AN31" si="4">AL23</f>
        <v>3.0840089349920986E-2</v>
      </c>
      <c r="AM31" s="30">
        <f t="shared" si="4"/>
        <v>0.70199909258045001</v>
      </c>
      <c r="AN31" s="30">
        <f t="shared" si="4"/>
        <v>0.17002669502077125</v>
      </c>
      <c r="AO31" s="30"/>
      <c r="AP31" s="30"/>
      <c r="AQ31" s="30"/>
      <c r="AR31" s="30"/>
      <c r="AS31" s="30"/>
    </row>
    <row r="32" spans="1:45" ht="15.75" x14ac:dyDescent="0.25">
      <c r="A32" s="17" t="str">
        <f>'estimates new'!AR81</f>
        <v>536(10)</v>
      </c>
      <c r="B32" s="17">
        <f>'estimates new'!AS81</f>
        <v>10</v>
      </c>
      <c r="C32" s="17">
        <f>'estimates new'!AT81</f>
        <v>42</v>
      </c>
      <c r="D32" s="17">
        <f>'estimates new'!AU81</f>
        <v>0.29090909090909089</v>
      </c>
      <c r="E32" s="17">
        <f>'estimates new'!AV81</f>
        <v>0.70909090909090899</v>
      </c>
      <c r="F32" s="17">
        <f>'estimates new'!AW81</f>
        <v>0.55000000000000004</v>
      </c>
      <c r="G32" s="8">
        <v>30</v>
      </c>
      <c r="H32" s="8">
        <v>0</v>
      </c>
      <c r="J32" s="3"/>
      <c r="K32" s="3"/>
      <c r="L32" s="3"/>
      <c r="M32" s="3"/>
      <c r="N32" s="3"/>
      <c r="O32" s="3"/>
      <c r="P32" s="3"/>
      <c r="Q32" s="3"/>
      <c r="R32" s="3"/>
      <c r="S32" s="3"/>
      <c r="T32" s="3"/>
      <c r="U32" s="3"/>
      <c r="V32" s="3"/>
      <c r="W32" s="3"/>
      <c r="X32" s="3"/>
      <c r="Y32" s="3"/>
      <c r="Z32" s="3"/>
      <c r="AA32" s="3"/>
      <c r="AB32" s="3"/>
      <c r="AC32" s="3"/>
      <c r="AE32" s="30"/>
      <c r="AF32" s="30"/>
      <c r="AG32" s="30"/>
      <c r="AH32" s="30"/>
      <c r="AI32" s="30"/>
      <c r="AJ32" s="30"/>
      <c r="AK32" s="30">
        <f>AK25</f>
        <v>0.69250000000000012</v>
      </c>
      <c r="AL32" s="30">
        <f t="shared" ref="AL32:AN32" si="5">AL25</f>
        <v>2.9860788111948165E-2</v>
      </c>
      <c r="AM32" s="30">
        <f t="shared" si="5"/>
        <v>0.5487293099057805</v>
      </c>
      <c r="AN32" s="30">
        <f t="shared" si="5"/>
        <v>0.20501537514658022</v>
      </c>
      <c r="AO32" s="30"/>
      <c r="AP32" s="30"/>
      <c r="AQ32" s="30"/>
      <c r="AR32" s="30"/>
      <c r="AS32" s="30"/>
    </row>
    <row r="33" spans="1:45" ht="15.75" x14ac:dyDescent="0.25">
      <c r="A33" s="17" t="str">
        <f>'estimates new'!AR84</f>
        <v>614 (11)</v>
      </c>
      <c r="B33" s="17">
        <f>'estimates new'!AS84</f>
        <v>11</v>
      </c>
      <c r="C33" s="17">
        <f>'estimates new'!AT84</f>
        <v>42</v>
      </c>
      <c r="D33" s="17">
        <f>'estimates new'!AU84</f>
        <v>0.54794520547945202</v>
      </c>
      <c r="E33" s="17">
        <f>'estimates new'!AV84</f>
        <v>0.45205479452054792</v>
      </c>
      <c r="F33" s="17">
        <f>'estimates new'!AW84</f>
        <v>1.46</v>
      </c>
      <c r="G33" s="8">
        <v>30</v>
      </c>
      <c r="H33" s="8">
        <v>0</v>
      </c>
      <c r="J33" s="3">
        <v>12</v>
      </c>
      <c r="K33" s="3">
        <v>1.47</v>
      </c>
      <c r="L33" s="3">
        <f>K4</f>
        <v>0.42176870748299322</v>
      </c>
      <c r="M33" s="3"/>
      <c r="N33" s="3"/>
      <c r="O33" s="3"/>
      <c r="P33" s="3"/>
      <c r="Q33" s="3">
        <v>12</v>
      </c>
      <c r="R33" s="3">
        <f>V3</f>
        <v>0.68</v>
      </c>
      <c r="S33" s="3">
        <f>U3</f>
        <v>0.58823529411764708</v>
      </c>
      <c r="T33" s="3"/>
      <c r="U33" s="3"/>
      <c r="V33" s="3"/>
      <c r="W33" s="3"/>
      <c r="X33" s="3">
        <v>12</v>
      </c>
      <c r="Y33" s="3">
        <v>1.67</v>
      </c>
      <c r="Z33" s="3">
        <f>U14</f>
        <v>0.19161676646706588</v>
      </c>
      <c r="AA33" s="3"/>
      <c r="AB33" s="3"/>
      <c r="AC33" s="3"/>
      <c r="AE33" s="30"/>
      <c r="AF33" s="30"/>
      <c r="AG33" s="30"/>
      <c r="AH33" s="30"/>
      <c r="AI33" s="30"/>
      <c r="AJ33" s="30"/>
      <c r="AK33" s="30">
        <f>AK22</f>
        <v>0.81500000000000006</v>
      </c>
      <c r="AL33" s="30">
        <f t="shared" ref="AL33:AN33" si="6">AL22</f>
        <v>2.1730674684008799E-2</v>
      </c>
      <c r="AM33" s="30">
        <f t="shared" si="6"/>
        <v>0.61016877267513958</v>
      </c>
      <c r="AN33" s="30">
        <f t="shared" si="6"/>
        <v>0.16232364529066043</v>
      </c>
      <c r="AO33" s="30"/>
      <c r="AP33" s="30"/>
      <c r="AQ33" s="30"/>
      <c r="AR33" s="30"/>
      <c r="AS33" s="30"/>
    </row>
    <row r="34" spans="1:45" ht="15.75" x14ac:dyDescent="0.25">
      <c r="A34" s="17" t="str">
        <f>'estimates new'!AR87</f>
        <v>617 (12)</v>
      </c>
      <c r="B34" s="17">
        <f>'estimates new'!AS87</f>
        <v>12</v>
      </c>
      <c r="C34" s="17">
        <f>'estimates new'!AT87</f>
        <v>42</v>
      </c>
      <c r="D34" s="17">
        <f>'estimates new'!AU87</f>
        <v>0.64189189189189189</v>
      </c>
      <c r="E34" s="17">
        <f>'estimates new'!AV87</f>
        <v>0.35810810810810811</v>
      </c>
      <c r="F34" s="17">
        <f>'estimates new'!AW87</f>
        <v>1.48</v>
      </c>
      <c r="G34" s="8">
        <f>0</f>
        <v>0</v>
      </c>
      <c r="H34" s="8">
        <v>1</v>
      </c>
      <c r="J34" s="3">
        <v>27</v>
      </c>
      <c r="K34" s="3">
        <v>1.5</v>
      </c>
      <c r="L34" s="3">
        <f>N6</f>
        <v>0.3666666666666667</v>
      </c>
      <c r="M34" s="3"/>
      <c r="N34" s="3"/>
      <c r="O34" s="3"/>
      <c r="P34" s="3"/>
      <c r="Q34" s="3">
        <v>27</v>
      </c>
      <c r="R34" s="3">
        <f>Y4</f>
        <v>0.66</v>
      </c>
      <c r="S34" s="3">
        <f>X4</f>
        <v>0.69696969696969702</v>
      </c>
      <c r="T34" s="3"/>
      <c r="U34" s="3"/>
      <c r="V34" s="3"/>
      <c r="W34" s="3"/>
      <c r="X34" s="3">
        <v>27</v>
      </c>
      <c r="Y34" s="3">
        <f>Y14</f>
        <v>1.46</v>
      </c>
      <c r="Z34" s="3">
        <f>X14</f>
        <v>9.5890410958904104E-2</v>
      </c>
      <c r="AA34" s="3"/>
      <c r="AB34" s="3"/>
      <c r="AC34" s="3"/>
      <c r="AE34" s="30"/>
      <c r="AF34" s="30"/>
      <c r="AG34" s="30"/>
      <c r="AH34" s="30"/>
      <c r="AI34" s="30"/>
      <c r="AJ34" s="30"/>
      <c r="AK34" s="30">
        <f>AK26</f>
        <v>1.4799999999999998</v>
      </c>
      <c r="AL34" s="30">
        <f t="shared" ref="AL34:AN34" si="7">AL26</f>
        <v>1.8516401995451046E-2</v>
      </c>
      <c r="AM34" s="30">
        <f t="shared" si="7"/>
        <v>0.30718236928647163</v>
      </c>
      <c r="AN34" s="30">
        <f t="shared" si="7"/>
        <v>0.14527940528642655</v>
      </c>
      <c r="AO34" s="30"/>
      <c r="AP34" s="30"/>
      <c r="AQ34" s="30"/>
      <c r="AR34" s="30"/>
      <c r="AS34" s="30"/>
    </row>
    <row r="35" spans="1:45" ht="15.75" x14ac:dyDescent="0.25">
      <c r="A35" s="17" t="str">
        <f>'estimates new'!AR90</f>
        <v>666 (6)</v>
      </c>
      <c r="B35" s="17">
        <f>'estimates new'!AS90</f>
        <v>6</v>
      </c>
      <c r="C35" s="17">
        <f>'estimates new'!AT90</f>
        <v>42</v>
      </c>
      <c r="D35" s="17">
        <f>'estimates new'!AU90</f>
        <v>0.31746031746031744</v>
      </c>
      <c r="E35" s="17">
        <f>'estimates new'!AV90</f>
        <v>0.68253968253968256</v>
      </c>
      <c r="F35" s="17">
        <f>'estimates new'!AW90</f>
        <v>0.63</v>
      </c>
      <c r="G35" s="8">
        <v>60</v>
      </c>
      <c r="H35" s="8">
        <v>0</v>
      </c>
      <c r="J35" s="3">
        <v>42</v>
      </c>
      <c r="K35" s="3">
        <v>1.48</v>
      </c>
      <c r="L35" s="3">
        <f>Q6</f>
        <v>0.35810810810810811</v>
      </c>
      <c r="M35" s="3"/>
      <c r="N35" s="3"/>
      <c r="O35" s="3"/>
      <c r="P35" s="3"/>
      <c r="Q35" s="3">
        <v>42</v>
      </c>
      <c r="R35" s="3">
        <f>AB4</f>
        <v>0.55000000000000004</v>
      </c>
      <c r="S35" s="3">
        <f>AA4</f>
        <v>0.70909090909090899</v>
      </c>
      <c r="T35" s="3"/>
      <c r="U35" s="3"/>
      <c r="V35" s="3"/>
      <c r="W35" s="3"/>
      <c r="X35" s="3">
        <v>42</v>
      </c>
      <c r="Y35" s="3">
        <f>AB14</f>
        <v>1.49</v>
      </c>
      <c r="Z35" s="3">
        <f>AA14</f>
        <v>8.7248322147651006E-2</v>
      </c>
      <c r="AA35" s="3"/>
      <c r="AB35" s="3"/>
      <c r="AC35" s="3"/>
      <c r="AE35" s="30"/>
      <c r="AF35" s="30"/>
      <c r="AG35" s="30"/>
      <c r="AH35" s="30"/>
      <c r="AI35" s="30"/>
      <c r="AJ35" s="30"/>
      <c r="AK35" s="30">
        <f>AK27</f>
        <v>1.67</v>
      </c>
      <c r="AL35" s="30">
        <f t="shared" ref="AL35:AN35" si="8">AL27</f>
        <v>0</v>
      </c>
      <c r="AM35" s="30">
        <f t="shared" si="8"/>
        <v>0.19161676646706588</v>
      </c>
      <c r="AN35" s="30">
        <f t="shared" si="8"/>
        <v>0</v>
      </c>
      <c r="AO35" s="30"/>
      <c r="AP35" s="30"/>
      <c r="AQ35" s="30"/>
      <c r="AR35" s="30"/>
      <c r="AS35" s="30"/>
    </row>
    <row r="36" spans="1:45" ht="15.75" x14ac:dyDescent="0.25">
      <c r="A36" s="17" t="s">
        <v>61</v>
      </c>
      <c r="B36" s="17">
        <v>7</v>
      </c>
      <c r="C36" s="17">
        <v>42</v>
      </c>
      <c r="D36" s="17">
        <f>'estimates new'!AU93</f>
        <v>0</v>
      </c>
      <c r="E36" s="17">
        <f>'estimates new'!AV93</f>
        <v>1</v>
      </c>
      <c r="F36" s="17">
        <f>'estimates new'!AW93</f>
        <v>0.55000000000000004</v>
      </c>
      <c r="G36" s="17">
        <v>30</v>
      </c>
      <c r="H36" s="17">
        <v>0</v>
      </c>
      <c r="J36" s="3"/>
      <c r="K36" s="3"/>
      <c r="L36" s="3"/>
      <c r="M36" s="3"/>
      <c r="N36" s="3"/>
      <c r="O36" s="3"/>
      <c r="P36" s="3"/>
      <c r="Q36" s="3"/>
      <c r="R36" s="3"/>
      <c r="S36" s="3"/>
      <c r="T36" s="3"/>
      <c r="U36" s="3"/>
      <c r="V36" s="3"/>
      <c r="W36" s="3"/>
      <c r="X36" s="3"/>
      <c r="Y36" s="3"/>
      <c r="Z36" s="3"/>
      <c r="AA36" s="3"/>
      <c r="AB36" s="3"/>
      <c r="AC36" s="3"/>
      <c r="AE36" s="30"/>
      <c r="AF36" s="30"/>
      <c r="AG36" s="30"/>
      <c r="AH36" s="30"/>
      <c r="AI36" s="30"/>
      <c r="AJ36" s="30"/>
      <c r="AK36" s="30"/>
      <c r="AL36" s="30"/>
      <c r="AM36" s="30"/>
      <c r="AN36" s="30"/>
      <c r="AO36" s="30"/>
      <c r="AP36" s="30"/>
      <c r="AQ36" s="30"/>
      <c r="AR36" s="30"/>
      <c r="AS36" s="30"/>
    </row>
    <row r="37" spans="1:45" ht="15.75" x14ac:dyDescent="0.25">
      <c r="A37" s="17" t="str">
        <f>'estimates new'!AR96</f>
        <v>631 (14)</v>
      </c>
      <c r="B37" s="17">
        <f>'estimates new'!AS96</f>
        <v>14</v>
      </c>
      <c r="C37" s="17">
        <f>'estimates new'!AT96</f>
        <v>42</v>
      </c>
      <c r="D37" s="17">
        <f>'estimates new'!AU96</f>
        <v>0.91275167785234901</v>
      </c>
      <c r="E37" s="17">
        <f>'estimates new'!AV96</f>
        <v>8.7248322147651006E-2</v>
      </c>
      <c r="F37" s="17">
        <f>'estimates new'!AW96</f>
        <v>1.49</v>
      </c>
      <c r="G37" s="8">
        <v>60</v>
      </c>
      <c r="H37" s="8">
        <v>0</v>
      </c>
      <c r="J37" s="3"/>
      <c r="K37" s="3"/>
      <c r="L37" s="3"/>
      <c r="M37" s="3"/>
      <c r="N37" s="3"/>
      <c r="O37" s="3"/>
      <c r="P37" s="3"/>
      <c r="Q37" s="3"/>
      <c r="R37" s="3"/>
      <c r="S37" s="3"/>
      <c r="T37" s="3"/>
      <c r="U37" s="3"/>
      <c r="V37" s="3"/>
      <c r="W37" s="3"/>
      <c r="X37" s="3"/>
      <c r="Y37" s="3"/>
      <c r="Z37" s="3"/>
      <c r="AA37" s="3"/>
      <c r="AB37" s="3"/>
      <c r="AC37" s="3"/>
      <c r="AE37" s="30"/>
      <c r="AF37" s="30"/>
      <c r="AG37" s="30"/>
      <c r="AH37" s="30"/>
      <c r="AI37" s="30"/>
      <c r="AJ37" s="30"/>
      <c r="AK37" s="30"/>
      <c r="AL37" s="30"/>
      <c r="AM37" s="30"/>
      <c r="AN37" s="30"/>
      <c r="AO37" s="30"/>
      <c r="AP37" s="30"/>
      <c r="AQ37" s="30"/>
      <c r="AR37" s="30"/>
      <c r="AS37" s="30"/>
    </row>
    <row r="38" spans="1:45" x14ac:dyDescent="0.25">
      <c r="J38" s="3"/>
      <c r="K38" s="3"/>
      <c r="L38" s="3"/>
      <c r="M38" s="3"/>
      <c r="N38" s="3"/>
      <c r="O38" s="3"/>
      <c r="P38" s="3"/>
      <c r="Q38" s="3"/>
      <c r="R38" s="3"/>
      <c r="S38" s="3"/>
      <c r="T38" s="3"/>
      <c r="U38" s="3"/>
      <c r="V38" s="3"/>
      <c r="W38" s="3"/>
      <c r="X38" s="3"/>
      <c r="Y38" s="3"/>
      <c r="Z38" s="3"/>
      <c r="AA38" s="3"/>
      <c r="AB38" s="3"/>
      <c r="AC38" s="3"/>
      <c r="AE38" s="30"/>
      <c r="AF38" s="30"/>
      <c r="AG38" s="30"/>
      <c r="AH38" s="30"/>
      <c r="AI38" s="30"/>
      <c r="AJ38" s="30"/>
      <c r="AK38" s="30"/>
      <c r="AL38" s="30"/>
      <c r="AM38" s="30"/>
      <c r="AN38" s="30"/>
      <c r="AO38" s="30"/>
      <c r="AP38" s="30"/>
      <c r="AQ38" s="30"/>
      <c r="AR38" s="30"/>
      <c r="AS38" s="30"/>
    </row>
    <row r="39" spans="1:45" x14ac:dyDescent="0.25">
      <c r="J39" s="3"/>
      <c r="K39" s="3"/>
      <c r="L39" s="3"/>
      <c r="M39" s="3"/>
      <c r="N39" s="3"/>
      <c r="O39" s="3"/>
      <c r="P39" s="3"/>
      <c r="Q39" s="3"/>
      <c r="R39" s="3"/>
      <c r="S39" s="3"/>
      <c r="T39" s="3"/>
      <c r="U39" s="3"/>
      <c r="V39" s="3"/>
      <c r="W39" s="3"/>
      <c r="X39" s="3"/>
      <c r="Y39" s="3"/>
      <c r="Z39" s="3"/>
      <c r="AA39" s="3"/>
      <c r="AB39" s="3"/>
      <c r="AC39" s="3"/>
    </row>
    <row r="40" spans="1:45" x14ac:dyDescent="0.25">
      <c r="J40" s="3"/>
      <c r="K40" s="3"/>
      <c r="L40" s="3"/>
      <c r="M40" s="3"/>
      <c r="N40" s="3"/>
      <c r="O40" s="3"/>
      <c r="P40" s="3"/>
      <c r="Q40" s="3"/>
      <c r="R40" s="3"/>
      <c r="S40" s="3"/>
      <c r="T40" s="3"/>
      <c r="U40" s="3"/>
      <c r="V40" s="3"/>
      <c r="W40" s="3"/>
      <c r="X40" s="3"/>
      <c r="Y40" s="3"/>
      <c r="Z40" s="3"/>
      <c r="AA40" s="3"/>
      <c r="AB40" s="3"/>
      <c r="AC40" s="3"/>
    </row>
    <row r="41" spans="1:45" x14ac:dyDescent="0.25">
      <c r="J41" s="3"/>
      <c r="K41" s="3"/>
      <c r="L41" s="3" t="s">
        <v>284</v>
      </c>
      <c r="M41" s="3"/>
      <c r="N41" s="3"/>
      <c r="O41" s="3">
        <v>30</v>
      </c>
      <c r="P41" s="3"/>
      <c r="Q41" s="3"/>
      <c r="R41" s="3">
        <v>60</v>
      </c>
      <c r="S41" s="3"/>
      <c r="T41" s="3"/>
      <c r="U41" s="3"/>
      <c r="V41" s="3"/>
      <c r="W41" s="3"/>
      <c r="X41" s="3"/>
      <c r="Y41" s="3"/>
      <c r="Z41" s="3"/>
      <c r="AA41" s="3"/>
      <c r="AB41" s="3"/>
      <c r="AC41" s="3"/>
    </row>
    <row r="42" spans="1:45" x14ac:dyDescent="0.25">
      <c r="J42" s="3"/>
      <c r="K42" s="3"/>
      <c r="L42" s="3">
        <f>L3</f>
        <v>0.47</v>
      </c>
      <c r="M42" s="3">
        <f>K3</f>
        <v>0.7021276595744681</v>
      </c>
      <c r="N42" s="3"/>
      <c r="O42" s="3">
        <f>V3</f>
        <v>0.68</v>
      </c>
      <c r="P42" s="3">
        <f>U3</f>
        <v>0.58823529411764708</v>
      </c>
      <c r="Q42" s="3"/>
      <c r="R42" s="3">
        <f>V11</f>
        <v>0.6</v>
      </c>
      <c r="S42" s="3">
        <f>U11</f>
        <v>0.43333333333333335</v>
      </c>
      <c r="T42" s="3"/>
      <c r="U42" s="3"/>
      <c r="V42" s="3"/>
      <c r="W42" s="3"/>
      <c r="X42" s="3"/>
      <c r="Y42" s="3"/>
      <c r="Z42" s="3"/>
      <c r="AA42" s="3"/>
      <c r="AB42" s="3"/>
      <c r="AC42" s="3"/>
    </row>
    <row r="43" spans="1:45" x14ac:dyDescent="0.25">
      <c r="L43" s="3">
        <f t="shared" ref="L43:L45" si="9">L4</f>
        <v>1.47</v>
      </c>
      <c r="M43" s="3">
        <f t="shared" ref="M43:M45" si="10">K4</f>
        <v>0.42176870748299322</v>
      </c>
      <c r="O43" s="3">
        <f t="shared" ref="O43:O45" si="11">V4</f>
        <v>0.73</v>
      </c>
      <c r="P43" s="3">
        <f t="shared" ref="P43:P45" si="12">U4</f>
        <v>0.2</v>
      </c>
      <c r="R43" s="3">
        <f t="shared" ref="R43:R45" si="13">V12</f>
        <v>0.82</v>
      </c>
      <c r="S43" s="3">
        <f t="shared" ref="S43:S45" si="14">U12</f>
        <v>0.40243902439024393</v>
      </c>
    </row>
    <row r="44" spans="1:45" x14ac:dyDescent="0.25">
      <c r="L44" s="3">
        <f t="shared" si="9"/>
        <v>0.6</v>
      </c>
      <c r="M44" s="3">
        <f t="shared" si="10"/>
        <v>0.6333333333333333</v>
      </c>
      <c r="O44" s="3">
        <f t="shared" si="11"/>
        <v>0.83</v>
      </c>
      <c r="P44" s="3">
        <f t="shared" si="12"/>
        <v>0.43373493975903615</v>
      </c>
      <c r="R44" s="3">
        <f t="shared" si="13"/>
        <v>0.84</v>
      </c>
      <c r="S44" s="3">
        <f t="shared" si="14"/>
        <v>1</v>
      </c>
    </row>
    <row r="45" spans="1:45" x14ac:dyDescent="0.25">
      <c r="L45" s="3">
        <f t="shared" si="9"/>
        <v>0.84</v>
      </c>
      <c r="M45" s="3">
        <f t="shared" si="10"/>
        <v>0.60714285714285721</v>
      </c>
      <c r="O45" s="3">
        <f t="shared" si="11"/>
        <v>1.47</v>
      </c>
      <c r="P45" s="3">
        <f t="shared" si="12"/>
        <v>0.25850340136054423</v>
      </c>
      <c r="R45" s="3">
        <f t="shared" si="13"/>
        <v>1.67</v>
      </c>
      <c r="S45" s="3">
        <f t="shared" si="14"/>
        <v>0.19161676646706588</v>
      </c>
    </row>
    <row r="46" spans="1:45" x14ac:dyDescent="0.25">
      <c r="L46" s="3">
        <f>O3</f>
        <v>0.81</v>
      </c>
      <c r="M46" s="3">
        <f>N3</f>
        <v>0.59259259259259256</v>
      </c>
      <c r="O46" s="3">
        <f>Y3</f>
        <v>0.61</v>
      </c>
      <c r="P46" s="3">
        <f>X3</f>
        <v>0.68852459016393441</v>
      </c>
      <c r="R46" s="3">
        <f>Y11</f>
        <v>0.57999999999999996</v>
      </c>
      <c r="S46" s="3">
        <f>X11</f>
        <v>0.51724137931034486</v>
      </c>
    </row>
    <row r="47" spans="1:45" x14ac:dyDescent="0.25">
      <c r="L47" s="3">
        <f t="shared" ref="L47:L49" si="15">O4</f>
        <v>0.44</v>
      </c>
      <c r="M47" s="3">
        <f t="shared" ref="M47:M49" si="16">N4</f>
        <v>0.88636363636363646</v>
      </c>
      <c r="O47" s="3">
        <f t="shared" ref="O47:O49" si="17">Y4</f>
        <v>0.66</v>
      </c>
      <c r="P47" s="3">
        <f t="shared" ref="P47:P49" si="18">X4</f>
        <v>0.69696969696969702</v>
      </c>
      <c r="R47" s="3">
        <f t="shared" ref="R47:R49" si="19">Y12</f>
        <v>0.7</v>
      </c>
      <c r="S47" s="3">
        <f t="shared" ref="S47:S49" si="20">X12</f>
        <v>0.7</v>
      </c>
    </row>
    <row r="48" spans="1:45" x14ac:dyDescent="0.25">
      <c r="L48" s="3">
        <f t="shared" si="15"/>
        <v>0.56999999999999995</v>
      </c>
      <c r="M48" s="3">
        <f t="shared" si="16"/>
        <v>0.68421052631578938</v>
      </c>
      <c r="O48" s="3">
        <f t="shared" si="17"/>
        <v>0.83</v>
      </c>
      <c r="P48" s="3">
        <f t="shared" si="18"/>
        <v>0.59036144578313254</v>
      </c>
      <c r="R48" s="3">
        <f t="shared" si="19"/>
        <v>0.77</v>
      </c>
      <c r="S48" s="3">
        <f t="shared" si="20"/>
        <v>0.55844155844155841</v>
      </c>
    </row>
    <row r="49" spans="7:19" x14ac:dyDescent="0.25">
      <c r="L49" s="3">
        <f t="shared" si="15"/>
        <v>1.5</v>
      </c>
      <c r="M49" s="3">
        <f t="shared" si="16"/>
        <v>0.3666666666666667</v>
      </c>
      <c r="O49" s="3">
        <f t="shared" si="17"/>
        <v>1.51</v>
      </c>
      <c r="P49" s="3">
        <f t="shared" si="18"/>
        <v>0.41721854304635764</v>
      </c>
      <c r="R49" s="3">
        <f t="shared" si="19"/>
        <v>1.46</v>
      </c>
      <c r="S49" s="3">
        <f t="shared" si="20"/>
        <v>9.5890410958904104E-2</v>
      </c>
    </row>
    <row r="50" spans="7:19" x14ac:dyDescent="0.25">
      <c r="L50" s="3">
        <f>R3</f>
        <v>0.8</v>
      </c>
      <c r="M50" s="3">
        <f>Q3</f>
        <v>0.58749999999999991</v>
      </c>
      <c r="O50" s="3">
        <f>AB3</f>
        <v>0.55000000000000004</v>
      </c>
      <c r="P50" s="3">
        <f>AA3</f>
        <v>1</v>
      </c>
      <c r="R50" s="3">
        <f>AB11</f>
        <v>0.55000000000000004</v>
      </c>
      <c r="S50" s="3">
        <f>AA11</f>
        <v>0.72727272727272729</v>
      </c>
    </row>
    <row r="51" spans="7:19" x14ac:dyDescent="0.25">
      <c r="L51" s="3">
        <f t="shared" ref="L51:L53" si="21">R4</f>
        <v>0.41</v>
      </c>
      <c r="M51" s="3">
        <f t="shared" ref="M51:M53" si="22">Q4</f>
        <v>1</v>
      </c>
      <c r="O51" s="3">
        <f t="shared" ref="O51:O53" si="23">AB4</f>
        <v>0.55000000000000004</v>
      </c>
      <c r="P51" s="3">
        <f t="shared" ref="P51:P53" si="24">AA4</f>
        <v>0.70909090909090899</v>
      </c>
      <c r="R51" s="3">
        <f t="shared" ref="R51:R53" si="25">AB12</f>
        <v>0.63</v>
      </c>
      <c r="S51" s="3">
        <f t="shared" ref="S51:S53" si="26">AA12</f>
        <v>0.68253968253968256</v>
      </c>
    </row>
    <row r="52" spans="7:19" x14ac:dyDescent="0.25">
      <c r="L52" s="3">
        <f t="shared" si="21"/>
        <v>0.54</v>
      </c>
      <c r="M52" s="3">
        <f t="shared" si="22"/>
        <v>0.94444444444444442</v>
      </c>
      <c r="O52" s="3">
        <f t="shared" si="23"/>
        <v>0.8</v>
      </c>
      <c r="P52" s="3">
        <f t="shared" si="24"/>
        <v>0.6875</v>
      </c>
      <c r="R52" s="3">
        <f t="shared" si="25"/>
        <v>0.81</v>
      </c>
      <c r="S52" s="3">
        <f t="shared" si="26"/>
        <v>0.64197530864197527</v>
      </c>
    </row>
    <row r="53" spans="7:19" x14ac:dyDescent="0.25">
      <c r="L53" s="3">
        <f t="shared" si="21"/>
        <v>1.48</v>
      </c>
      <c r="M53" s="3">
        <f t="shared" si="22"/>
        <v>0.35810810810810811</v>
      </c>
      <c r="O53" s="3">
        <f t="shared" si="23"/>
        <v>1.46</v>
      </c>
      <c r="P53" s="3">
        <f t="shared" si="24"/>
        <v>0.45205479452054792</v>
      </c>
      <c r="R53" s="3">
        <f t="shared" si="25"/>
        <v>1.49</v>
      </c>
      <c r="S53" s="3">
        <f t="shared" si="26"/>
        <v>8.7248322147651006E-2</v>
      </c>
    </row>
    <row r="63" spans="7:19" x14ac:dyDescent="0.25">
      <c r="K63" s="29" t="s">
        <v>280</v>
      </c>
      <c r="L63" s="29"/>
      <c r="M63" s="29"/>
      <c r="N63" s="29"/>
      <c r="O63" s="29"/>
    </row>
    <row r="64" spans="7:19" x14ac:dyDescent="0.25">
      <c r="G64" t="s">
        <v>282</v>
      </c>
      <c r="K64" s="29" t="s">
        <v>98</v>
      </c>
      <c r="L64" s="29"/>
      <c r="M64" s="29" t="s">
        <v>281</v>
      </c>
      <c r="N64" s="29" t="s">
        <v>107</v>
      </c>
      <c r="O64" s="29"/>
    </row>
    <row r="65" spans="7:36" x14ac:dyDescent="0.25">
      <c r="G65">
        <f>K65</f>
        <v>0.43999999999999995</v>
      </c>
      <c r="H65" s="8">
        <f>L65</f>
        <v>0.03</v>
      </c>
      <c r="I65">
        <f>N65</f>
        <v>0.7021276595744681</v>
      </c>
      <c r="J65" s="8">
        <f>O65</f>
        <v>0</v>
      </c>
      <c r="K65" s="29">
        <f>AVERAGE(L3,O4,R4)</f>
        <v>0.43999999999999995</v>
      </c>
      <c r="L65" s="29">
        <f>_xlfn.STDEV.S(L3,O4,R4)</f>
        <v>0.03</v>
      </c>
      <c r="M65" s="29">
        <v>12</v>
      </c>
      <c r="N65" s="29">
        <f>K3</f>
        <v>0.7021276595744681</v>
      </c>
      <c r="O65" s="29"/>
    </row>
    <row r="66" spans="7:36" x14ac:dyDescent="0.25">
      <c r="G66">
        <f>K69</f>
        <v>0.57799999999999996</v>
      </c>
      <c r="H66" s="8">
        <f>L69</f>
        <v>3.0840089349920986E-2</v>
      </c>
      <c r="I66">
        <f>N69</f>
        <v>0.53333333333333333</v>
      </c>
      <c r="J66" s="8">
        <f>O69</f>
        <v>0.14142135623730956</v>
      </c>
      <c r="K66" s="29"/>
      <c r="L66" s="29"/>
      <c r="M66" s="29">
        <v>27</v>
      </c>
      <c r="N66" s="29">
        <f>N4</f>
        <v>0.88636363636363646</v>
      </c>
      <c r="O66" s="29"/>
    </row>
    <row r="67" spans="7:36" x14ac:dyDescent="0.25">
      <c r="G67">
        <f>K73</f>
        <v>0.69250000000000012</v>
      </c>
      <c r="H67" s="8">
        <f>L73</f>
        <v>2.9860788111948165E-2</v>
      </c>
      <c r="I67">
        <f>N73</f>
        <v>0.39411764705882357</v>
      </c>
      <c r="J67" s="8">
        <f>O73</f>
        <v>0.27452380916654184</v>
      </c>
      <c r="K67" s="29"/>
      <c r="L67" s="29"/>
      <c r="M67" s="29">
        <v>42</v>
      </c>
      <c r="N67" s="29">
        <f>Q4</f>
        <v>1</v>
      </c>
      <c r="O67" s="29"/>
    </row>
    <row r="68" spans="7:36" x14ac:dyDescent="0.25">
      <c r="G68">
        <f>K77</f>
        <v>0.81444444444444442</v>
      </c>
      <c r="H68" s="8">
        <f>L77</f>
        <v>2.2973414586817006E-2</v>
      </c>
      <c r="I68">
        <f>N77</f>
        <v>0.61082920532303431</v>
      </c>
      <c r="J68" s="8">
        <f>O77</f>
        <v>0.27462480040791382</v>
      </c>
      <c r="K68" s="29"/>
      <c r="L68" s="29"/>
      <c r="M68" s="29"/>
      <c r="N68" s="29"/>
      <c r="O68" s="29"/>
    </row>
    <row r="69" spans="7:36" x14ac:dyDescent="0.25">
      <c r="G69">
        <f>K81</f>
        <v>1.5011111111111111</v>
      </c>
      <c r="H69" s="8">
        <f>L81</f>
        <v>6.5659052011974015E-2</v>
      </c>
      <c r="I69">
        <f>N81</f>
        <v>0.29062962510353446</v>
      </c>
      <c r="J69" s="8">
        <f>O81</f>
        <v>0.11839151015735136</v>
      </c>
      <c r="K69" s="29">
        <f>AVERAGE(L5,O5,R5,Y3,AB3,AB4,V11,Y11,AB11,AB12)</f>
        <v>0.57799999999999996</v>
      </c>
      <c r="L69" s="29">
        <f>_xlfn.STDEV.S(L5,O5,R5,Y3,AB3,AB4,V11,Y11,AB11,AB12)</f>
        <v>3.0840089349920986E-2</v>
      </c>
      <c r="M69" s="29">
        <v>12</v>
      </c>
      <c r="N69" s="29">
        <f>AVERAGE(K5,U11)</f>
        <v>0.53333333333333333</v>
      </c>
      <c r="O69" s="29">
        <f>_xlfn.STDEV.S(K5,U11)</f>
        <v>0.14142135623730956</v>
      </c>
    </row>
    <row r="70" spans="7:36" x14ac:dyDescent="0.25">
      <c r="K70" s="29"/>
      <c r="L70" s="29"/>
      <c r="M70" s="29">
        <v>27</v>
      </c>
      <c r="N70" s="29">
        <f>AVERAGE(N5,X3,X11)</f>
        <v>0.62999216526335611</v>
      </c>
      <c r="O70" s="29">
        <f>_xlfn.STDEV.S(N5,X3,X11)</f>
        <v>9.7668867027769266E-2</v>
      </c>
    </row>
    <row r="71" spans="7:36" x14ac:dyDescent="0.25">
      <c r="G71" t="s">
        <v>283</v>
      </c>
      <c r="K71" s="29"/>
      <c r="L71" s="29"/>
      <c r="M71" s="29">
        <v>42</v>
      </c>
      <c r="N71" s="29">
        <f>AVERAGE(Q5,AA4,AA3,AA11,AA12)</f>
        <v>0.81266955266955276</v>
      </c>
      <c r="O71" s="29">
        <f>_xlfn.STDEV.S(Q5,AA4,AA3,AA11,AA12)</f>
        <v>0.14782781782598731</v>
      </c>
    </row>
    <row r="72" spans="7:36" x14ac:dyDescent="0.25">
      <c r="G72">
        <f>N66</f>
        <v>0.88636363636363646</v>
      </c>
      <c r="H72" s="8">
        <f>O66</f>
        <v>0</v>
      </c>
      <c r="K72" s="29"/>
      <c r="L72" s="29"/>
      <c r="M72" s="29"/>
      <c r="N72" s="29"/>
      <c r="O72" s="29"/>
    </row>
    <row r="73" spans="7:36" x14ac:dyDescent="0.25">
      <c r="G73">
        <f>N70</f>
        <v>0.62999216526335611</v>
      </c>
      <c r="H73" s="8">
        <f>O70</f>
        <v>9.7668867027769266E-2</v>
      </c>
      <c r="K73" s="29">
        <f>AVERAGE(V4,V3,Y4,Y12)</f>
        <v>0.69250000000000012</v>
      </c>
      <c r="L73" s="29">
        <f>_xlfn.STDEV.S(V4,V3,Y4,Y12)</f>
        <v>2.9860788111948165E-2</v>
      </c>
      <c r="M73" s="29">
        <v>12</v>
      </c>
      <c r="N73" s="29">
        <f>AVERAGE(U4,U3)</f>
        <v>0.39411764705882357</v>
      </c>
      <c r="O73" s="29">
        <f>_xlfn.STDEV.S(U4,U3)</f>
        <v>0.27452380916654184</v>
      </c>
    </row>
    <row r="74" spans="7:36" x14ac:dyDescent="0.25">
      <c r="G74">
        <f>N74</f>
        <v>0.69848484848484849</v>
      </c>
      <c r="H74" s="8">
        <f>O74</f>
        <v>2.1427478217773519E-3</v>
      </c>
      <c r="K74" s="29"/>
      <c r="L74" s="29"/>
      <c r="M74" s="29">
        <v>27</v>
      </c>
      <c r="N74" s="29">
        <f>AVERAGE(X4,X12)</f>
        <v>0.69848484848484849</v>
      </c>
      <c r="O74" s="29">
        <f>_xlfn.STDEV.S(X4,X12)</f>
        <v>2.1427478217773519E-3</v>
      </c>
    </row>
    <row r="75" spans="7:36" x14ac:dyDescent="0.25">
      <c r="G75">
        <f>N78</f>
        <v>0.58046519893909443</v>
      </c>
      <c r="H75" s="8">
        <f>O78</f>
        <v>1.9105629002858684E-2</v>
      </c>
      <c r="K75" s="29"/>
      <c r="L75" s="29"/>
      <c r="M75" s="29">
        <v>42</v>
      </c>
      <c r="N75" s="29"/>
      <c r="O75" s="29"/>
    </row>
    <row r="76" spans="7:36" x14ac:dyDescent="0.25">
      <c r="G76">
        <f>N82</f>
        <v>0.29325854022397618</v>
      </c>
      <c r="H76" s="8">
        <f>O82</f>
        <v>0.17278456785422852</v>
      </c>
      <c r="K76" s="29"/>
      <c r="L76" s="29"/>
      <c r="M76" s="29"/>
      <c r="N76" s="29"/>
      <c r="O76" s="29"/>
    </row>
    <row r="77" spans="7:36" ht="26.25" x14ac:dyDescent="0.4">
      <c r="K77" s="29">
        <f>AVERAGE(L6,O3,R3,V5,Y5,AB5,V13,Y13,AB13)</f>
        <v>0.81444444444444442</v>
      </c>
      <c r="L77" s="29">
        <f>_xlfn.STDEV.S(L6,O3,R3,V5,Y5,AB5,V13,Y13,AB13)</f>
        <v>2.2973414586817006E-2</v>
      </c>
      <c r="M77" s="29">
        <v>12</v>
      </c>
      <c r="N77" s="29">
        <f>AVERAGE(K6,U5,U13,U12)</f>
        <v>0.61082920532303431</v>
      </c>
      <c r="O77" s="29">
        <f>_xlfn.STDEV.S(K6,U5,U13,U12)</f>
        <v>0.27462480040791382</v>
      </c>
      <c r="AJ77" s="34" t="s">
        <v>346</v>
      </c>
    </row>
    <row r="78" spans="7:36" x14ac:dyDescent="0.25">
      <c r="G78" t="s">
        <v>122</v>
      </c>
      <c r="K78" s="29"/>
      <c r="L78" s="29"/>
      <c r="M78" s="29">
        <v>27</v>
      </c>
      <c r="N78" s="29">
        <f>AVERAGE(N3,X5,X13)</f>
        <v>0.58046519893909443</v>
      </c>
      <c r="O78" s="29">
        <f>_xlfn.STDEV.S(N3,X5,X13)</f>
        <v>1.9105629002858684E-2</v>
      </c>
    </row>
    <row r="79" spans="7:36" x14ac:dyDescent="0.25">
      <c r="G79">
        <f>N67</f>
        <v>1</v>
      </c>
      <c r="H79" s="8">
        <f>O67</f>
        <v>0</v>
      </c>
      <c r="I79">
        <f>G65</f>
        <v>0.43999999999999995</v>
      </c>
      <c r="J79" s="8">
        <f>H65</f>
        <v>0.03</v>
      </c>
      <c r="K79" s="29"/>
      <c r="L79" s="29"/>
      <c r="M79" s="29">
        <v>42</v>
      </c>
      <c r="N79" s="29">
        <f>AVERAGE(Q3,AA5,AA13)</f>
        <v>0.63899176954732506</v>
      </c>
      <c r="O79" s="29">
        <f>_xlfn.STDEV.S(Q3,AA5,AA13)</f>
        <v>5.0066716780182263E-2</v>
      </c>
    </row>
    <row r="80" spans="7:36" x14ac:dyDescent="0.25">
      <c r="G80">
        <f>N71</f>
        <v>0.81266955266955276</v>
      </c>
      <c r="H80" s="8">
        <f>O71</f>
        <v>0.14782781782598731</v>
      </c>
      <c r="I80" s="8">
        <f>G66</f>
        <v>0.57799999999999996</v>
      </c>
      <c r="J80" s="8">
        <f>H66</f>
        <v>3.0840089349920986E-2</v>
      </c>
      <c r="K80" s="29"/>
      <c r="L80" s="29"/>
      <c r="M80" s="29"/>
      <c r="N80" s="29"/>
      <c r="O80" s="29"/>
    </row>
    <row r="81" spans="7:15" x14ac:dyDescent="0.25">
      <c r="G81">
        <f>N79</f>
        <v>0.63899176954732506</v>
      </c>
      <c r="H81" s="8">
        <f>O79</f>
        <v>5.0066716780182263E-2</v>
      </c>
      <c r="I81">
        <f>G68</f>
        <v>0.81444444444444442</v>
      </c>
      <c r="J81" s="8">
        <f>H68</f>
        <v>2.2973414586817006E-2</v>
      </c>
      <c r="K81" s="29">
        <f>AVERAGE(L4,O6,R6,V6,Y6,AB6,V14,Y14,AB14)</f>
        <v>1.5011111111111111</v>
      </c>
      <c r="L81" s="29">
        <f>_xlfn.STDEV.S(L4,O6,R6,V6,Y6,AB6,V14,Y14,AB14)</f>
        <v>6.5659052011974015E-2</v>
      </c>
      <c r="M81" s="29">
        <v>12</v>
      </c>
      <c r="N81" s="29">
        <f>AVERAGE(K4,U6,U14)</f>
        <v>0.29062962510353446</v>
      </c>
      <c r="O81" s="29">
        <f>_xlfn.STDEV.S(K4,U6,U14)</f>
        <v>0.11839151015735136</v>
      </c>
    </row>
    <row r="82" spans="7:15" x14ac:dyDescent="0.25">
      <c r="G82">
        <f>N83</f>
        <v>0.29913707492543568</v>
      </c>
      <c r="H82" s="8">
        <f>O83</f>
        <v>0.18941786514809836</v>
      </c>
      <c r="I82" s="8">
        <f>G69</f>
        <v>1.5011111111111111</v>
      </c>
      <c r="J82" s="8">
        <f>H69</f>
        <v>6.5659052011974015E-2</v>
      </c>
      <c r="K82" s="29"/>
      <c r="L82" s="29"/>
      <c r="M82" s="29">
        <v>27</v>
      </c>
      <c r="N82" s="29">
        <f>AVERAGE(N6,X6,X14)</f>
        <v>0.29325854022397618</v>
      </c>
      <c r="O82" s="29">
        <f>_xlfn.STDEV.S(N6,X6,X14)</f>
        <v>0.17278456785422852</v>
      </c>
    </row>
    <row r="83" spans="7:15" x14ac:dyDescent="0.25">
      <c r="K83" s="29"/>
      <c r="L83" s="29"/>
      <c r="M83" s="29">
        <v>42</v>
      </c>
      <c r="N83" s="29">
        <f>AVERAGE(Q6,AA6,AA14)</f>
        <v>0.29913707492543568</v>
      </c>
      <c r="O83" s="29">
        <f>_xlfn.STDEV.S(Q6,AA6,AA14)</f>
        <v>0.18941786514809836</v>
      </c>
    </row>
    <row r="110" spans="53:72" ht="23.25" x14ac:dyDescent="0.35">
      <c r="BA110" s="33" t="s">
        <v>285</v>
      </c>
      <c r="BB110" s="33"/>
      <c r="BC110" s="33"/>
      <c r="BD110" s="33"/>
      <c r="BE110" s="33"/>
      <c r="BF110" s="33"/>
      <c r="BG110" s="33"/>
      <c r="BH110" s="33"/>
      <c r="BI110" s="33"/>
      <c r="BJ110" s="33"/>
      <c r="BK110" s="33"/>
      <c r="BL110" s="33"/>
      <c r="BM110" s="33"/>
      <c r="BN110" s="33"/>
      <c r="BO110" s="33"/>
      <c r="BP110" s="33"/>
      <c r="BQ110" s="33"/>
      <c r="BR110" s="33"/>
      <c r="BS110" s="33"/>
      <c r="BT110"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1E377-5BC8-4513-9214-EDA7BC7C1D64}">
  <sheetPr codeName="Sheet6"/>
  <dimension ref="A1:MR486"/>
  <sheetViews>
    <sheetView tabSelected="1" topLeftCell="AI335" zoomScale="32" zoomScaleNormal="32" workbookViewId="0">
      <selection activeCell="CP507" sqref="CP507"/>
    </sheetView>
  </sheetViews>
  <sheetFormatPr defaultRowHeight="15" x14ac:dyDescent="0.25"/>
  <cols>
    <col min="1" max="1" width="15.28515625" bestFit="1" customWidth="1"/>
    <col min="2" max="2" width="31.5703125" bestFit="1" customWidth="1"/>
    <col min="3" max="3" width="12.28515625" bestFit="1" customWidth="1"/>
    <col min="4" max="4" width="13.140625" bestFit="1" customWidth="1"/>
    <col min="6" max="6" width="11.5703125" bestFit="1" customWidth="1"/>
    <col min="7" max="7" width="25.140625" bestFit="1" customWidth="1"/>
    <col min="8" max="10" width="15" bestFit="1" customWidth="1"/>
    <col min="14" max="14" width="28.42578125" bestFit="1" customWidth="1"/>
    <col min="15" max="15" width="14" bestFit="1" customWidth="1"/>
    <col min="16" max="17" width="14.5703125" bestFit="1" customWidth="1"/>
    <col min="20" max="20" width="14.5703125" bestFit="1" customWidth="1"/>
    <col min="22" max="22" width="12" bestFit="1" customWidth="1"/>
    <col min="23" max="23" width="14.5703125" bestFit="1" customWidth="1"/>
    <col min="37" max="37" width="13.42578125" bestFit="1" customWidth="1"/>
    <col min="39" max="39" width="12" bestFit="1" customWidth="1"/>
    <col min="41" max="41" width="65.42578125" bestFit="1" customWidth="1"/>
    <col min="57" max="57" width="12" bestFit="1" customWidth="1"/>
    <col min="69" max="69" width="13.42578125" bestFit="1" customWidth="1"/>
    <col min="87" max="87" width="11" bestFit="1" customWidth="1"/>
    <col min="88" max="88" width="12.5703125" bestFit="1" customWidth="1"/>
    <col min="89" max="89" width="16.28515625" bestFit="1" customWidth="1"/>
    <col min="93" max="93" width="20" bestFit="1" customWidth="1"/>
    <col min="94" max="94" width="18.140625" bestFit="1" customWidth="1"/>
    <col min="95" max="95" width="15.28515625" bestFit="1" customWidth="1"/>
    <col min="169" max="169" width="12" bestFit="1" customWidth="1"/>
  </cols>
  <sheetData>
    <row r="1" spans="1:96" x14ac:dyDescent="0.25">
      <c r="A1" s="10" t="s">
        <v>128</v>
      </c>
      <c r="B1" s="10" t="s">
        <v>129</v>
      </c>
      <c r="C1" s="10" t="s">
        <v>130</v>
      </c>
      <c r="D1" s="10" t="s">
        <v>133</v>
      </c>
      <c r="F1" s="10" t="s">
        <v>134</v>
      </c>
      <c r="G1" s="10" t="s">
        <v>135</v>
      </c>
      <c r="I1" s="8"/>
      <c r="J1" s="8"/>
      <c r="M1" s="8"/>
      <c r="N1" s="8"/>
      <c r="O1" s="8"/>
      <c r="P1" s="8"/>
      <c r="Q1" s="8"/>
      <c r="R1" s="8"/>
      <c r="CJ1" t="s">
        <v>98</v>
      </c>
      <c r="CK1" t="s">
        <v>163</v>
      </c>
      <c r="CO1" t="s">
        <v>174</v>
      </c>
      <c r="CP1" t="s">
        <v>164</v>
      </c>
    </row>
    <row r="2" spans="1:96" x14ac:dyDescent="0.25">
      <c r="A2">
        <f>15*10^-3</f>
        <v>1.4999999999999999E-2</v>
      </c>
      <c r="B2">
        <f>2*10^-3</f>
        <v>2E-3</v>
      </c>
      <c r="C2">
        <f>1*10^-3</f>
        <v>1E-3</v>
      </c>
      <c r="D2">
        <f>B5*C5</f>
        <v>3.5342917352885172E-7</v>
      </c>
      <c r="F2">
        <f>0.3*10^-3</f>
        <v>2.9999999999999997E-4</v>
      </c>
      <c r="G2">
        <f>12*10^-3</f>
        <v>1.2E-2</v>
      </c>
      <c r="I2" s="1" t="s">
        <v>324</v>
      </c>
      <c r="M2" s="8"/>
      <c r="N2" s="8"/>
      <c r="O2" s="8"/>
      <c r="P2" s="8"/>
      <c r="Q2" s="8"/>
      <c r="R2" s="8"/>
      <c r="CJ2">
        <f>0.3</f>
        <v>0.3</v>
      </c>
      <c r="CK2">
        <f>V19</f>
        <v>312.50000000000006</v>
      </c>
      <c r="CP2" t="s">
        <v>170</v>
      </c>
      <c r="CQ2" t="s">
        <v>168</v>
      </c>
      <c r="CR2" t="s">
        <v>169</v>
      </c>
    </row>
    <row r="3" spans="1:96" x14ac:dyDescent="0.25">
      <c r="F3">
        <f>0.5*10^-3</f>
        <v>5.0000000000000001E-4</v>
      </c>
      <c r="G3">
        <f>27*10^-3</f>
        <v>2.7E-2</v>
      </c>
      <c r="M3" s="8"/>
      <c r="N3" s="8"/>
      <c r="O3" s="8"/>
      <c r="P3" s="8"/>
      <c r="Q3" s="8"/>
      <c r="R3" s="8"/>
      <c r="CK3" s="8">
        <f t="shared" ref="CK3:CK4" si="0">V20</f>
        <v>138.88888888888894</v>
      </c>
      <c r="CO3">
        <f>CP3/(0.3*10^-3)</f>
        <v>0.7021276595744681</v>
      </c>
      <c r="CP3">
        <f>'estimates new'!AV70*'shear rates'!$CJ$2*10^-3</f>
        <v>2.1063829787234043E-4</v>
      </c>
      <c r="CQ3">
        <f>'estimates new'!AV91*'shear rates'!$CJ$2*10^-3</f>
        <v>6.0000000000000002E-5</v>
      </c>
      <c r="CR3">
        <f>'estimates new'!AV88*'shear rates'!$CJ$2*10^-3</f>
        <v>2.9999999999999997E-4</v>
      </c>
    </row>
    <row r="4" spans="1:96" x14ac:dyDescent="0.25">
      <c r="A4" t="s">
        <v>176</v>
      </c>
      <c r="B4" t="s">
        <v>177</v>
      </c>
      <c r="C4" t="s">
        <v>129</v>
      </c>
      <c r="F4">
        <f>1*10^-3</f>
        <v>1E-3</v>
      </c>
      <c r="G4">
        <f>42*10^-3</f>
        <v>4.2000000000000003E-2</v>
      </c>
      <c r="CK4" s="8">
        <f t="shared" si="0"/>
        <v>89.285714285714306</v>
      </c>
      <c r="CO4" s="8">
        <f t="shared" ref="CO4:CO5" si="1">CP4/(0.3*10^-3)</f>
        <v>0.88636363636363658</v>
      </c>
      <c r="CP4" s="8">
        <f>'estimates new'!AV71*'shear rates'!$CJ$2*10^-3</f>
        <v>2.6590909090909096E-4</v>
      </c>
      <c r="CQ4" s="8">
        <f>'estimates new'!AV92*'shear rates'!$CJ$2*10^-3</f>
        <v>2.090909090909091E-4</v>
      </c>
      <c r="CR4" s="8">
        <f>'estimates new'!AV89*'shear rates'!$CJ$2*10^-3</f>
        <v>2.1000000000000001E-4</v>
      </c>
    </row>
    <row r="5" spans="1:96" x14ac:dyDescent="0.25">
      <c r="A5">
        <f>15*10^-3</f>
        <v>1.4999999999999999E-2</v>
      </c>
      <c r="B5">
        <f>(PI()*A5^2)/4</f>
        <v>1.7671458676442585E-4</v>
      </c>
      <c r="C5">
        <f>2*10^-3</f>
        <v>2E-3</v>
      </c>
      <c r="F5">
        <f>1.6*10^-3</f>
        <v>1.6000000000000001E-3</v>
      </c>
      <c r="CJ5">
        <v>0.5</v>
      </c>
      <c r="CK5">
        <f>AF32</f>
        <v>112.50000000000001</v>
      </c>
      <c r="CO5" s="8">
        <f t="shared" si="1"/>
        <v>1</v>
      </c>
      <c r="CP5" s="8">
        <f>'estimates new'!AV72*'shear rates'!$CJ$2*10^-3</f>
        <v>2.9999999999999997E-4</v>
      </c>
      <c r="CQ5" s="8">
        <f>'estimates new'!AV93*'shear rates'!$CJ$2*10^-3</f>
        <v>2.9999999999999997E-4</v>
      </c>
      <c r="CR5" s="8">
        <f>'estimates new'!AV90*'shear rates'!$CJ$2*10^-3</f>
        <v>2.0476190476190477E-4</v>
      </c>
    </row>
    <row r="6" spans="1:96" x14ac:dyDescent="0.25">
      <c r="CK6" s="8">
        <f t="shared" ref="CK6:CK7" si="2">AF33</f>
        <v>50</v>
      </c>
    </row>
    <row r="7" spans="1:96" x14ac:dyDescent="0.25">
      <c r="CK7" s="8">
        <f t="shared" si="2"/>
        <v>32.142857142857139</v>
      </c>
      <c r="CP7" t="s">
        <v>171</v>
      </c>
      <c r="CQ7" t="s">
        <v>172</v>
      </c>
      <c r="CR7" t="s">
        <v>173</v>
      </c>
    </row>
    <row r="8" spans="1:96" x14ac:dyDescent="0.25">
      <c r="A8" s="10" t="s">
        <v>139</v>
      </c>
      <c r="B8">
        <f>0</f>
        <v>0</v>
      </c>
      <c r="C8">
        <f>B8+0.01*10^-3</f>
        <v>1.0000000000000001E-5</v>
      </c>
      <c r="D8" s="8">
        <f t="shared" ref="D8:BO8" si="3">C8+0.01*10^-3</f>
        <v>2.0000000000000002E-5</v>
      </c>
      <c r="E8" s="8">
        <f t="shared" si="3"/>
        <v>3.0000000000000004E-5</v>
      </c>
      <c r="F8" s="8">
        <f t="shared" si="3"/>
        <v>4.0000000000000003E-5</v>
      </c>
      <c r="G8" s="8">
        <f t="shared" si="3"/>
        <v>5.0000000000000002E-5</v>
      </c>
      <c r="H8" s="8">
        <f t="shared" si="3"/>
        <v>6.0000000000000002E-5</v>
      </c>
      <c r="I8" s="8">
        <f t="shared" si="3"/>
        <v>7.0000000000000007E-5</v>
      </c>
      <c r="J8" s="8">
        <f t="shared" si="3"/>
        <v>8.0000000000000007E-5</v>
      </c>
      <c r="K8" s="8">
        <f t="shared" si="3"/>
        <v>9.0000000000000006E-5</v>
      </c>
      <c r="L8" s="8">
        <f t="shared" si="3"/>
        <v>1E-4</v>
      </c>
      <c r="M8" s="8">
        <f t="shared" si="3"/>
        <v>1.1E-4</v>
      </c>
      <c r="N8" s="8">
        <f t="shared" si="3"/>
        <v>1.2E-4</v>
      </c>
      <c r="O8" s="8">
        <f t="shared" si="3"/>
        <v>1.3000000000000002E-4</v>
      </c>
      <c r="P8" s="8">
        <f t="shared" si="3"/>
        <v>1.4000000000000001E-4</v>
      </c>
      <c r="Q8" s="8">
        <f t="shared" si="3"/>
        <v>1.5000000000000001E-4</v>
      </c>
      <c r="R8" s="8">
        <f t="shared" si="3"/>
        <v>1.6000000000000001E-4</v>
      </c>
      <c r="S8" s="8">
        <f t="shared" si="3"/>
        <v>1.7000000000000001E-4</v>
      </c>
      <c r="T8" s="8">
        <f t="shared" si="3"/>
        <v>1.8000000000000001E-4</v>
      </c>
      <c r="U8" s="8">
        <f t="shared" si="3"/>
        <v>1.9000000000000001E-4</v>
      </c>
      <c r="V8" s="8">
        <f t="shared" si="3"/>
        <v>2.0000000000000001E-4</v>
      </c>
      <c r="W8" s="8">
        <f t="shared" si="3"/>
        <v>2.1000000000000001E-4</v>
      </c>
      <c r="X8" s="8">
        <f t="shared" si="3"/>
        <v>2.2000000000000001E-4</v>
      </c>
      <c r="Y8" s="8">
        <f t="shared" si="3"/>
        <v>2.3000000000000001E-4</v>
      </c>
      <c r="Z8" s="8">
        <f t="shared" si="3"/>
        <v>2.4000000000000001E-4</v>
      </c>
      <c r="AA8" s="8">
        <f t="shared" si="3"/>
        <v>2.5000000000000001E-4</v>
      </c>
      <c r="AB8" s="8">
        <f t="shared" si="3"/>
        <v>2.6000000000000003E-4</v>
      </c>
      <c r="AC8" s="8">
        <f t="shared" si="3"/>
        <v>2.7000000000000006E-4</v>
      </c>
      <c r="AD8" s="8">
        <f t="shared" si="3"/>
        <v>2.8000000000000008E-4</v>
      </c>
      <c r="AE8" s="8">
        <f t="shared" si="3"/>
        <v>2.9000000000000011E-4</v>
      </c>
      <c r="AF8" s="8">
        <f t="shared" si="3"/>
        <v>3.0000000000000014E-4</v>
      </c>
      <c r="AG8" s="8">
        <f t="shared" si="3"/>
        <v>3.1000000000000016E-4</v>
      </c>
      <c r="AH8" s="8">
        <f t="shared" si="3"/>
        <v>3.2000000000000019E-4</v>
      </c>
      <c r="AI8" s="8">
        <f t="shared" si="3"/>
        <v>3.3000000000000022E-4</v>
      </c>
      <c r="AJ8" s="8">
        <f t="shared" si="3"/>
        <v>3.4000000000000024E-4</v>
      </c>
      <c r="AK8" s="8">
        <f t="shared" si="3"/>
        <v>3.5000000000000027E-4</v>
      </c>
      <c r="AL8" s="8">
        <f t="shared" si="3"/>
        <v>3.6000000000000029E-4</v>
      </c>
      <c r="AM8" s="8">
        <f t="shared" si="3"/>
        <v>3.7000000000000032E-4</v>
      </c>
      <c r="AN8" s="8">
        <f t="shared" si="3"/>
        <v>3.8000000000000035E-4</v>
      </c>
      <c r="AO8" s="8">
        <f t="shared" si="3"/>
        <v>3.9000000000000037E-4</v>
      </c>
      <c r="AP8" s="8">
        <f t="shared" si="3"/>
        <v>4.000000000000004E-4</v>
      </c>
      <c r="AQ8" s="8">
        <f t="shared" si="3"/>
        <v>4.1000000000000042E-4</v>
      </c>
      <c r="AR8" s="8">
        <f t="shared" si="3"/>
        <v>4.2000000000000045E-4</v>
      </c>
      <c r="AS8" s="8">
        <f t="shared" si="3"/>
        <v>4.3000000000000048E-4</v>
      </c>
      <c r="AT8" s="8">
        <f t="shared" si="3"/>
        <v>4.400000000000005E-4</v>
      </c>
      <c r="AU8" s="8">
        <f t="shared" si="3"/>
        <v>4.5000000000000053E-4</v>
      </c>
      <c r="AV8" s="8">
        <f t="shared" si="3"/>
        <v>4.6000000000000056E-4</v>
      </c>
      <c r="AW8" s="8">
        <f t="shared" si="3"/>
        <v>4.7000000000000058E-4</v>
      </c>
      <c r="AX8" s="8">
        <f t="shared" si="3"/>
        <v>4.8000000000000061E-4</v>
      </c>
      <c r="AY8" s="8">
        <f t="shared" si="3"/>
        <v>4.9000000000000063E-4</v>
      </c>
      <c r="AZ8" s="8">
        <f t="shared" si="3"/>
        <v>5.0000000000000066E-4</v>
      </c>
      <c r="BA8" s="8">
        <f t="shared" si="3"/>
        <v>5.1000000000000069E-4</v>
      </c>
      <c r="BB8" s="8">
        <f t="shared" si="3"/>
        <v>5.2000000000000071E-4</v>
      </c>
      <c r="BC8" s="8">
        <f t="shared" si="3"/>
        <v>5.3000000000000074E-4</v>
      </c>
      <c r="BD8" s="8">
        <f t="shared" si="3"/>
        <v>5.4000000000000077E-4</v>
      </c>
      <c r="BE8" s="8">
        <f t="shared" si="3"/>
        <v>5.5000000000000079E-4</v>
      </c>
      <c r="BF8" s="8">
        <f t="shared" si="3"/>
        <v>5.6000000000000082E-4</v>
      </c>
      <c r="BG8" s="8">
        <f t="shared" si="3"/>
        <v>5.7000000000000084E-4</v>
      </c>
      <c r="BH8" s="8">
        <f t="shared" si="3"/>
        <v>5.8000000000000087E-4</v>
      </c>
      <c r="BI8" s="8">
        <f t="shared" si="3"/>
        <v>5.900000000000009E-4</v>
      </c>
      <c r="BJ8" s="8">
        <f t="shared" si="3"/>
        <v>6.0000000000000092E-4</v>
      </c>
      <c r="BK8" s="8">
        <f t="shared" si="3"/>
        <v>6.1000000000000095E-4</v>
      </c>
      <c r="BL8" s="8">
        <f t="shared" si="3"/>
        <v>6.2000000000000098E-4</v>
      </c>
      <c r="BM8" s="8">
        <f t="shared" si="3"/>
        <v>6.30000000000001E-4</v>
      </c>
      <c r="BN8" s="8">
        <f t="shared" si="3"/>
        <v>6.4000000000000103E-4</v>
      </c>
      <c r="BO8" s="8">
        <f t="shared" si="3"/>
        <v>6.5000000000000105E-4</v>
      </c>
      <c r="BP8" s="8">
        <f t="shared" ref="BP8:CD8" si="4">BO8+0.01*10^-3</f>
        <v>6.6000000000000108E-4</v>
      </c>
      <c r="BQ8" s="8">
        <f t="shared" si="4"/>
        <v>6.7000000000000111E-4</v>
      </c>
      <c r="BR8" s="8">
        <f t="shared" si="4"/>
        <v>6.8000000000000113E-4</v>
      </c>
      <c r="BS8" s="8">
        <f t="shared" si="4"/>
        <v>6.9000000000000116E-4</v>
      </c>
      <c r="BT8" s="8">
        <f t="shared" si="4"/>
        <v>7.0000000000000119E-4</v>
      </c>
      <c r="BU8" s="8">
        <f t="shared" si="4"/>
        <v>7.1000000000000121E-4</v>
      </c>
      <c r="BV8" s="8">
        <f t="shared" si="4"/>
        <v>7.2000000000000124E-4</v>
      </c>
      <c r="BW8" s="8">
        <f t="shared" si="4"/>
        <v>7.3000000000000126E-4</v>
      </c>
      <c r="BX8" s="8">
        <f t="shared" si="4"/>
        <v>7.4000000000000129E-4</v>
      </c>
      <c r="BY8" s="8">
        <f t="shared" si="4"/>
        <v>7.5000000000000132E-4</v>
      </c>
      <c r="BZ8" s="8">
        <f t="shared" si="4"/>
        <v>7.6000000000000134E-4</v>
      </c>
      <c r="CA8" s="8">
        <f t="shared" si="4"/>
        <v>7.7000000000000137E-4</v>
      </c>
      <c r="CB8" s="8">
        <f t="shared" si="4"/>
        <v>7.800000000000014E-4</v>
      </c>
      <c r="CC8" s="8">
        <f t="shared" si="4"/>
        <v>7.9000000000000142E-4</v>
      </c>
      <c r="CD8" s="8">
        <f t="shared" si="4"/>
        <v>8.0000000000000145E-4</v>
      </c>
      <c r="CE8" s="8"/>
      <c r="CF8" s="8"/>
      <c r="CG8" s="8"/>
      <c r="CJ8">
        <v>1</v>
      </c>
      <c r="CK8">
        <f>BE45</f>
        <v>28.125000000000039</v>
      </c>
      <c r="CO8">
        <f>CP8/(0.5*10^-3)</f>
        <v>0.6333333333333333</v>
      </c>
      <c r="CP8">
        <f>($CJ$5*10^-3)*'estimates new'!AV73</f>
        <v>3.1666666666666665E-4</v>
      </c>
      <c r="CQ8">
        <f>($CJ$5*10^-3)*'estimates new'!AV79</f>
        <v>2.9411764705882356E-4</v>
      </c>
      <c r="CR8">
        <f>($CJ$5*10^-3)*'estimates new'!AV76</f>
        <v>2.1666666666666668E-4</v>
      </c>
    </row>
    <row r="9" spans="1:96" x14ac:dyDescent="0.25">
      <c r="D9" s="8"/>
      <c r="CK9" s="8">
        <f t="shared" ref="CK9:CK10" si="5">BE46</f>
        <v>12.500000000000016</v>
      </c>
      <c r="CO9" s="8">
        <f t="shared" ref="CO9:CO10" si="6">CP9/(0.5*10^-3)</f>
        <v>0.68421052631578938</v>
      </c>
      <c r="CP9" s="8">
        <f>($CJ$5*10^-3)*'estimates new'!AV74</f>
        <v>3.4210526315789472E-4</v>
      </c>
      <c r="CQ9" s="8">
        <f>($CJ$5*10^-3)*'estimates new'!AV80</f>
        <v>3.4426229508196723E-4</v>
      </c>
      <c r="CR9" s="8">
        <f>($CJ$5*10^-3)*'estimates new'!AV77</f>
        <v>2.5862068965517242E-4</v>
      </c>
    </row>
    <row r="10" spans="1:96" x14ac:dyDescent="0.25">
      <c r="D10" s="8"/>
      <c r="CK10" s="8">
        <f t="shared" si="5"/>
        <v>8.0357142857142971</v>
      </c>
      <c r="CO10" s="8">
        <f t="shared" si="6"/>
        <v>0.94444444444444442</v>
      </c>
      <c r="CP10" s="8">
        <f>($CJ$5*10^-3)*'estimates new'!AV75</f>
        <v>4.7222222222222224E-4</v>
      </c>
      <c r="CQ10" s="8">
        <f>($CJ$5*10^-3)*'estimates new'!AV81</f>
        <v>3.545454545454545E-4</v>
      </c>
      <c r="CR10" s="8">
        <f>($CJ$5*10^-3)*'estimates new'!AV78</f>
        <v>3.6363636363636367E-4</v>
      </c>
    </row>
    <row r="11" spans="1:96" x14ac:dyDescent="0.25">
      <c r="D11" s="8"/>
      <c r="G11" s="10" t="s">
        <v>132</v>
      </c>
      <c r="H11" s="10"/>
      <c r="CJ11">
        <v>1.6</v>
      </c>
      <c r="CK11">
        <f>CI57</f>
        <v>10.986328125000018</v>
      </c>
    </row>
    <row r="12" spans="1:96" x14ac:dyDescent="0.25">
      <c r="D12" s="8"/>
      <c r="G12" s="10" t="s">
        <v>138</v>
      </c>
      <c r="H12" s="10"/>
      <c r="CK12" s="8">
        <f t="shared" ref="CK12:CK13" si="7">CI58</f>
        <v>4.8828125000000089</v>
      </c>
      <c r="CP12" t="s">
        <v>165</v>
      </c>
      <c r="CQ12" t="s">
        <v>166</v>
      </c>
      <c r="CR12" t="s">
        <v>167</v>
      </c>
    </row>
    <row r="13" spans="1:96" x14ac:dyDescent="0.25">
      <c r="D13" s="8"/>
      <c r="G13" s="10" t="s">
        <v>137</v>
      </c>
      <c r="H13" s="10"/>
      <c r="X13" t="s">
        <v>143</v>
      </c>
      <c r="AF13" s="8"/>
      <c r="AG13" s="8"/>
      <c r="AI13" s="8"/>
      <c r="AJ13" s="8"/>
      <c r="AO13" t="s">
        <v>156</v>
      </c>
      <c r="AP13" t="s">
        <v>157</v>
      </c>
      <c r="AQ13" t="s">
        <v>106</v>
      </c>
      <c r="AR13" t="s">
        <v>159</v>
      </c>
      <c r="AS13" t="s">
        <v>175</v>
      </c>
      <c r="CK13" s="8">
        <f t="shared" si="7"/>
        <v>3.1389508928571481</v>
      </c>
      <c r="CO13">
        <f>CP13/(10^-3)</f>
        <v>0.60714285714285721</v>
      </c>
      <c r="CP13">
        <f>($CJ$8*10^-3)*'estimates new'!AV61</f>
        <v>6.071428571428572E-4</v>
      </c>
      <c r="CQ13">
        <f>($CJ$8*10^-3)*'estimates new'!AV67</f>
        <v>4.3373493975903618E-4</v>
      </c>
      <c r="CR13">
        <f>($CJ$8*10^-3)*'estimates new'!AV64</f>
        <v>4.0243902439024393E-4</v>
      </c>
    </row>
    <row r="14" spans="1:96" x14ac:dyDescent="0.25">
      <c r="D14" s="8"/>
      <c r="G14">
        <f>ABS(SQRT(2)*(3*$D$2*2/(8*PI()*$F$2*$G2^2))*(1-B$8^2/($F$2/2)^2))</f>
        <v>2.7621358640099518</v>
      </c>
      <c r="H14" s="8">
        <f>ABS(SQRT(2)*(3*$D$2*2/(8*PI()*$F$2*$G2^2))*(1-C$8^2/($F$2/2)^2))</f>
        <v>2.749859704614352</v>
      </c>
      <c r="I14" s="8">
        <f t="shared" ref="I14:V14" si="8">ABS(SQRT(2)*(3*$D$2*2/(8*PI()*$F$2*$G2^2))*(1-D$8^2/($F$2/2)^2))</f>
        <v>2.7130312264275527</v>
      </c>
      <c r="J14" s="8">
        <f t="shared" si="8"/>
        <v>2.6516504294495538</v>
      </c>
      <c r="K14" s="8">
        <f t="shared" si="8"/>
        <v>2.5657173136803553</v>
      </c>
      <c r="L14" s="8">
        <f t="shared" si="8"/>
        <v>2.4552318791199572</v>
      </c>
      <c r="M14" s="8">
        <f t="shared" si="8"/>
        <v>2.3201941257683596</v>
      </c>
      <c r="N14" s="8">
        <f t="shared" si="8"/>
        <v>2.160604053625562</v>
      </c>
      <c r="O14" s="8">
        <f t="shared" si="8"/>
        <v>1.9764616626915654</v>
      </c>
      <c r="P14" s="8">
        <f t="shared" si="8"/>
        <v>1.7677669529663689</v>
      </c>
      <c r="Q14" s="8">
        <f t="shared" si="8"/>
        <v>1.534519924449973</v>
      </c>
      <c r="R14" s="8">
        <f t="shared" si="8"/>
        <v>1.2767205771423773</v>
      </c>
      <c r="S14" s="8">
        <f t="shared" si="8"/>
        <v>0.99436891104358227</v>
      </c>
      <c r="T14" s="8">
        <f t="shared" si="8"/>
        <v>0.68746492615358723</v>
      </c>
      <c r="U14" s="8">
        <f t="shared" si="8"/>
        <v>0.35600862247239301</v>
      </c>
      <c r="V14" s="8">
        <f t="shared" si="8"/>
        <v>6.1331736667334975E-16</v>
      </c>
      <c r="W14" s="8"/>
      <c r="X14" s="8">
        <f>G19/G14</f>
        <v>0</v>
      </c>
      <c r="Y14" s="8">
        <f>H19/H14</f>
        <v>7.576144084141581</v>
      </c>
      <c r="Z14" s="8">
        <f t="shared" ref="Z14:AL14" si="9">I19/I14</f>
        <v>15.357975337988364</v>
      </c>
      <c r="AA14" s="8">
        <f t="shared" si="9"/>
        <v>23.570226039551589</v>
      </c>
      <c r="AB14" s="8">
        <f t="shared" si="9"/>
        <v>32.479545930099796</v>
      </c>
      <c r="AC14" s="8">
        <f t="shared" si="9"/>
        <v>42.426406871192853</v>
      </c>
      <c r="AD14" s="8">
        <f t="shared" si="9"/>
        <v>53.874802376117906</v>
      </c>
      <c r="AE14" s="8">
        <f t="shared" si="9"/>
        <v>67.49655638598864</v>
      </c>
      <c r="AF14" s="8">
        <f t="shared" si="9"/>
        <v>84.325777632184554</v>
      </c>
      <c r="AG14" s="8">
        <f t="shared" si="9"/>
        <v>106.06601717798215</v>
      </c>
      <c r="AH14" s="8">
        <f t="shared" si="9"/>
        <v>135.76450198781717</v>
      </c>
      <c r="AI14" s="8">
        <f t="shared" si="9"/>
        <v>179.49633676273905</v>
      </c>
      <c r="AJ14" s="8">
        <f t="shared" si="9"/>
        <v>251.41574442188366</v>
      </c>
      <c r="AK14" s="8">
        <f t="shared" si="9"/>
        <v>393.95949237536269</v>
      </c>
      <c r="AL14" s="8">
        <f t="shared" si="9"/>
        <v>819.26854647820858</v>
      </c>
      <c r="AM14" s="8">
        <f>V19/V14</f>
        <v>5.0952413380206182E+17</v>
      </c>
      <c r="AN14" s="8"/>
      <c r="AO14">
        <f>0.00004</f>
        <v>4.0000000000000003E-5</v>
      </c>
      <c r="AP14" s="8">
        <f>AO14*2</f>
        <v>8.0000000000000007E-5</v>
      </c>
      <c r="AQ14" s="8">
        <f>AP14/(0.3*10^-3)</f>
        <v>0.26666666666666672</v>
      </c>
      <c r="AR14">
        <f>'estimates new'!AU70</f>
        <v>0.2978723404255319</v>
      </c>
      <c r="AS14">
        <f>AR14-AQ14</f>
        <v>3.1205673758865182E-2</v>
      </c>
      <c r="CO14" s="8">
        <f t="shared" ref="CO14:CO15" si="10">CP14/(10^-3)</f>
        <v>0.59259259259259256</v>
      </c>
      <c r="CP14" s="8">
        <f>($CJ$8*10^-3)*'estimates new'!AV62</f>
        <v>5.9259259259259258E-4</v>
      </c>
      <c r="CQ14" s="8">
        <f>($CJ$8*10^-3)*'estimates new'!AV68</f>
        <v>5.903614457831326E-4</v>
      </c>
      <c r="CR14" s="8">
        <f>($CJ$8*10^-3)*'estimates new'!AV65</f>
        <v>5.5844155844155842E-4</v>
      </c>
    </row>
    <row r="15" spans="1:96" x14ac:dyDescent="0.25">
      <c r="D15" s="8"/>
      <c r="G15" s="8">
        <f>ABS(SQRT(2)*(3*$D$2*2/(8*PI()*$F$2*$G3^2))*(1-B$8^2/($F$2/2)^2))</f>
        <v>0.54560708424887949</v>
      </c>
      <c r="H15" s="8">
        <f t="shared" ref="H15" si="11">ABS(SQRT(2)*(3*$D$2*2/(8*PI()*$F$2*$G3^2))*(1-C$8^2/($F$2/2)^2))</f>
        <v>0.54318216387443996</v>
      </c>
      <c r="I15" s="8">
        <f>ABS(SQRT(2)*(3*$D$2*2/(8*PI()*$F$2*$G3^2))*(1-D$8^2/($F$2/2)^2))</f>
        <v>0.53590740275112159</v>
      </c>
      <c r="J15" s="8">
        <f t="shared" ref="J15:J16" si="12">ABS(SQRT(2)*(3*$D$2*2/(8*PI()*$F$2*$G3^2))*(1-E$8^2/($F$2/2)^2))</f>
        <v>0.52378280087892426</v>
      </c>
      <c r="K15" s="8">
        <f t="shared" ref="K15:K16" si="13">ABS(SQRT(2)*(3*$D$2*2/(8*PI()*$F$2*$G3^2))*(1-F$8^2/($F$2/2)^2))</f>
        <v>0.50680835825784809</v>
      </c>
      <c r="L15" s="8">
        <f t="shared" ref="L15:L16" si="14">ABS(SQRT(2)*(3*$D$2*2/(8*PI()*$F$2*$G3^2))*(1-G$8^2/($F$2/2)^2))</f>
        <v>0.48498407488789286</v>
      </c>
      <c r="M15" s="8">
        <f t="shared" ref="M15:M16" si="15">ABS(SQRT(2)*(3*$D$2*2/(8*PI()*$F$2*$G3^2))*(1-H$8^2/($F$2/2)^2))</f>
        <v>0.45830995076905878</v>
      </c>
      <c r="N15" s="8">
        <f t="shared" ref="N15:N16" si="16">ABS(SQRT(2)*(3*$D$2*2/(8*PI()*$F$2*$G3^2))*(1-I$8^2/($F$2/2)^2))</f>
        <v>0.4267859859013457</v>
      </c>
      <c r="O15" s="8">
        <f t="shared" ref="O15:O16" si="17">ABS(SQRT(2)*(3*$D$2*2/(8*PI()*$F$2*$G3^2))*(1-J$8^2/($F$2/2)^2))</f>
        <v>0.39041218028475372</v>
      </c>
      <c r="P15" s="8">
        <f t="shared" ref="P15:P16" si="18">ABS(SQRT(2)*(3*$D$2*2/(8*PI()*$F$2*$G3^2))*(1-K$8^2/($F$2/2)^2))</f>
        <v>0.34918853391928284</v>
      </c>
      <c r="Q15" s="8">
        <f t="shared" ref="Q15:Q16" si="19">ABS(SQRT(2)*(3*$D$2*2/(8*PI()*$F$2*$G3^2))*(1-L$8^2/($F$2/2)^2))</f>
        <v>0.30311504680493301</v>
      </c>
      <c r="R15" s="8">
        <f t="shared" ref="R15:R16" si="20">ABS(SQRT(2)*(3*$D$2*2/(8*PI()*$F$2*$G3^2))*(1-M$8^2/($F$2/2)^2))</f>
        <v>0.25219171894170422</v>
      </c>
      <c r="S15" s="8">
        <f t="shared" ref="S15:S16" si="21">ABS(SQRT(2)*(3*$D$2*2/(8*PI()*$F$2*$G3^2))*(1-N$8^2/($F$2/2)^2))</f>
        <v>0.19641855032959654</v>
      </c>
      <c r="T15" s="8">
        <f t="shared" ref="T15:T16" si="22">ABS(SQRT(2)*(3*$D$2*2/(8*PI()*$F$2*$G3^2))*(1-O$8^2/($F$2/2)^2))</f>
        <v>0.13579554096860985</v>
      </c>
      <c r="U15" s="8">
        <f t="shared" ref="U15:U16" si="23">ABS(SQRT(2)*(3*$D$2*2/(8*PI()*$F$2*$G3^2))*(1-P$8^2/($F$2/2)^2))</f>
        <v>7.0322690858744319E-2</v>
      </c>
      <c r="V15" s="8">
        <f t="shared" ref="V15:V16" si="24">ABS(SQRT(2)*(3*$D$2*2/(8*PI()*$F$2*$G3^2))*(1-Q$8^2/($F$2/2)^2))</f>
        <v>1.2114910946634072E-16</v>
      </c>
      <c r="W15" s="8"/>
      <c r="X15" s="8">
        <f t="shared" ref="X15:X16" si="25">G20/G15</f>
        <v>0</v>
      </c>
      <c r="Y15" s="8">
        <f t="shared" ref="Y15" si="26">H20/H15</f>
        <v>17.046324189318558</v>
      </c>
      <c r="Z15" s="8">
        <f t="shared" ref="Z15:Z16" si="27">I20/I15</f>
        <v>34.555444510473819</v>
      </c>
      <c r="AA15" s="8">
        <f t="shared" ref="AA15:AA16" si="28">J20/J15</f>
        <v>53.033008588991066</v>
      </c>
      <c r="AB15" s="8">
        <f t="shared" ref="AB15:AB16" si="29">K20/K15</f>
        <v>73.078978342724525</v>
      </c>
      <c r="AC15" s="8">
        <f t="shared" ref="AC15:AC16" si="30">L20/L15</f>
        <v>95.459415460183934</v>
      </c>
      <c r="AD15" s="8">
        <f t="shared" ref="AD15:AD16" si="31">M20/M15</f>
        <v>121.21830534626527</v>
      </c>
      <c r="AE15" s="8">
        <f t="shared" ref="AE15:AE16" si="32">N20/N15</f>
        <v>151.86725186847443</v>
      </c>
      <c r="AF15" s="8">
        <f t="shared" ref="AF15:AF16" si="33">O20/O15</f>
        <v>189.73299967241525</v>
      </c>
      <c r="AG15" s="8">
        <f t="shared" ref="AG15:AG16" si="34">P20/P15</f>
        <v>238.64853865045978</v>
      </c>
      <c r="AH15" s="8">
        <f t="shared" ref="AH15:AH16" si="35">Q20/Q15</f>
        <v>305.47012947258861</v>
      </c>
      <c r="AI15" s="8">
        <f t="shared" ref="AI15:AI16" si="36">R20/R15</f>
        <v>403.86675771616279</v>
      </c>
      <c r="AJ15" s="8">
        <f t="shared" ref="AJ15:AJ16" si="37">S20/S15</f>
        <v>565.68542494923815</v>
      </c>
      <c r="AK15" s="8">
        <f t="shared" ref="AK15:AK16" si="38">T20/T15</f>
        <v>886.40885784456589</v>
      </c>
      <c r="AL15" s="8">
        <f t="shared" ref="AL15:AM16" si="39">U20/U15</f>
        <v>1843.3542295759692</v>
      </c>
      <c r="AM15" s="8">
        <f t="shared" si="39"/>
        <v>1.146429301054639E+18</v>
      </c>
      <c r="AN15" s="8"/>
      <c r="AO15">
        <f>0.00002</f>
        <v>2.0000000000000002E-5</v>
      </c>
      <c r="AP15" s="8">
        <f t="shared" ref="AP15:AP16" si="40">AO15*2</f>
        <v>4.0000000000000003E-5</v>
      </c>
      <c r="AQ15" s="8">
        <f t="shared" ref="AQ15:AQ16" si="41">AP15/(0.3*10^-3)</f>
        <v>0.13333333333333336</v>
      </c>
      <c r="AR15" s="8">
        <f>'estimates new'!AU71</f>
        <v>0.11363636363636363</v>
      </c>
      <c r="AS15" s="8">
        <f t="shared" ref="AS15:AS16" si="42">AR15-AQ15</f>
        <v>-1.9696969696969727E-2</v>
      </c>
      <c r="CO15" s="8">
        <f t="shared" si="10"/>
        <v>0.58749999999999991</v>
      </c>
      <c r="CP15" s="8">
        <f>($CJ$8*10^-3)*'estimates new'!AV63</f>
        <v>5.8749999999999991E-4</v>
      </c>
      <c r="CQ15" s="8">
        <f>($CJ$8*10^-3)*'estimates new'!AV69</f>
        <v>6.8749999999999996E-4</v>
      </c>
      <c r="CR15" s="8">
        <f>($CJ$8*10^-3)*'estimates new'!AV66</f>
        <v>6.4197530864197529E-4</v>
      </c>
    </row>
    <row r="16" spans="1:96" x14ac:dyDescent="0.25">
      <c r="D16" s="8"/>
      <c r="G16" s="8">
        <f t="shared" ref="G16" si="43">ABS(SQRT(2)*(3*$D$2*2/(8*PI()*$F$2*$G4^2))*(1-B$8^2/($F$2/2)^2))</f>
        <v>0.2254804786946899</v>
      </c>
      <c r="H16" s="8">
        <f>ABS(SQRT(2)*(3*$D$2*2/(8*PI()*$F$2*$G4^2))*(1-C$8^2/($F$2/2)^2))</f>
        <v>0.2244783432338246</v>
      </c>
      <c r="I16" s="8">
        <f t="shared" ref="I16" si="44">ABS(SQRT(2)*(3*$D$2*2/(8*PI()*$F$2*$G4^2))*(1-D$8^2/($F$2/2)^2))</f>
        <v>0.22147193685122873</v>
      </c>
      <c r="J16" s="8">
        <f t="shared" si="12"/>
        <v>0.21646125954690229</v>
      </c>
      <c r="K16" s="8">
        <f t="shared" si="13"/>
        <v>0.20944631132084529</v>
      </c>
      <c r="L16" s="8">
        <f t="shared" si="14"/>
        <v>0.20042709217305768</v>
      </c>
      <c r="M16" s="8">
        <f t="shared" si="15"/>
        <v>0.18940360210353951</v>
      </c>
      <c r="N16" s="8">
        <f t="shared" si="16"/>
        <v>0.17637584111229074</v>
      </c>
      <c r="O16" s="8">
        <f t="shared" si="17"/>
        <v>0.16134380919931143</v>
      </c>
      <c r="P16" s="8">
        <f t="shared" si="18"/>
        <v>0.14430750636460152</v>
      </c>
      <c r="Q16" s="8">
        <f t="shared" si="19"/>
        <v>0.12526693260816105</v>
      </c>
      <c r="R16" s="8">
        <f t="shared" si="20"/>
        <v>0.10422208792998996</v>
      </c>
      <c r="S16" s="8">
        <f t="shared" si="21"/>
        <v>8.1172972330088342E-2</v>
      </c>
      <c r="T16" s="8">
        <f t="shared" si="22"/>
        <v>5.6119585808456086E-2</v>
      </c>
      <c r="U16" s="8">
        <f t="shared" si="23"/>
        <v>2.90619283650933E-2</v>
      </c>
      <c r="V16" s="8">
        <f t="shared" si="24"/>
        <v>5.0066723810069358E-17</v>
      </c>
      <c r="W16" s="8"/>
      <c r="X16" s="8">
        <f t="shared" si="25"/>
        <v>0</v>
      </c>
      <c r="Y16" s="8">
        <f>H21/H16</f>
        <v>26.51650429449554</v>
      </c>
      <c r="Z16" s="8">
        <f t="shared" si="27"/>
        <v>53.752913682959282</v>
      </c>
      <c r="AA16" s="8">
        <f t="shared" si="28"/>
        <v>82.495791138430562</v>
      </c>
      <c r="AB16" s="8">
        <f t="shared" si="29"/>
        <v>113.67841075534929</v>
      </c>
      <c r="AC16" s="8">
        <f t="shared" si="30"/>
        <v>148.49242404917501</v>
      </c>
      <c r="AD16" s="8">
        <f t="shared" si="31"/>
        <v>188.56180831641271</v>
      </c>
      <c r="AE16" s="8">
        <f t="shared" si="32"/>
        <v>236.23794735096027</v>
      </c>
      <c r="AF16" s="8">
        <f t="shared" si="33"/>
        <v>295.140221712646</v>
      </c>
      <c r="AG16" s="8">
        <f t="shared" si="34"/>
        <v>371.23106012293755</v>
      </c>
      <c r="AH16" s="8">
        <f t="shared" si="35"/>
        <v>475.17575695736002</v>
      </c>
      <c r="AI16" s="8">
        <f t="shared" si="36"/>
        <v>628.23717866958668</v>
      </c>
      <c r="AJ16" s="8">
        <f t="shared" si="37"/>
        <v>879.95510547659296</v>
      </c>
      <c r="AK16" s="8">
        <f t="shared" si="38"/>
        <v>1378.8582233137695</v>
      </c>
      <c r="AL16" s="8">
        <f t="shared" si="39"/>
        <v>2867.4399126737303</v>
      </c>
      <c r="AM16" s="8">
        <f t="shared" ref="AM16" si="45">V21/V16</f>
        <v>1.7833344683072166E+18</v>
      </c>
      <c r="AN16" s="8"/>
      <c r="AO16" s="8">
        <f>0.00001</f>
        <v>1.0000000000000001E-5</v>
      </c>
      <c r="AP16" s="8">
        <f t="shared" si="40"/>
        <v>2.0000000000000002E-5</v>
      </c>
      <c r="AQ16" s="8">
        <f t="shared" si="41"/>
        <v>6.666666666666668E-2</v>
      </c>
      <c r="AR16" s="8">
        <f>'estimates new'!AU72</f>
        <v>0</v>
      </c>
      <c r="AS16" s="8">
        <f t="shared" si="42"/>
        <v>-6.666666666666668E-2</v>
      </c>
    </row>
    <row r="17" spans="2:73" x14ac:dyDescent="0.25">
      <c r="D17" s="8"/>
      <c r="G17" s="8"/>
      <c r="H17" s="8"/>
      <c r="I17" s="8"/>
      <c r="J17" s="8"/>
      <c r="K17" s="8"/>
      <c r="L17" s="8"/>
      <c r="M17" s="8"/>
      <c r="N17" s="8"/>
      <c r="O17" s="8"/>
      <c r="P17" s="8"/>
      <c r="Q17" s="8"/>
      <c r="R17" s="8"/>
      <c r="S17" s="8"/>
      <c r="T17" s="8"/>
      <c r="U17" s="8"/>
      <c r="V17" s="8"/>
      <c r="X17" s="8"/>
      <c r="Y17" s="8"/>
      <c r="Z17" s="8"/>
      <c r="AA17" s="8"/>
      <c r="AB17" s="8"/>
      <c r="AC17" s="8"/>
    </row>
    <row r="18" spans="2:73" x14ac:dyDescent="0.25">
      <c r="D18" s="8"/>
      <c r="G18" s="10" t="s">
        <v>136</v>
      </c>
      <c r="Y18">
        <f>Y16/Y14</f>
        <v>3.5000000000000009</v>
      </c>
      <c r="Z18" s="8">
        <f t="shared" ref="Z18:AM18" si="46">Z16/Z14</f>
        <v>3.5000000000000004</v>
      </c>
      <c r="AA18" s="8">
        <f t="shared" si="46"/>
        <v>3.5</v>
      </c>
      <c r="AB18" s="8">
        <f t="shared" si="46"/>
        <v>3.5</v>
      </c>
      <c r="AC18" s="8">
        <f>AC16/AC14</f>
        <v>3.5000000000000009</v>
      </c>
      <c r="AD18" s="8">
        <f t="shared" si="46"/>
        <v>3.5000000000000009</v>
      </c>
      <c r="AE18" s="8">
        <f t="shared" si="46"/>
        <v>3.5000000000000004</v>
      </c>
      <c r="AF18" s="8">
        <f t="shared" si="46"/>
        <v>3.5000000000000009</v>
      </c>
      <c r="AG18" s="8">
        <f t="shared" si="46"/>
        <v>3.5000000000000004</v>
      </c>
      <c r="AH18" s="8">
        <f t="shared" si="46"/>
        <v>3.4999999999999996</v>
      </c>
      <c r="AI18" s="8">
        <f t="shared" si="46"/>
        <v>3.5</v>
      </c>
      <c r="AJ18" s="8">
        <f t="shared" si="46"/>
        <v>3.5000000000000004</v>
      </c>
      <c r="AK18" s="8">
        <f t="shared" si="46"/>
        <v>3.5</v>
      </c>
      <c r="AL18" s="8">
        <f t="shared" si="46"/>
        <v>3.5000000000000004</v>
      </c>
      <c r="AM18" s="8">
        <f t="shared" si="46"/>
        <v>3.5000000000000004</v>
      </c>
      <c r="AO18" s="8"/>
    </row>
    <row r="19" spans="2:73" x14ac:dyDescent="0.25">
      <c r="B19" t="s">
        <v>131</v>
      </c>
      <c r="D19" s="8"/>
      <c r="G19">
        <f>ABS((3*$D$2*2/(8*PI()*$G2*$F$2))*2*4*B$8/$F$2^2)</f>
        <v>0</v>
      </c>
      <c r="H19" s="8">
        <f t="shared" ref="H19:V19" si="47">ABS((3*$D$2*2/(8*PI()*$G2*$F$2))*2*4*C$8/$F$2^2)</f>
        <v>20.833333333333339</v>
      </c>
      <c r="I19" s="8">
        <f t="shared" si="47"/>
        <v>41.666666666666679</v>
      </c>
      <c r="J19" s="8">
        <f t="shared" si="47"/>
        <v>62.500000000000021</v>
      </c>
      <c r="K19" s="8">
        <f t="shared" si="47"/>
        <v>83.333333333333357</v>
      </c>
      <c r="L19" s="8">
        <f t="shared" si="47"/>
        <v>104.1666666666667</v>
      </c>
      <c r="M19" s="8">
        <f t="shared" si="47"/>
        <v>125.00000000000003</v>
      </c>
      <c r="N19" s="8">
        <f t="shared" si="47"/>
        <v>145.83333333333337</v>
      </c>
      <c r="O19" s="8">
        <f t="shared" si="47"/>
        <v>166.66666666666671</v>
      </c>
      <c r="P19" s="8">
        <f t="shared" si="47"/>
        <v>187.50000000000003</v>
      </c>
      <c r="Q19" s="8">
        <f t="shared" si="47"/>
        <v>208.3333333333334</v>
      </c>
      <c r="R19" s="8">
        <f t="shared" si="47"/>
        <v>229.16666666666671</v>
      </c>
      <c r="S19" s="8">
        <f t="shared" si="47"/>
        <v>250.00000000000006</v>
      </c>
      <c r="T19" s="8">
        <f t="shared" si="47"/>
        <v>270.83333333333343</v>
      </c>
      <c r="U19" s="8">
        <f t="shared" si="47"/>
        <v>291.66666666666674</v>
      </c>
      <c r="V19" s="8">
        <f t="shared" si="47"/>
        <v>312.50000000000006</v>
      </c>
      <c r="W19" s="8"/>
    </row>
    <row r="20" spans="2:73" x14ac:dyDescent="0.25">
      <c r="D20" s="8"/>
      <c r="G20" s="8">
        <f t="shared" ref="G20:G21" si="48">ABS((3*$D$2*2/(8*PI()*$G3*$F$2))*2*4*B$8/$F$2^2)</f>
        <v>0</v>
      </c>
      <c r="H20" s="8">
        <f t="shared" ref="H20:H21" si="49">ABS((3*$D$2*2/(8*PI()*$G3*$F$2))*2*4*C$8/$F$2^2)</f>
        <v>9.2592592592592631</v>
      </c>
      <c r="I20" s="8">
        <f>ABS((3*$D$2*2/(8*PI()*$G3*$F$2))*2*4*D$8/$F$2^2)</f>
        <v>18.518518518518526</v>
      </c>
      <c r="J20" s="8">
        <f t="shared" ref="J20:J21" si="50">ABS((3*$D$2*2/(8*PI()*$G3*$F$2))*2*4*E$8/$F$2^2)</f>
        <v>27.777777777777789</v>
      </c>
      <c r="K20" s="8">
        <f t="shared" ref="K20:K21" si="51">ABS((3*$D$2*2/(8*PI()*$G3*$F$2))*2*4*F$8/$F$2^2)</f>
        <v>37.037037037037052</v>
      </c>
      <c r="L20" s="8">
        <f t="shared" ref="L20:L21" si="52">ABS((3*$D$2*2/(8*PI()*$G3*$F$2))*2*4*G$8/$F$2^2)</f>
        <v>46.296296296296319</v>
      </c>
      <c r="M20" s="8">
        <f t="shared" ref="M20:M21" si="53">ABS((3*$D$2*2/(8*PI()*$G3*$F$2))*2*4*H$8/$F$2^2)</f>
        <v>55.555555555555571</v>
      </c>
      <c r="N20" s="8">
        <f t="shared" ref="N20:N21" si="54">ABS((3*$D$2*2/(8*PI()*$G3*$F$2))*2*4*I$8/$F$2^2)</f>
        <v>64.814814814814838</v>
      </c>
      <c r="O20" s="8">
        <f t="shared" ref="O20:O21" si="55">ABS((3*$D$2*2/(8*PI()*$G3*$F$2))*2*4*J$8/$F$2^2)</f>
        <v>74.074074074074105</v>
      </c>
      <c r="P20" s="8">
        <f t="shared" ref="P20:P21" si="56">ABS((3*$D$2*2/(8*PI()*$G3*$F$2))*2*4*K$8/$F$2^2)</f>
        <v>83.333333333333357</v>
      </c>
      <c r="Q20" s="8">
        <f t="shared" ref="Q20:Q21" si="57">ABS((3*$D$2*2/(8*PI()*$G3*$F$2))*2*4*L$8/$F$2^2)</f>
        <v>92.592592592592638</v>
      </c>
      <c r="R20" s="8">
        <f t="shared" ref="R20:R21" si="58">ABS((3*$D$2*2/(8*PI()*$G3*$F$2))*2*4*M$8/$F$2^2)</f>
        <v>101.85185185185189</v>
      </c>
      <c r="S20" s="8">
        <f t="shared" ref="S20:S21" si="59">ABS((3*$D$2*2/(8*PI()*$G3*$F$2))*2*4*N$8/$F$2^2)</f>
        <v>111.11111111111114</v>
      </c>
      <c r="T20" s="8">
        <f t="shared" ref="T20:T21" si="60">ABS((3*$D$2*2/(8*PI()*$G3*$F$2))*2*4*O$8/$F$2^2)</f>
        <v>120.37037037037041</v>
      </c>
      <c r="U20" s="8">
        <f t="shared" ref="U20:U21" si="61">ABS((3*$D$2*2/(8*PI()*$G3*$F$2))*2*4*P$8/$F$2^2)</f>
        <v>129.62962962962968</v>
      </c>
      <c r="V20" s="8">
        <f t="shared" ref="V20" si="62">ABS((3*$D$2*2/(8*PI()*$G3*$F$2))*2*4*Q$8/$F$2^2)</f>
        <v>138.88888888888894</v>
      </c>
      <c r="W20" s="8"/>
    </row>
    <row r="21" spans="2:73" x14ac:dyDescent="0.25">
      <c r="D21" s="8"/>
      <c r="G21" s="8">
        <f t="shared" si="48"/>
        <v>0</v>
      </c>
      <c r="H21" s="8">
        <f t="shared" si="49"/>
        <v>5.9523809523809534</v>
      </c>
      <c r="I21" s="8">
        <f t="shared" ref="I21" si="63">ABS((3*$D$2*2/(8*PI()*$G4*$F$2))*2*4*D$8/$F$2^2)</f>
        <v>11.904761904761907</v>
      </c>
      <c r="J21" s="8">
        <f t="shared" si="50"/>
        <v>17.857142857142861</v>
      </c>
      <c r="K21" s="8">
        <f t="shared" si="51"/>
        <v>23.809523809523814</v>
      </c>
      <c r="L21" s="8">
        <f t="shared" si="52"/>
        <v>29.761904761904766</v>
      </c>
      <c r="M21" s="8">
        <f t="shared" si="53"/>
        <v>35.714285714285722</v>
      </c>
      <c r="N21" s="8">
        <f t="shared" si="54"/>
        <v>41.666666666666671</v>
      </c>
      <c r="O21" s="8">
        <f t="shared" si="55"/>
        <v>47.619047619047628</v>
      </c>
      <c r="P21" s="8">
        <f t="shared" si="56"/>
        <v>53.571428571428577</v>
      </c>
      <c r="Q21" s="8">
        <f t="shared" si="57"/>
        <v>59.523809523809533</v>
      </c>
      <c r="R21" s="8">
        <f t="shared" si="58"/>
        <v>65.476190476190482</v>
      </c>
      <c r="S21" s="8">
        <f t="shared" si="59"/>
        <v>71.428571428571445</v>
      </c>
      <c r="T21" s="8">
        <f t="shared" si="60"/>
        <v>77.380952380952394</v>
      </c>
      <c r="U21" s="8">
        <f t="shared" si="61"/>
        <v>83.333333333333343</v>
      </c>
      <c r="V21" s="8">
        <f>ABS((3*$D$2*2/(8*PI()*$G4*$F$2))*2*4*Q$8/$F$2^2)</f>
        <v>89.285714285714306</v>
      </c>
      <c r="W21" s="8"/>
    </row>
    <row r="22" spans="2:73" x14ac:dyDescent="0.25">
      <c r="D22" s="8"/>
    </row>
    <row r="23" spans="2:73" x14ac:dyDescent="0.25">
      <c r="D23" s="8"/>
    </row>
    <row r="24" spans="2:73" x14ac:dyDescent="0.25">
      <c r="D24" s="8"/>
      <c r="G24" s="10" t="s">
        <v>132</v>
      </c>
      <c r="H24" s="10"/>
      <c r="I24" s="8"/>
      <c r="J24" s="8"/>
      <c r="K24" s="8"/>
      <c r="L24" s="8"/>
      <c r="M24" s="8"/>
      <c r="N24" s="8"/>
      <c r="O24" s="8"/>
      <c r="P24" s="8"/>
      <c r="Q24" s="8"/>
      <c r="R24" s="8"/>
      <c r="S24" s="8"/>
      <c r="T24" s="8"/>
      <c r="U24" s="8"/>
      <c r="V24" s="8"/>
      <c r="W24" s="8"/>
    </row>
    <row r="25" spans="2:73" x14ac:dyDescent="0.25">
      <c r="D25" s="8"/>
      <c r="G25" s="10" t="s">
        <v>140</v>
      </c>
      <c r="H25" s="10"/>
      <c r="I25" s="8"/>
      <c r="J25" s="8"/>
      <c r="K25" s="8"/>
      <c r="L25" s="8"/>
      <c r="M25" s="8"/>
      <c r="N25" s="8"/>
      <c r="O25" s="8"/>
      <c r="P25" s="8"/>
      <c r="Q25" s="8"/>
      <c r="R25" s="8"/>
      <c r="S25" s="8"/>
      <c r="T25" s="8"/>
      <c r="U25" s="8"/>
      <c r="V25" s="8"/>
      <c r="W25" s="8"/>
    </row>
    <row r="26" spans="2:73" x14ac:dyDescent="0.25">
      <c r="G26" s="10" t="s">
        <v>137</v>
      </c>
      <c r="H26" s="10"/>
      <c r="I26" s="8"/>
      <c r="J26" s="8"/>
      <c r="K26" s="8"/>
      <c r="L26" s="8"/>
      <c r="M26" s="8"/>
      <c r="N26" s="8"/>
      <c r="O26" s="8"/>
      <c r="P26" s="8"/>
      <c r="Q26" s="8"/>
      <c r="R26" s="8"/>
      <c r="S26" s="8"/>
      <c r="T26" s="8"/>
      <c r="U26" s="8"/>
      <c r="V26" s="8"/>
      <c r="W26" s="8"/>
      <c r="AH26" t="s">
        <v>143</v>
      </c>
      <c r="BI26" t="s">
        <v>158</v>
      </c>
      <c r="BJ26" t="s">
        <v>157</v>
      </c>
      <c r="BK26" t="s">
        <v>106</v>
      </c>
      <c r="BL26" t="s">
        <v>159</v>
      </c>
      <c r="BM26" t="s">
        <v>72</v>
      </c>
    </row>
    <row r="27" spans="2:73" x14ac:dyDescent="0.25">
      <c r="G27" s="8">
        <f>ABS(SQRT(2)*(3*$D$2*2/(8*PI()*$F$3*$G2^2))*(1-B$8^2/($F$3/2)^2))</f>
        <v>1.6572815184059708</v>
      </c>
      <c r="H27" s="8">
        <f t="shared" ref="H27:AF27" si="64">ABS(SQRT(2)*(3*$D$2*2/(8*PI()*$F$3*$G2^2))*(1-C$8^2/($F$3/2)^2))</f>
        <v>1.6546298679765212</v>
      </c>
      <c r="I27" s="8">
        <f t="shared" si="64"/>
        <v>1.6466749166881727</v>
      </c>
      <c r="J27" s="8">
        <f t="shared" si="64"/>
        <v>1.6334166645409249</v>
      </c>
      <c r="K27" s="8">
        <f t="shared" si="64"/>
        <v>1.614855111534778</v>
      </c>
      <c r="L27" s="8">
        <f t="shared" si="64"/>
        <v>1.5909902576697319</v>
      </c>
      <c r="M27" s="8">
        <f t="shared" si="64"/>
        <v>1.5618221029457868</v>
      </c>
      <c r="N27" s="8">
        <f t="shared" si="64"/>
        <v>1.5273506473629426</v>
      </c>
      <c r="O27" s="8">
        <f t="shared" si="64"/>
        <v>1.4875758909211994</v>
      </c>
      <c r="P27" s="8">
        <f t="shared" si="64"/>
        <v>1.4424978336205569</v>
      </c>
      <c r="Q27" s="8">
        <f>ABS(SQRT(2)*(3*$D$2*2/(8*PI()*$F$3*$G2^2))*(1-L$8^2/($F$3/2)^2))</f>
        <v>1.3921164754610154</v>
      </c>
      <c r="R27" s="8">
        <f t="shared" si="64"/>
        <v>1.3364318164425748</v>
      </c>
      <c r="S27" s="8">
        <f t="shared" si="64"/>
        <v>1.2754438565652351</v>
      </c>
      <c r="T27" s="8">
        <f t="shared" si="64"/>
        <v>1.2091525958289964</v>
      </c>
      <c r="U27" s="8">
        <f t="shared" si="64"/>
        <v>1.1375580342338583</v>
      </c>
      <c r="V27" s="8">
        <f t="shared" si="64"/>
        <v>1.0606601717798212</v>
      </c>
      <c r="W27" s="8">
        <f t="shared" si="64"/>
        <v>0.97845900846688505</v>
      </c>
      <c r="X27" s="8">
        <f t="shared" si="64"/>
        <v>0.89095454429504972</v>
      </c>
      <c r="Y27" s="8">
        <f t="shared" si="64"/>
        <v>0.79814677926431543</v>
      </c>
      <c r="Z27" s="8">
        <f t="shared" si="64"/>
        <v>0.70003571337468184</v>
      </c>
      <c r="AA27" s="8">
        <f t="shared" si="64"/>
        <v>0.59662134662614952</v>
      </c>
      <c r="AB27" s="8">
        <f t="shared" si="64"/>
        <v>0.48790367901871762</v>
      </c>
      <c r="AC27" s="8">
        <f t="shared" si="64"/>
        <v>0.37388271055238687</v>
      </c>
      <c r="AD27" s="8">
        <f t="shared" si="64"/>
        <v>0.25455844122715687</v>
      </c>
      <c r="AE27" s="8">
        <f t="shared" si="64"/>
        <v>0.12993087104302797</v>
      </c>
      <c r="AF27" s="8">
        <f t="shared" si="64"/>
        <v>0</v>
      </c>
      <c r="AG27" s="8"/>
      <c r="AH27" s="8">
        <f>G32/G27</f>
        <v>0</v>
      </c>
      <c r="AI27" s="8">
        <f t="shared" ref="AI27:BG27" si="65">H32/H27</f>
        <v>2.719641466102106</v>
      </c>
      <c r="AJ27" s="8">
        <f t="shared" si="65"/>
        <v>5.4655596613452948</v>
      </c>
      <c r="AK27" s="8">
        <f t="shared" si="65"/>
        <v>8.2648844554271808</v>
      </c>
      <c r="AL27" s="8">
        <f t="shared" si="65"/>
        <v>11.146510836438187</v>
      </c>
      <c r="AM27" s="8">
        <f t="shared" si="65"/>
        <v>14.142135623730953</v>
      </c>
      <c r="AN27" s="8">
        <f t="shared" si="65"/>
        <v>17.287500253117631</v>
      </c>
      <c r="AO27" s="8">
        <f t="shared" si="65"/>
        <v>20.62394778460764</v>
      </c>
      <c r="AP27" s="8">
        <f t="shared" si="65"/>
        <v>24.200445987133179</v>
      </c>
      <c r="AQ27" s="8">
        <f t="shared" si="65"/>
        <v>28.076298664759982</v>
      </c>
      <c r="AR27" s="8">
        <f>Q32/Q27</f>
        <v>32.324881425670753</v>
      </c>
      <c r="AS27" s="8">
        <f t="shared" si="65"/>
        <v>37.038926633581063</v>
      </c>
      <c r="AT27" s="8">
        <f t="shared" si="65"/>
        <v>42.338202283103058</v>
      </c>
      <c r="AU27" s="8">
        <f t="shared" si="65"/>
        <v>48.38099029171115</v>
      </c>
      <c r="AV27" s="8">
        <f t="shared" si="65"/>
        <v>55.381789855170169</v>
      </c>
      <c r="AW27" s="8">
        <f t="shared" si="65"/>
        <v>63.639610306789294</v>
      </c>
      <c r="AX27" s="8">
        <f t="shared" si="65"/>
        <v>73.585095928356168</v>
      </c>
      <c r="AY27" s="8">
        <f t="shared" si="65"/>
        <v>85.862966286937933</v>
      </c>
      <c r="AZ27" s="8">
        <f t="shared" si="65"/>
        <v>101.48509284803609</v>
      </c>
      <c r="BA27" s="8">
        <f t="shared" si="65"/>
        <v>122.13662584131281</v>
      </c>
      <c r="BB27" s="8">
        <f t="shared" si="65"/>
        <v>150.84944665313014</v>
      </c>
      <c r="BC27" s="8">
        <f t="shared" si="65"/>
        <v>193.68577049892397</v>
      </c>
      <c r="BD27" s="8">
        <f t="shared" si="65"/>
        <v>264.78892231666475</v>
      </c>
      <c r="BE27" s="8">
        <f t="shared" si="65"/>
        <v>406.58639918226527</v>
      </c>
      <c r="BF27" s="8">
        <f t="shared" si="65"/>
        <v>831.21123666010578</v>
      </c>
      <c r="BG27" s="8" t="e">
        <f t="shared" si="65"/>
        <v>#DIV/0!</v>
      </c>
      <c r="BH27" s="8"/>
      <c r="BI27" s="8">
        <f>0.0001</f>
        <v>1E-4</v>
      </c>
      <c r="BJ27" s="8">
        <f>BI27*2</f>
        <v>2.0000000000000001E-4</v>
      </c>
      <c r="BK27" s="8">
        <f>BJ27/(0.5*10^-3)</f>
        <v>0.4</v>
      </c>
      <c r="BL27" s="8">
        <f>'estimates new'!AU73</f>
        <v>0.36666666666666664</v>
      </c>
      <c r="BM27" s="8">
        <f>BL27-BK27</f>
        <v>-3.3333333333333381E-2</v>
      </c>
      <c r="BN27" s="8"/>
      <c r="BO27" s="8"/>
      <c r="BP27" s="8"/>
      <c r="BQ27" s="8"/>
      <c r="BR27" s="8"/>
      <c r="BS27" s="8"/>
      <c r="BT27" s="8"/>
      <c r="BU27" s="8"/>
    </row>
    <row r="28" spans="2:73" x14ac:dyDescent="0.25">
      <c r="G28" s="8">
        <f t="shared" ref="G28:G29" si="66">ABS(SQRT(2)*(3*$D$2*2/(8*PI()*$F$3*$G3^2))*(1-B$8^2/($F$3/2)^2))</f>
        <v>0.32736425054932755</v>
      </c>
      <c r="H28" s="8">
        <f t="shared" ref="H28:H29" si="67">ABS(SQRT(2)*(3*$D$2*2/(8*PI()*$F$3*$G3^2))*(1-C$8^2/($F$3/2)^2))</f>
        <v>0.3268404677484486</v>
      </c>
      <c r="I28" s="8">
        <f t="shared" ref="I28:I29" si="68">ABS(SQRT(2)*(3*$D$2*2/(8*PI()*$F$3*$G3^2))*(1-D$8^2/($F$3/2)^2))</f>
        <v>0.32526911934581187</v>
      </c>
      <c r="J28" s="8">
        <f t="shared" ref="J28:J29" si="69">ABS(SQRT(2)*(3*$D$2*2/(8*PI()*$F$3*$G3^2))*(1-E$8^2/($F$3/2)^2))</f>
        <v>0.32265020534141725</v>
      </c>
      <c r="K28" s="8">
        <f t="shared" ref="K28:K29" si="70">ABS(SQRT(2)*(3*$D$2*2/(8*PI()*$F$3*$G3^2))*(1-F$8^2/($F$3/2)^2))</f>
        <v>0.31898372573526479</v>
      </c>
      <c r="L28" s="8">
        <f t="shared" ref="L28:L29" si="71">ABS(SQRT(2)*(3*$D$2*2/(8*PI()*$F$3*$G3^2))*(1-G$8^2/($F$3/2)^2))</f>
        <v>0.31426968052735443</v>
      </c>
      <c r="M28" s="8">
        <f t="shared" ref="M28:M29" si="72">ABS(SQRT(2)*(3*$D$2*2/(8*PI()*$F$3*$G3^2))*(1-H$8^2/($F$3/2)^2))</f>
        <v>0.3085080697176863</v>
      </c>
      <c r="N28" s="8">
        <f t="shared" ref="N28:N29" si="73">ABS(SQRT(2)*(3*$D$2*2/(8*PI()*$F$3*$G3^2))*(1-I$8^2/($F$3/2)^2))</f>
        <v>0.30169889330626026</v>
      </c>
      <c r="O28" s="8">
        <f t="shared" ref="O28:O29" si="74">ABS(SQRT(2)*(3*$D$2*2/(8*PI()*$F$3*$G3^2))*(1-J$8^2/($F$3/2)^2))</f>
        <v>0.29384215129307639</v>
      </c>
      <c r="P28" s="8">
        <f t="shared" ref="P28:P29" si="75">ABS(SQRT(2)*(3*$D$2*2/(8*PI()*$F$3*$G3^2))*(1-K$8^2/($F$3/2)^2))</f>
        <v>0.28493784367813468</v>
      </c>
      <c r="Q28" s="8">
        <f t="shared" ref="Q28:Q29" si="76">ABS(SQRT(2)*(3*$D$2*2/(8*PI()*$F$3*$G3^2))*(1-L$8^2/($F$3/2)^2))</f>
        <v>0.27498597046143514</v>
      </c>
      <c r="R28" s="8">
        <f t="shared" ref="R28:R29" si="77">ABS(SQRT(2)*(3*$D$2*2/(8*PI()*$F$3*$G3^2))*(1-M$8^2/($F$3/2)^2))</f>
        <v>0.26398653164297775</v>
      </c>
      <c r="S28" s="8">
        <f t="shared" ref="S28:S29" si="78">ABS(SQRT(2)*(3*$D$2*2/(8*PI()*$F$3*$G3^2))*(1-N$8^2/($F$3/2)^2))</f>
        <v>0.25193952722276247</v>
      </c>
      <c r="T28" s="8">
        <f t="shared" ref="T28:T29" si="79">ABS(SQRT(2)*(3*$D$2*2/(8*PI()*$F$3*$G3^2))*(1-O$8^2/($F$3/2)^2))</f>
        <v>0.23884495720078938</v>
      </c>
      <c r="U28" s="8">
        <f t="shared" ref="U28:U29" si="80">ABS(SQRT(2)*(3*$D$2*2/(8*PI()*$F$3*$G3^2))*(1-P$8^2/($F$3/2)^2))</f>
        <v>0.2247028215770584</v>
      </c>
      <c r="V28" s="8">
        <f t="shared" ref="V28:V29" si="81">ABS(SQRT(2)*(3*$D$2*2/(8*PI()*$F$3*$G3^2))*(1-Q$8^2/($F$3/2)^2))</f>
        <v>0.2095131203515696</v>
      </c>
      <c r="W28" s="8">
        <f t="shared" ref="W28:W29" si="82">ABS(SQRT(2)*(3*$D$2*2/(8*PI()*$F$3*$G3^2))*(1-R$8^2/($F$3/2)^2))</f>
        <v>0.19327585352432297</v>
      </c>
      <c r="X28" s="8">
        <f t="shared" ref="X28:X29" si="83">ABS(SQRT(2)*(3*$D$2*2/(8*PI()*$F$3*$G3^2))*(1-S$8^2/($F$3/2)^2))</f>
        <v>0.17599102109531845</v>
      </c>
      <c r="Y28" s="8">
        <f t="shared" ref="Y28:Y29" si="84">ABS(SQRT(2)*(3*$D$2*2/(8*PI()*$F$3*$G3^2))*(1-T$8^2/($F$3/2)^2))</f>
        <v>0.15765862306455611</v>
      </c>
      <c r="Z28" s="8">
        <f t="shared" ref="Z28:Z29" si="85">ABS(SQRT(2)*(3*$D$2*2/(8*PI()*$F$3*$G3^2))*(1-U$8^2/($F$3/2)^2))</f>
        <v>0.13827865943203593</v>
      </c>
      <c r="AA28" s="8">
        <f t="shared" ref="AA28:AA29" si="86">ABS(SQRT(2)*(3*$D$2*2/(8*PI()*$F$3*$G3^2))*(1-V$8^2/($F$3/2)^2))</f>
        <v>0.11785113019775792</v>
      </c>
      <c r="AB28" s="8">
        <f t="shared" ref="AB28:AB29" si="87">ABS(SQRT(2)*(3*$D$2*2/(8*PI()*$F$3*$G3^2))*(1-W$8^2/($F$3/2)^2))</f>
        <v>9.6376035361721998E-2</v>
      </c>
      <c r="AC28" s="8">
        <f t="shared" ref="AC28:AC29" si="88">ABS(SQRT(2)*(3*$D$2*2/(8*PI()*$F$3*$G3^2))*(1-X$8^2/($F$3/2)^2))</f>
        <v>7.3853374923928267E-2</v>
      </c>
      <c r="AD28" s="8">
        <f t="shared" ref="AD28:AD29" si="89">ABS(SQRT(2)*(3*$D$2*2/(8*PI()*$F$3*$G3^2))*(1-Y$8^2/($F$3/2)^2))</f>
        <v>5.0283148884376662E-2</v>
      </c>
      <c r="AE28" s="8">
        <f t="shared" ref="AE28:AE29" si="90">ABS(SQRT(2)*(3*$D$2*2/(8*PI()*$F$3*$G3^2))*(1-Z$8^2/($F$3/2)^2))</f>
        <v>2.5665357243067254E-2</v>
      </c>
      <c r="AF28" s="8">
        <f t="shared" ref="AF28:AF29" si="91">ABS(SQRT(2)*(3*$D$2*2/(8*PI()*$F$3*$G3^2))*(1-AA$8^2/($F$3/2)^2))</f>
        <v>0</v>
      </c>
      <c r="AG28" s="8"/>
      <c r="AH28" s="8">
        <f t="shared" ref="AH28:AH29" si="92">G33/G28</f>
        <v>0</v>
      </c>
      <c r="AI28" s="8">
        <f t="shared" ref="AI28:AI29" si="93">H33/H28</f>
        <v>6.1191932987297388</v>
      </c>
      <c r="AJ28" s="8">
        <f t="shared" ref="AJ28:AJ29" si="94">I33/I28</f>
        <v>12.297509238026914</v>
      </c>
      <c r="AK28" s="8">
        <f t="shared" ref="AK28:AK29" si="95">J33/J28</f>
        <v>18.595990024711153</v>
      </c>
      <c r="AL28" s="8">
        <f t="shared" ref="AL28:AL29" si="96">K33/K28</f>
        <v>25.07964938198592</v>
      </c>
      <c r="AM28" s="8">
        <f t="shared" ref="AM28:AM29" si="97">L33/L28</f>
        <v>31.81980515339464</v>
      </c>
      <c r="AN28" s="8">
        <f t="shared" ref="AN28:AN29" si="98">M33/M28</f>
        <v>38.89687556951467</v>
      </c>
      <c r="AO28" s="8">
        <f t="shared" ref="AO28:AO29" si="99">N33/N28</f>
        <v>46.403882515367187</v>
      </c>
      <c r="AP28" s="8">
        <f t="shared" ref="AP28:AP29" si="100">O33/O28</f>
        <v>54.451003471049653</v>
      </c>
      <c r="AQ28" s="8">
        <f t="shared" ref="AQ28:AQ29" si="101">P33/P28</f>
        <v>63.17167199570995</v>
      </c>
      <c r="AR28" s="8">
        <f t="shared" ref="AR28:AR29" si="102">Q33/Q28</f>
        <v>72.730983207759181</v>
      </c>
      <c r="AS28" s="8">
        <f t="shared" ref="AS28:AS29" si="103">R33/R28</f>
        <v>83.33758492555738</v>
      </c>
      <c r="AT28" s="8">
        <f t="shared" ref="AT28:AT29" si="104">S33/S28</f>
        <v>95.260955136981877</v>
      </c>
      <c r="AU28" s="8">
        <f t="shared" ref="AU28:AU29" si="105">T33/T28</f>
        <v>108.85722815635009</v>
      </c>
      <c r="AV28" s="8">
        <f t="shared" ref="AV28:AV29" si="106">U33/U28</f>
        <v>124.60902717413288</v>
      </c>
      <c r="AW28" s="8">
        <f t="shared" ref="AW28:AW29" si="107">V33/V28</f>
        <v>143.18912319027592</v>
      </c>
      <c r="AX28" s="8">
        <f t="shared" ref="AX28:AX29" si="108">W33/W28</f>
        <v>165.56646583880138</v>
      </c>
      <c r="AY28" s="8">
        <f t="shared" ref="AY28:AY29" si="109">X33/X28</f>
        <v>193.19167414561036</v>
      </c>
      <c r="AZ28" s="8">
        <f t="shared" ref="AZ28:AZ29" si="110">Y33/Y28</f>
        <v>228.34145890808119</v>
      </c>
      <c r="BA28" s="8">
        <f t="shared" ref="BA28:BA29" si="111">Z33/Z28</f>
        <v>274.80740814295382</v>
      </c>
      <c r="BB28" s="8">
        <f t="shared" ref="BB28:BB29" si="112">AA33/AA28</f>
        <v>339.41125496954282</v>
      </c>
      <c r="BC28" s="8">
        <f t="shared" ref="BC28:BC29" si="113">AB33/AB28</f>
        <v>435.7929836225789</v>
      </c>
      <c r="BD28" s="8">
        <f t="shared" ref="BD28:BD29" si="114">AC33/AC28</f>
        <v>595.77507521249561</v>
      </c>
      <c r="BE28" s="8">
        <f t="shared" ref="BE28:BE29" si="115">AD33/AD28</f>
        <v>914.81939816009674</v>
      </c>
      <c r="BF28" s="8">
        <f t="shared" ref="BF28:BF29" si="116">AE33/AE28</f>
        <v>1870.2252824852378</v>
      </c>
      <c r="BG28" s="8" t="e">
        <f t="shared" ref="BG28:BG29" si="117">AF33/AF28</f>
        <v>#DIV/0!</v>
      </c>
      <c r="BI28">
        <v>5.0000000000000002E-5</v>
      </c>
      <c r="BJ28" s="8">
        <f t="shared" ref="BJ28:BJ29" si="118">BI28*2</f>
        <v>1E-4</v>
      </c>
      <c r="BK28" s="8">
        <f t="shared" ref="BK28:BK29" si="119">BJ28/(0.5*10^-3)</f>
        <v>0.2</v>
      </c>
      <c r="BL28" s="8">
        <f>'estimates new'!AU74</f>
        <v>0.31578947368421051</v>
      </c>
      <c r="BM28" s="8">
        <f t="shared" ref="BM28:BM29" si="120">BL28-BK28</f>
        <v>0.1157894736842105</v>
      </c>
    </row>
    <row r="29" spans="2:73" x14ac:dyDescent="0.25">
      <c r="G29" s="8">
        <f t="shared" si="66"/>
        <v>0.13528828721681393</v>
      </c>
      <c r="H29" s="8">
        <f t="shared" si="67"/>
        <v>0.13507182595726702</v>
      </c>
      <c r="I29" s="8">
        <f t="shared" si="68"/>
        <v>0.13442244217862634</v>
      </c>
      <c r="J29" s="8">
        <f t="shared" si="69"/>
        <v>0.13334013588089183</v>
      </c>
      <c r="K29" s="8">
        <f t="shared" si="70"/>
        <v>0.1318249070640635</v>
      </c>
      <c r="L29" s="8">
        <f t="shared" si="71"/>
        <v>0.12987675572814136</v>
      </c>
      <c r="M29" s="8">
        <f t="shared" si="72"/>
        <v>0.12749568187312546</v>
      </c>
      <c r="N29" s="8">
        <f t="shared" si="73"/>
        <v>0.12468168549901572</v>
      </c>
      <c r="O29" s="8">
        <f t="shared" si="74"/>
        <v>0.12143476660581218</v>
      </c>
      <c r="P29" s="8">
        <f t="shared" si="75"/>
        <v>0.11775492519351484</v>
      </c>
      <c r="Q29" s="8">
        <f t="shared" si="76"/>
        <v>0.1136421612621237</v>
      </c>
      <c r="R29" s="8">
        <f t="shared" si="77"/>
        <v>0.10909647481163876</v>
      </c>
      <c r="S29" s="8">
        <f t="shared" si="78"/>
        <v>0.10411786584206</v>
      </c>
      <c r="T29" s="8">
        <f t="shared" si="79"/>
        <v>9.8706334353387451E-2</v>
      </c>
      <c r="U29" s="8">
        <f t="shared" si="80"/>
        <v>9.2861880345621067E-2</v>
      </c>
      <c r="V29" s="8">
        <f t="shared" si="81"/>
        <v>8.65845038187609E-2</v>
      </c>
      <c r="W29" s="8">
        <f t="shared" si="82"/>
        <v>7.9874204772806934E-2</v>
      </c>
      <c r="X29" s="8">
        <f t="shared" si="83"/>
        <v>7.2730983207759156E-2</v>
      </c>
      <c r="Y29" s="8">
        <f t="shared" si="84"/>
        <v>6.5154839123617581E-2</v>
      </c>
      <c r="Z29" s="8">
        <f t="shared" si="85"/>
        <v>5.7145772520382193E-2</v>
      </c>
      <c r="AA29" s="8">
        <f t="shared" si="86"/>
        <v>4.8703783398053015E-2</v>
      </c>
      <c r="AB29" s="8">
        <f t="shared" si="87"/>
        <v>3.9828871756630004E-2</v>
      </c>
      <c r="AC29" s="8">
        <f t="shared" si="88"/>
        <v>3.0521037596113212E-2</v>
      </c>
      <c r="AD29" s="8">
        <f t="shared" si="89"/>
        <v>2.0780280916502601E-2</v>
      </c>
      <c r="AE29" s="8">
        <f t="shared" si="90"/>
        <v>1.0606601717798201E-2</v>
      </c>
      <c r="AF29" s="8">
        <f t="shared" si="91"/>
        <v>0</v>
      </c>
      <c r="AG29" s="8"/>
      <c r="AH29" s="8">
        <f t="shared" si="92"/>
        <v>0</v>
      </c>
      <c r="AI29" s="8">
        <f t="shared" si="93"/>
        <v>9.5187451313573703</v>
      </c>
      <c r="AJ29" s="8">
        <f t="shared" si="94"/>
        <v>19.129458814708528</v>
      </c>
      <c r="AK29" s="8">
        <f t="shared" si="95"/>
        <v>28.927095593995123</v>
      </c>
      <c r="AL29" s="8">
        <f t="shared" si="96"/>
        <v>39.012787927533658</v>
      </c>
      <c r="AM29" s="8">
        <f t="shared" si="97"/>
        <v>49.497474683058336</v>
      </c>
      <c r="AN29" s="8">
        <f t="shared" si="98"/>
        <v>60.506250885911705</v>
      </c>
      <c r="AO29" s="8">
        <f t="shared" si="99"/>
        <v>72.183817246126736</v>
      </c>
      <c r="AP29" s="8">
        <f t="shared" si="100"/>
        <v>84.701560954966126</v>
      </c>
      <c r="AQ29" s="8">
        <f t="shared" si="101"/>
        <v>98.267045326659925</v>
      </c>
      <c r="AR29" s="8">
        <f t="shared" si="102"/>
        <v>113.13708498984761</v>
      </c>
      <c r="AS29" s="8">
        <f t="shared" si="103"/>
        <v>129.63624321753372</v>
      </c>
      <c r="AT29" s="8">
        <f t="shared" si="104"/>
        <v>148.18370799086071</v>
      </c>
      <c r="AU29" s="8">
        <f t="shared" si="105"/>
        <v>169.33346602098902</v>
      </c>
      <c r="AV29" s="8">
        <f t="shared" si="106"/>
        <v>193.8362644930956</v>
      </c>
      <c r="AW29" s="8">
        <f t="shared" si="107"/>
        <v>222.73863607376251</v>
      </c>
      <c r="AX29" s="8">
        <f t="shared" si="108"/>
        <v>257.54783574924659</v>
      </c>
      <c r="AY29" s="8">
        <f t="shared" si="109"/>
        <v>300.52038200428279</v>
      </c>
      <c r="AZ29" s="8">
        <f t="shared" si="110"/>
        <v>355.19782496812627</v>
      </c>
      <c r="BA29" s="8">
        <f t="shared" si="111"/>
        <v>427.4781904445947</v>
      </c>
      <c r="BB29" s="8">
        <f t="shared" si="112"/>
        <v>527.9730632859555</v>
      </c>
      <c r="BC29" s="8">
        <f t="shared" si="113"/>
        <v>677.90019674623397</v>
      </c>
      <c r="BD29" s="8">
        <f t="shared" si="114"/>
        <v>926.76122810832646</v>
      </c>
      <c r="BE29" s="8">
        <f t="shared" si="115"/>
        <v>1423.0523971379282</v>
      </c>
      <c r="BF29" s="8">
        <f t="shared" si="116"/>
        <v>2909.2393283103702</v>
      </c>
      <c r="BG29" s="8" t="e">
        <f t="shared" si="117"/>
        <v>#DIV/0!</v>
      </c>
      <c r="BI29">
        <f>0.00003</f>
        <v>3.0000000000000001E-5</v>
      </c>
      <c r="BJ29" s="8">
        <f t="shared" si="118"/>
        <v>6.0000000000000002E-5</v>
      </c>
      <c r="BK29" s="8">
        <f t="shared" si="119"/>
        <v>0.12</v>
      </c>
      <c r="BL29" s="8">
        <f>'estimates new'!AU75</f>
        <v>5.5555555555555552E-2</v>
      </c>
      <c r="BM29" s="8">
        <f t="shared" si="120"/>
        <v>-6.4444444444444443E-2</v>
      </c>
    </row>
    <row r="30" spans="2:73" x14ac:dyDescent="0.25">
      <c r="G30" s="8"/>
      <c r="H30" s="8"/>
      <c r="I30" s="8"/>
      <c r="J30" s="8"/>
      <c r="K30" s="8"/>
      <c r="L30" s="8"/>
      <c r="M30" s="8"/>
      <c r="N30" s="8"/>
      <c r="O30" s="8"/>
      <c r="P30" s="8"/>
      <c r="Q30" s="8"/>
      <c r="R30" s="8"/>
      <c r="S30" s="8"/>
      <c r="T30" s="8"/>
      <c r="U30" s="8"/>
      <c r="V30" s="8"/>
      <c r="W30" s="8"/>
      <c r="X30" s="8"/>
      <c r="Y30" s="8"/>
      <c r="Z30" s="8"/>
      <c r="AA30" s="8"/>
      <c r="AB30" s="8"/>
      <c r="AC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row>
    <row r="31" spans="2:73" x14ac:dyDescent="0.25">
      <c r="G31" s="10" t="s">
        <v>136</v>
      </c>
      <c r="H31" s="8"/>
      <c r="I31" s="8"/>
      <c r="J31" s="8"/>
      <c r="K31" s="8"/>
      <c r="L31" s="8"/>
      <c r="M31" s="8"/>
      <c r="N31" s="8"/>
      <c r="O31" s="8"/>
      <c r="P31" s="8"/>
      <c r="Q31" s="8"/>
      <c r="R31" s="8"/>
      <c r="S31" s="8"/>
      <c r="T31" s="8"/>
      <c r="U31" s="8"/>
      <c r="V31" s="8"/>
      <c r="W31" s="8"/>
    </row>
    <row r="32" spans="2:73" x14ac:dyDescent="0.25">
      <c r="G32" s="8">
        <f>ABS((3*$D$2*2/(4*PI()*$G2*$F$3))*4*B$8/$F$3^2)</f>
        <v>0</v>
      </c>
      <c r="H32" s="8">
        <f t="shared" ref="H32:AF32" si="121">ABS((3*$D$2*2/(4*PI()*$G2*$F$3))*4*C$8/$F$3^2)</f>
        <v>4.5</v>
      </c>
      <c r="I32" s="8">
        <f t="shared" si="121"/>
        <v>9</v>
      </c>
      <c r="J32" s="8">
        <f t="shared" si="121"/>
        <v>13.500000000000004</v>
      </c>
      <c r="K32" s="8">
        <f t="shared" si="121"/>
        <v>18</v>
      </c>
      <c r="L32" s="8">
        <f t="shared" si="121"/>
        <v>22.500000000000004</v>
      </c>
      <c r="M32" s="8">
        <f t="shared" si="121"/>
        <v>27.000000000000004</v>
      </c>
      <c r="N32" s="8">
        <f t="shared" si="121"/>
        <v>31.500000000000007</v>
      </c>
      <c r="O32" s="8">
        <f t="shared" si="121"/>
        <v>36</v>
      </c>
      <c r="P32" s="8">
        <f t="shared" si="121"/>
        <v>40.500000000000007</v>
      </c>
      <c r="Q32" s="8">
        <f t="shared" si="121"/>
        <v>45.000000000000007</v>
      </c>
      <c r="R32" s="8">
        <f t="shared" si="121"/>
        <v>49.500000000000007</v>
      </c>
      <c r="S32" s="8">
        <f t="shared" si="121"/>
        <v>54.000000000000007</v>
      </c>
      <c r="T32" s="8">
        <f t="shared" si="121"/>
        <v>58.500000000000007</v>
      </c>
      <c r="U32" s="8">
        <f t="shared" si="121"/>
        <v>63.000000000000014</v>
      </c>
      <c r="V32" s="8">
        <f t="shared" si="121"/>
        <v>67.500000000000014</v>
      </c>
      <c r="W32" s="8">
        <f t="shared" si="121"/>
        <v>72</v>
      </c>
      <c r="X32" s="8">
        <f t="shared" si="121"/>
        <v>76.5</v>
      </c>
      <c r="Y32" s="8">
        <f t="shared" si="121"/>
        <v>81.000000000000014</v>
      </c>
      <c r="Z32" s="8">
        <f t="shared" si="121"/>
        <v>85.500000000000014</v>
      </c>
      <c r="AA32" s="8">
        <f t="shared" si="121"/>
        <v>90.000000000000014</v>
      </c>
      <c r="AB32" s="8">
        <f t="shared" si="121"/>
        <v>94.500000000000014</v>
      </c>
      <c r="AC32" s="8">
        <f t="shared" si="121"/>
        <v>99.000000000000014</v>
      </c>
      <c r="AD32" s="8">
        <f t="shared" si="121"/>
        <v>103.50000000000001</v>
      </c>
      <c r="AE32" s="8">
        <f t="shared" si="121"/>
        <v>108.00000000000001</v>
      </c>
      <c r="AF32" s="8">
        <f t="shared" si="121"/>
        <v>112.50000000000001</v>
      </c>
    </row>
    <row r="33" spans="7:127" x14ac:dyDescent="0.25">
      <c r="G33" s="8">
        <f t="shared" ref="G33:G34" si="122">ABS((3*$D$2*2/(4*PI()*$G3*$F$3))*4*B$8/$F$3^2)</f>
        <v>0</v>
      </c>
      <c r="H33" s="8">
        <f t="shared" ref="H33:H34" si="123">ABS((3*$D$2*2/(4*PI()*$G3*$F$3))*4*C$8/$F$3^2)</f>
        <v>2</v>
      </c>
      <c r="I33" s="8">
        <f t="shared" ref="I33:I34" si="124">ABS((3*$D$2*2/(4*PI()*$G3*$F$3))*4*D$8/$F$3^2)</f>
        <v>4</v>
      </c>
      <c r="J33" s="8">
        <f t="shared" ref="J33:J34" si="125">ABS((3*$D$2*2/(4*PI()*$G3*$F$3))*4*E$8/$F$3^2)</f>
        <v>6</v>
      </c>
      <c r="K33" s="8">
        <f t="shared" ref="K33:K34" si="126">ABS((3*$D$2*2/(4*PI()*$G3*$F$3))*4*F$8/$F$3^2)</f>
        <v>8</v>
      </c>
      <c r="L33" s="8">
        <f t="shared" ref="L33:L34" si="127">ABS((3*$D$2*2/(4*PI()*$G3*$F$3))*4*G$8/$F$3^2)</f>
        <v>10</v>
      </c>
      <c r="M33" s="8">
        <f t="shared" ref="M33:M34" si="128">ABS((3*$D$2*2/(4*PI()*$G3*$F$3))*4*H$8/$F$3^2)</f>
        <v>12</v>
      </c>
      <c r="N33" s="8">
        <f t="shared" ref="N33:N34" si="129">ABS((3*$D$2*2/(4*PI()*$G3*$F$3))*4*I$8/$F$3^2)</f>
        <v>14</v>
      </c>
      <c r="O33" s="8">
        <f t="shared" ref="O33:O34" si="130">ABS((3*$D$2*2/(4*PI()*$G3*$F$3))*4*J$8/$F$3^2)</f>
        <v>16</v>
      </c>
      <c r="P33" s="8">
        <f t="shared" ref="P33:P34" si="131">ABS((3*$D$2*2/(4*PI()*$G3*$F$3))*4*K$8/$F$3^2)</f>
        <v>18</v>
      </c>
      <c r="Q33" s="8">
        <f t="shared" ref="Q33:Q34" si="132">ABS((3*$D$2*2/(4*PI()*$G3*$F$3))*4*L$8/$F$3^2)</f>
        <v>20</v>
      </c>
      <c r="R33" s="8">
        <f t="shared" ref="R33:R34" si="133">ABS((3*$D$2*2/(4*PI()*$G3*$F$3))*4*M$8/$F$3^2)</f>
        <v>22</v>
      </c>
      <c r="S33" s="8">
        <f t="shared" ref="S33:S34" si="134">ABS((3*$D$2*2/(4*PI()*$G3*$F$3))*4*N$8/$F$3^2)</f>
        <v>24</v>
      </c>
      <c r="T33" s="8">
        <f t="shared" ref="T33:T34" si="135">ABS((3*$D$2*2/(4*PI()*$G3*$F$3))*4*O$8/$F$3^2)</f>
        <v>26.000000000000004</v>
      </c>
      <c r="U33" s="8">
        <f t="shared" ref="U33:U34" si="136">ABS((3*$D$2*2/(4*PI()*$G3*$F$3))*4*P$8/$F$3^2)</f>
        <v>28</v>
      </c>
      <c r="V33" s="8">
        <f t="shared" ref="V33:V34" si="137">ABS((3*$D$2*2/(4*PI()*$G3*$F$3))*4*Q$8/$F$3^2)</f>
        <v>30.000000000000004</v>
      </c>
      <c r="W33" s="8">
        <f t="shared" ref="W33:W34" si="138">ABS((3*$D$2*2/(4*PI()*$G3*$F$3))*4*R$8/$F$3^2)</f>
        <v>32</v>
      </c>
      <c r="X33" s="8">
        <f t="shared" ref="X33:X34" si="139">ABS((3*$D$2*2/(4*PI()*$G3*$F$3))*4*S$8/$F$3^2)</f>
        <v>34</v>
      </c>
      <c r="Y33" s="8">
        <f t="shared" ref="Y33:Y34" si="140">ABS((3*$D$2*2/(4*PI()*$G3*$F$3))*4*T$8/$F$3^2)</f>
        <v>36</v>
      </c>
      <c r="Z33" s="8">
        <f t="shared" ref="Z33:Z34" si="141">ABS((3*$D$2*2/(4*PI()*$G3*$F$3))*4*U$8/$F$3^2)</f>
        <v>38.000000000000007</v>
      </c>
      <c r="AA33" s="8">
        <f t="shared" ref="AA33:AA34" si="142">ABS((3*$D$2*2/(4*PI()*$G3*$F$3))*4*V$8/$F$3^2)</f>
        <v>40</v>
      </c>
      <c r="AB33" s="8">
        <f t="shared" ref="AB33:AB34" si="143">ABS((3*$D$2*2/(4*PI()*$G3*$F$3))*4*W$8/$F$3^2)</f>
        <v>42</v>
      </c>
      <c r="AC33" s="8">
        <f t="shared" ref="AC33:AC34" si="144">ABS((3*$D$2*2/(4*PI()*$G3*$F$3))*4*X$8/$F$3^2)</f>
        <v>44</v>
      </c>
      <c r="AD33" s="8">
        <f t="shared" ref="AD33:AD34" si="145">ABS((3*$D$2*2/(4*PI()*$G3*$F$3))*4*Y$8/$F$3^2)</f>
        <v>46</v>
      </c>
      <c r="AE33" s="8">
        <f t="shared" ref="AE33:AE34" si="146">ABS((3*$D$2*2/(4*PI()*$G3*$F$3))*4*Z$8/$F$3^2)</f>
        <v>48</v>
      </c>
      <c r="AF33" s="8">
        <f t="shared" ref="AF33:AF34" si="147">ABS((3*$D$2*2/(4*PI()*$G3*$F$3))*4*AA$8/$F$3^2)</f>
        <v>50</v>
      </c>
    </row>
    <row r="34" spans="7:127" x14ac:dyDescent="0.25">
      <c r="G34" s="8">
        <f t="shared" si="122"/>
        <v>0</v>
      </c>
      <c r="H34" s="8">
        <f t="shared" si="123"/>
        <v>1.2857142857142856</v>
      </c>
      <c r="I34" s="8">
        <f t="shared" si="124"/>
        <v>2.5714285714285712</v>
      </c>
      <c r="J34" s="8">
        <f t="shared" si="125"/>
        <v>3.8571428571428572</v>
      </c>
      <c r="K34" s="8">
        <f t="shared" si="126"/>
        <v>5.1428571428571423</v>
      </c>
      <c r="L34" s="8">
        <f t="shared" si="127"/>
        <v>6.4285714285714288</v>
      </c>
      <c r="M34" s="8">
        <f t="shared" si="128"/>
        <v>7.7142857142857144</v>
      </c>
      <c r="N34" s="8">
        <f t="shared" si="129"/>
        <v>9</v>
      </c>
      <c r="O34" s="8">
        <f t="shared" si="130"/>
        <v>10.285714285714285</v>
      </c>
      <c r="P34" s="8">
        <f t="shared" si="131"/>
        <v>11.571428571428571</v>
      </c>
      <c r="Q34" s="8">
        <f t="shared" si="132"/>
        <v>12.857142857142858</v>
      </c>
      <c r="R34" s="8">
        <f t="shared" si="133"/>
        <v>14.142857142857142</v>
      </c>
      <c r="S34" s="8">
        <f t="shared" si="134"/>
        <v>15.428571428571429</v>
      </c>
      <c r="T34" s="8">
        <f t="shared" si="135"/>
        <v>16.714285714285715</v>
      </c>
      <c r="U34" s="8">
        <f t="shared" si="136"/>
        <v>18</v>
      </c>
      <c r="V34" s="8">
        <f t="shared" si="137"/>
        <v>19.285714285714285</v>
      </c>
      <c r="W34" s="8">
        <f t="shared" si="138"/>
        <v>20.571428571428569</v>
      </c>
      <c r="X34" s="8">
        <f t="shared" si="139"/>
        <v>21.857142857142858</v>
      </c>
      <c r="Y34" s="8">
        <f t="shared" si="140"/>
        <v>23.142857142857142</v>
      </c>
      <c r="Z34" s="8">
        <f t="shared" si="141"/>
        <v>24.428571428571427</v>
      </c>
      <c r="AA34" s="8">
        <f t="shared" si="142"/>
        <v>25.714285714285715</v>
      </c>
      <c r="AB34" s="8">
        <f t="shared" si="143"/>
        <v>27</v>
      </c>
      <c r="AC34" s="8">
        <f t="shared" si="144"/>
        <v>28.285714285714285</v>
      </c>
      <c r="AD34" s="8">
        <f t="shared" si="145"/>
        <v>29.571428571428569</v>
      </c>
      <c r="AE34" s="8">
        <f t="shared" si="146"/>
        <v>30.857142857142858</v>
      </c>
      <c r="AF34" s="8">
        <f t="shared" si="147"/>
        <v>32.142857142857139</v>
      </c>
    </row>
    <row r="37" spans="7:127" x14ac:dyDescent="0.25">
      <c r="G37" s="10" t="s">
        <v>132</v>
      </c>
      <c r="H37" s="10"/>
      <c r="I37" s="8"/>
      <c r="J37" s="8"/>
      <c r="K37" s="8"/>
      <c r="L37" s="8"/>
      <c r="M37" s="8"/>
      <c r="N37" s="8"/>
      <c r="O37" s="8"/>
      <c r="P37" s="8"/>
      <c r="Q37" s="8"/>
      <c r="R37" s="8"/>
      <c r="S37" s="8"/>
      <c r="T37" s="8"/>
      <c r="U37" s="8"/>
      <c r="V37" s="8"/>
      <c r="W37" s="8"/>
    </row>
    <row r="38" spans="7:127" x14ac:dyDescent="0.25">
      <c r="G38" s="10" t="s">
        <v>141</v>
      </c>
      <c r="H38" s="10"/>
      <c r="I38" s="8"/>
      <c r="J38" s="8"/>
      <c r="K38" s="8"/>
      <c r="L38" s="8"/>
      <c r="M38" s="8"/>
      <c r="N38" s="8"/>
      <c r="O38" s="8"/>
      <c r="P38" s="8"/>
      <c r="Q38" s="8"/>
      <c r="R38" s="8"/>
      <c r="S38" s="8"/>
      <c r="T38" s="8"/>
      <c r="U38" s="8"/>
      <c r="V38" s="8"/>
      <c r="W38" s="8"/>
    </row>
    <row r="39" spans="7:127" x14ac:dyDescent="0.25">
      <c r="G39" s="10" t="s">
        <v>137</v>
      </c>
      <c r="H39" s="10"/>
      <c r="I39" s="8"/>
      <c r="J39" s="8"/>
      <c r="K39" s="8"/>
      <c r="L39" s="8"/>
      <c r="M39" s="8"/>
      <c r="N39" s="8"/>
      <c r="O39" s="8"/>
      <c r="P39" s="8"/>
      <c r="Q39" s="8"/>
      <c r="R39" s="8"/>
      <c r="S39" s="8"/>
      <c r="T39" s="8"/>
      <c r="U39" s="8"/>
      <c r="V39" s="8"/>
      <c r="W39" s="8"/>
      <c r="BG39" t="s">
        <v>143</v>
      </c>
      <c r="DG39" t="s">
        <v>158</v>
      </c>
      <c r="DH39" t="s">
        <v>157</v>
      </c>
      <c r="DI39" t="s">
        <v>106</v>
      </c>
      <c r="DJ39" t="s">
        <v>160</v>
      </c>
      <c r="DK39" t="s">
        <v>72</v>
      </c>
    </row>
    <row r="40" spans="7:127" x14ac:dyDescent="0.25">
      <c r="G40" s="8">
        <f>ABS(SQRT(2)*(3*$D$2*2/(8*PI()*$F$4*$G2^2))*(1-B$8^2/($F$4/2)^2))</f>
        <v>0.82864075920298541</v>
      </c>
      <c r="H40" s="8">
        <f t="shared" ref="H40:BE40" si="148">ABS(SQRT(2)*(3*$D$2*2/(8*PI()*$F$4*$G2^2))*(1-C$8^2/($F$4/2)^2))</f>
        <v>0.82830930289930427</v>
      </c>
      <c r="I40" s="8">
        <f t="shared" si="148"/>
        <v>0.82731493398826061</v>
      </c>
      <c r="J40" s="8">
        <f t="shared" si="148"/>
        <v>0.82565765246985467</v>
      </c>
      <c r="K40" s="8">
        <f t="shared" si="148"/>
        <v>0.82333745834408634</v>
      </c>
      <c r="L40" s="8">
        <f t="shared" si="148"/>
        <v>0.8203543516109556</v>
      </c>
      <c r="M40" s="8">
        <f t="shared" si="148"/>
        <v>0.81670833227046247</v>
      </c>
      <c r="N40" s="8">
        <f t="shared" si="148"/>
        <v>0.81239940032260693</v>
      </c>
      <c r="O40" s="8">
        <f t="shared" si="148"/>
        <v>0.807427555767389</v>
      </c>
      <c r="P40" s="8">
        <f t="shared" si="148"/>
        <v>0.80179279860480868</v>
      </c>
      <c r="Q40" s="8">
        <f t="shared" si="148"/>
        <v>0.79549512883486595</v>
      </c>
      <c r="R40" s="8">
        <f t="shared" si="148"/>
        <v>0.78853454645756094</v>
      </c>
      <c r="S40" s="8">
        <f t="shared" si="148"/>
        <v>0.78091105147289341</v>
      </c>
      <c r="T40" s="8">
        <f t="shared" si="148"/>
        <v>0.7726246438808636</v>
      </c>
      <c r="U40" s="8">
        <f t="shared" si="148"/>
        <v>0.76367532368147129</v>
      </c>
      <c r="V40" s="8">
        <f t="shared" si="148"/>
        <v>0.75406309087471679</v>
      </c>
      <c r="W40" s="8">
        <f t="shared" si="148"/>
        <v>0.74378794546059968</v>
      </c>
      <c r="X40" s="8">
        <f t="shared" si="148"/>
        <v>0.73284988743912027</v>
      </c>
      <c r="Y40" s="8">
        <f t="shared" si="148"/>
        <v>0.72124891681027847</v>
      </c>
      <c r="Z40" s="8">
        <f t="shared" si="148"/>
        <v>0.70898503357407427</v>
      </c>
      <c r="AA40" s="8">
        <f t="shared" si="148"/>
        <v>0.69605823773050768</v>
      </c>
      <c r="AB40" s="8">
        <f t="shared" si="148"/>
        <v>0.68246852927957879</v>
      </c>
      <c r="AC40" s="8">
        <f t="shared" si="148"/>
        <v>0.6682159082212874</v>
      </c>
      <c r="AD40" s="8">
        <f t="shared" si="148"/>
        <v>0.65330037455563372</v>
      </c>
      <c r="AE40" s="8">
        <f t="shared" si="148"/>
        <v>0.63772192828261753</v>
      </c>
      <c r="AF40" s="8">
        <f t="shared" si="148"/>
        <v>0.62148056940223906</v>
      </c>
      <c r="AG40" s="8">
        <f t="shared" si="148"/>
        <v>0.60457629791449818</v>
      </c>
      <c r="AH40" s="8">
        <f t="shared" si="148"/>
        <v>0.5870091138193948</v>
      </c>
      <c r="AI40" s="8">
        <f t="shared" si="148"/>
        <v>0.56877901711692902</v>
      </c>
      <c r="AJ40" s="8">
        <f t="shared" si="148"/>
        <v>0.54988600780710095</v>
      </c>
      <c r="AK40" s="8">
        <f t="shared" si="148"/>
        <v>0.53033008588991037</v>
      </c>
      <c r="AL40" s="8">
        <f t="shared" si="148"/>
        <v>0.51011125136535751</v>
      </c>
      <c r="AM40" s="8">
        <f t="shared" si="148"/>
        <v>0.48922950423344214</v>
      </c>
      <c r="AN40" s="8">
        <f t="shared" si="148"/>
        <v>0.46768484449416442</v>
      </c>
      <c r="AO40" s="8">
        <f t="shared" si="148"/>
        <v>0.44547727214752447</v>
      </c>
      <c r="AP40" s="8">
        <f t="shared" si="148"/>
        <v>0.42260678719352202</v>
      </c>
      <c r="AQ40" s="8">
        <f t="shared" si="148"/>
        <v>0.39907338963215705</v>
      </c>
      <c r="AR40" s="8">
        <f t="shared" si="148"/>
        <v>0.3748770794634298</v>
      </c>
      <c r="AS40" s="8">
        <f t="shared" si="148"/>
        <v>0.35001785668734009</v>
      </c>
      <c r="AT40" s="8">
        <f t="shared" si="148"/>
        <v>0.32449572130388815</v>
      </c>
      <c r="AU40" s="8">
        <f t="shared" si="148"/>
        <v>0.29831067331307365</v>
      </c>
      <c r="AV40" s="8">
        <f t="shared" si="148"/>
        <v>0.2714627127148968</v>
      </c>
      <c r="AW40" s="8">
        <f t="shared" si="148"/>
        <v>0.24395183950935762</v>
      </c>
      <c r="AX40" s="8">
        <f t="shared" si="148"/>
        <v>0.215778053696456</v>
      </c>
      <c r="AY40" s="8">
        <f t="shared" si="148"/>
        <v>0.18694135527619204</v>
      </c>
      <c r="AZ40" s="8">
        <f t="shared" si="148"/>
        <v>0.15744174424856561</v>
      </c>
      <c r="BA40" s="8">
        <f t="shared" si="148"/>
        <v>0.12727922061357677</v>
      </c>
      <c r="BB40" s="8">
        <f t="shared" si="148"/>
        <v>9.645378437122562E-2</v>
      </c>
      <c r="BC40" s="8">
        <f t="shared" si="148"/>
        <v>6.4965435521512058E-2</v>
      </c>
      <c r="BD40" s="8">
        <f t="shared" si="148"/>
        <v>3.2814174064436173E-2</v>
      </c>
      <c r="BE40" s="8">
        <f t="shared" si="148"/>
        <v>2.2079425200240588E-15</v>
      </c>
      <c r="BF40" s="8"/>
      <c r="BG40" s="8">
        <f>G45/G40</f>
        <v>0</v>
      </c>
      <c r="BH40" s="8">
        <f t="shared" ref="BH40:DE40" si="149">H45/H40</f>
        <v>0.67909414759812481</v>
      </c>
      <c r="BI40" s="8">
        <f t="shared" si="149"/>
        <v>1.359820733051053</v>
      </c>
      <c r="BJ40" s="8">
        <f t="shared" si="149"/>
        <v>2.0438253009004992</v>
      </c>
      <c r="BK40" s="8">
        <f t="shared" si="149"/>
        <v>2.7327798306726474</v>
      </c>
      <c r="BL40" s="8">
        <f t="shared" si="149"/>
        <v>3.4283965148438669</v>
      </c>
      <c r="BM40" s="8">
        <f t="shared" si="149"/>
        <v>4.1324422277135895</v>
      </c>
      <c r="BN40" s="8">
        <f t="shared" si="149"/>
        <v>4.8467539469334966</v>
      </c>
      <c r="BO40" s="8">
        <f t="shared" si="149"/>
        <v>5.5732554182190936</v>
      </c>
      <c r="BP40" s="8">
        <f t="shared" si="149"/>
        <v>6.3139753921576807</v>
      </c>
      <c r="BQ40" s="8">
        <f t="shared" si="149"/>
        <v>7.0710678118654764</v>
      </c>
      <c r="BR40" s="8">
        <f t="shared" si="149"/>
        <v>7.8468343939995195</v>
      </c>
      <c r="BS40" s="8">
        <f t="shared" si="149"/>
        <v>8.6437501265588157</v>
      </c>
      <c r="BT40" s="8">
        <f t="shared" si="149"/>
        <v>9.4644923093180111</v>
      </c>
      <c r="BU40" s="8">
        <f t="shared" si="149"/>
        <v>10.31197389230382</v>
      </c>
      <c r="BV40" s="8">
        <f t="shared" si="149"/>
        <v>11.189382031962952</v>
      </c>
      <c r="BW40" s="8">
        <f t="shared" si="149"/>
        <v>12.100222993566589</v>
      </c>
      <c r="BX40" s="8">
        <f t="shared" si="149"/>
        <v>13.048374795301283</v>
      </c>
      <c r="BY40" s="8">
        <f t="shared" si="149"/>
        <v>14.038149332379991</v>
      </c>
      <c r="BZ40" s="8">
        <f t="shared" si="149"/>
        <v>15.07436616274267</v>
      </c>
      <c r="CA40" s="8">
        <f t="shared" si="149"/>
        <v>16.162440712835377</v>
      </c>
      <c r="CB40" s="8">
        <f t="shared" si="149"/>
        <v>17.308490418553667</v>
      </c>
      <c r="CC40" s="8">
        <f t="shared" si="149"/>
        <v>18.519463316790532</v>
      </c>
      <c r="CD40" s="8">
        <f t="shared" si="149"/>
        <v>19.803294937340144</v>
      </c>
      <c r="CE40" s="8">
        <f t="shared" si="149"/>
        <v>21.169101141551529</v>
      </c>
      <c r="CF40" s="8">
        <f t="shared" si="149"/>
        <v>22.627416997969522</v>
      </c>
      <c r="CG40" s="8">
        <f t="shared" si="149"/>
        <v>24.190495145855575</v>
      </c>
      <c r="CH40" s="8">
        <f t="shared" si="149"/>
        <v>25.872681773511175</v>
      </c>
      <c r="CI40" s="8">
        <f t="shared" si="149"/>
        <v>27.690894927585099</v>
      </c>
      <c r="CJ40" s="8">
        <f t="shared" si="149"/>
        <v>29.665239283052287</v>
      </c>
      <c r="CK40" s="8">
        <f t="shared" si="149"/>
        <v>31.819805153394668</v>
      </c>
      <c r="CL40" s="8">
        <f t="shared" si="149"/>
        <v>34.183719636308773</v>
      </c>
      <c r="CM40" s="8">
        <f t="shared" si="149"/>
        <v>36.792547964178134</v>
      </c>
      <c r="CN40" s="8">
        <f t="shared" si="149"/>
        <v>39.690189277090482</v>
      </c>
      <c r="CO40" s="8">
        <f t="shared" si="149"/>
        <v>42.93148314346903</v>
      </c>
      <c r="CP40" s="8">
        <f t="shared" si="149"/>
        <v>46.585858525231458</v>
      </c>
      <c r="CQ40" s="8">
        <f t="shared" si="149"/>
        <v>50.742546424018165</v>
      </c>
      <c r="CR40" s="8">
        <f t="shared" si="149"/>
        <v>55.518198204567291</v>
      </c>
      <c r="CS40" s="8">
        <f t="shared" si="149"/>
        <v>61.068312920656602</v>
      </c>
      <c r="CT40" s="8">
        <f t="shared" si="149"/>
        <v>67.604897567988871</v>
      </c>
      <c r="CU40" s="8">
        <f t="shared" si="149"/>
        <v>75.424723326565413</v>
      </c>
      <c r="CV40" s="8">
        <f t="shared" si="149"/>
        <v>84.95641913157101</v>
      </c>
      <c r="CW40" s="8">
        <f t="shared" si="149"/>
        <v>96.842885249462554</v>
      </c>
      <c r="CX40" s="8">
        <f t="shared" si="149"/>
        <v>112.09434687934295</v>
      </c>
      <c r="CY40" s="8">
        <f t="shared" si="149"/>
        <v>132.39446115833348</v>
      </c>
      <c r="CZ40" s="8">
        <f t="shared" si="149"/>
        <v>160.7737523539958</v>
      </c>
      <c r="DA40" s="8">
        <f t="shared" si="149"/>
        <v>203.29319959113553</v>
      </c>
      <c r="DB40" s="8">
        <f t="shared" si="149"/>
        <v>274.09499971767775</v>
      </c>
      <c r="DC40" s="8">
        <f t="shared" si="149"/>
        <v>415.60561833006579</v>
      </c>
      <c r="DD40" s="8">
        <f t="shared" si="149"/>
        <v>839.95714613680093</v>
      </c>
      <c r="DE40" s="8">
        <f t="shared" si="149"/>
        <v>1.2738103345051562E+16</v>
      </c>
      <c r="DF40" s="8"/>
      <c r="DG40" s="8">
        <f>0.0003</f>
        <v>2.9999999999999997E-4</v>
      </c>
      <c r="DH40" s="8">
        <f>DG40*2</f>
        <v>5.9999999999999995E-4</v>
      </c>
      <c r="DI40" s="8">
        <f>DH40/(1*10^-3)</f>
        <v>0.6</v>
      </c>
      <c r="DJ40" s="8">
        <f>'estimates new'!AU61</f>
        <v>0.39285714285714285</v>
      </c>
      <c r="DK40" s="8">
        <f>DJ40-DI40</f>
        <v>-0.20714285714285713</v>
      </c>
      <c r="DL40" s="8"/>
      <c r="DM40" s="8"/>
      <c r="DN40" s="8"/>
      <c r="DO40" s="8"/>
      <c r="DP40" s="8"/>
      <c r="DQ40" s="8"/>
      <c r="DR40" s="8"/>
      <c r="DS40" s="8"/>
      <c r="DT40" s="8"/>
      <c r="DU40" s="8"/>
      <c r="DV40" s="8"/>
      <c r="DW40" s="8"/>
    </row>
    <row r="41" spans="7:127" x14ac:dyDescent="0.25">
      <c r="G41" s="8">
        <f t="shared" ref="G41:G42" si="150">ABS(SQRT(2)*(3*$D$2*2/(8*PI()*$F$4*$G3^2))*(1-B$8^2/($F$4/2)^2))</f>
        <v>0.16368212527466378</v>
      </c>
      <c r="H41" s="8">
        <f t="shared" ref="H41:H42" si="151">ABS(SQRT(2)*(3*$D$2*2/(8*PI()*$F$4*$G3^2))*(1-C$8^2/($F$4/2)^2))</f>
        <v>0.16361665242455392</v>
      </c>
      <c r="I41" s="8">
        <f t="shared" ref="I41:I42" si="152">ABS(SQRT(2)*(3*$D$2*2/(8*PI()*$F$4*$G3^2))*(1-D$8^2/($F$4/2)^2))</f>
        <v>0.1634202338742243</v>
      </c>
      <c r="J41" s="8">
        <f t="shared" ref="J41:J42" si="153">ABS(SQRT(2)*(3*$D$2*2/(8*PI()*$F$4*$G3^2))*(1-E$8^2/($F$4/2)^2))</f>
        <v>0.16309286962367497</v>
      </c>
      <c r="K41" s="8">
        <f t="shared" ref="K41:K42" si="154">ABS(SQRT(2)*(3*$D$2*2/(8*PI()*$F$4*$G3^2))*(1-F$8^2/($F$4/2)^2))</f>
        <v>0.16263455967290594</v>
      </c>
      <c r="L41" s="8">
        <f t="shared" ref="L41:L42" si="155">ABS(SQRT(2)*(3*$D$2*2/(8*PI()*$F$4*$G3^2))*(1-G$8^2/($F$4/2)^2))</f>
        <v>0.16204530402191714</v>
      </c>
      <c r="M41" s="8">
        <f t="shared" ref="M41:M42" si="156">ABS(SQRT(2)*(3*$D$2*2/(8*PI()*$F$4*$G3^2))*(1-H$8^2/($F$4/2)^2))</f>
        <v>0.16132510267070863</v>
      </c>
      <c r="N41" s="8">
        <f t="shared" ref="N41:N42" si="157">ABS(SQRT(2)*(3*$D$2*2/(8*PI()*$F$4*$G3^2))*(1-I$8^2/($F$4/2)^2))</f>
        <v>0.16047395561928038</v>
      </c>
      <c r="O41" s="8">
        <f t="shared" ref="O41:O42" si="158">ABS(SQRT(2)*(3*$D$2*2/(8*PI()*$F$4*$G3^2))*(1-J$8^2/($F$4/2)^2))</f>
        <v>0.15949186286763239</v>
      </c>
      <c r="P41" s="8">
        <f t="shared" ref="P41:P42" si="159">ABS(SQRT(2)*(3*$D$2*2/(8*PI()*$F$4*$G3^2))*(1-K$8^2/($F$4/2)^2))</f>
        <v>0.15837882441576467</v>
      </c>
      <c r="Q41" s="8">
        <f t="shared" ref="Q41:Q42" si="160">ABS(SQRT(2)*(3*$D$2*2/(8*PI()*$F$4*$G3^2))*(1-L$8^2/($F$4/2)^2))</f>
        <v>0.15713484026367722</v>
      </c>
      <c r="R41" s="8">
        <f t="shared" ref="R41:R42" si="161">ABS(SQRT(2)*(3*$D$2*2/(8*PI()*$F$4*$G3^2))*(1-M$8^2/($F$4/2)^2))</f>
        <v>0.15575991041137005</v>
      </c>
      <c r="S41" s="8">
        <f t="shared" ref="S41:S42" si="162">ABS(SQRT(2)*(3*$D$2*2/(8*PI()*$F$4*$G3^2))*(1-N$8^2/($F$4/2)^2))</f>
        <v>0.15425403485884315</v>
      </c>
      <c r="T41" s="8">
        <f t="shared" ref="T41:T42" si="163">ABS(SQRT(2)*(3*$D$2*2/(8*PI()*$F$4*$G3^2))*(1-O$8^2/($F$4/2)^2))</f>
        <v>0.15261721360609651</v>
      </c>
      <c r="U41" s="8">
        <f t="shared" ref="U41:U42" si="164">ABS(SQRT(2)*(3*$D$2*2/(8*PI()*$F$4*$G3^2))*(1-P$8^2/($F$4/2)^2))</f>
        <v>0.15084944665313013</v>
      </c>
      <c r="V41" s="8">
        <f t="shared" ref="V41:V42" si="165">ABS(SQRT(2)*(3*$D$2*2/(8*PI()*$F$4*$G3^2))*(1-Q$8^2/($F$4/2)^2))</f>
        <v>0.14895073399994405</v>
      </c>
      <c r="W41" s="8">
        <f t="shared" ref="W41:W42" si="166">ABS(SQRT(2)*(3*$D$2*2/(8*PI()*$F$4*$G3^2))*(1-R$8^2/($F$4/2)^2))</f>
        <v>0.1469210756465382</v>
      </c>
      <c r="X41" s="8">
        <f t="shared" ref="X41:X42" si="167">ABS(SQRT(2)*(3*$D$2*2/(8*PI()*$F$4*$G3^2))*(1-S$8^2/($F$4/2)^2))</f>
        <v>0.14476047159291264</v>
      </c>
      <c r="Y41" s="8">
        <f t="shared" ref="Y41:Y42" si="168">ABS(SQRT(2)*(3*$D$2*2/(8*PI()*$F$4*$G3^2))*(1-T$8^2/($F$4/2)^2))</f>
        <v>0.14246892183906734</v>
      </c>
      <c r="Z41" s="8">
        <f t="shared" ref="Z41:Z42" si="169">ABS(SQRT(2)*(3*$D$2*2/(8*PI()*$F$4*$G3^2))*(1-U$8^2/($F$4/2)^2))</f>
        <v>0.14004642638500231</v>
      </c>
      <c r="AA41" s="8">
        <f t="shared" ref="AA41:AA42" si="170">ABS(SQRT(2)*(3*$D$2*2/(8*PI()*$F$4*$G3^2))*(1-V$8^2/($F$4/2)^2))</f>
        <v>0.13749298523071757</v>
      </c>
      <c r="AB41" s="8">
        <f t="shared" ref="AB41:AB42" si="171">ABS(SQRT(2)*(3*$D$2*2/(8*PI()*$F$4*$G3^2))*(1-W$8^2/($F$4/2)^2))</f>
        <v>0.13480859837621309</v>
      </c>
      <c r="AC41" s="8">
        <f t="shared" ref="AC41:AC42" si="172">ABS(SQRT(2)*(3*$D$2*2/(8*PI()*$F$4*$G3^2))*(1-X$8^2/($F$4/2)^2))</f>
        <v>0.13199326582148888</v>
      </c>
      <c r="AD41" s="8">
        <f t="shared" ref="AD41:AD42" si="173">ABS(SQRT(2)*(3*$D$2*2/(8*PI()*$F$4*$G3^2))*(1-Y$8^2/($F$4/2)^2))</f>
        <v>0.12904698756654492</v>
      </c>
      <c r="AE41" s="8">
        <f t="shared" ref="AE41:AE42" si="174">ABS(SQRT(2)*(3*$D$2*2/(8*PI()*$F$4*$G3^2))*(1-Z$8^2/($F$4/2)^2))</f>
        <v>0.12596976361138124</v>
      </c>
      <c r="AF41" s="8">
        <f t="shared" ref="AF41:AF42" si="175">ABS(SQRT(2)*(3*$D$2*2/(8*PI()*$F$4*$G3^2))*(1-AA$8^2/($F$4/2)^2))</f>
        <v>0.12276159395599784</v>
      </c>
      <c r="AG41" s="8">
        <f t="shared" ref="AG41:AG42" si="176">ABS(SQRT(2)*(3*$D$2*2/(8*PI()*$F$4*$G3^2))*(1-AB$8^2/($F$4/2)^2))</f>
        <v>0.11942247860039469</v>
      </c>
      <c r="AH41" s="8">
        <f t="shared" ref="AH41:AH42" si="177">ABS(SQRT(2)*(3*$D$2*2/(8*PI()*$F$4*$G3^2))*(1-AC$8^2/($F$4/2)^2))</f>
        <v>0.11595241754457181</v>
      </c>
      <c r="AI41" s="8">
        <f t="shared" ref="AI41:AI42" si="178">ABS(SQRT(2)*(3*$D$2*2/(8*PI()*$F$4*$G3^2))*(1-AD$8^2/($F$4/2)^2))</f>
        <v>0.11235141078852919</v>
      </c>
      <c r="AJ41" s="8">
        <f t="shared" ref="AJ41:AJ42" si="179">ABS(SQRT(2)*(3*$D$2*2/(8*PI()*$F$4*$G3^2))*(1-AE$8^2/($F$4/2)^2))</f>
        <v>0.10861945833226684</v>
      </c>
      <c r="AK41" s="8">
        <f t="shared" ref="AK41:AK42" si="180">ABS(SQRT(2)*(3*$D$2*2/(8*PI()*$F$4*$G3^2))*(1-AF$8^2/($F$4/2)^2))</f>
        <v>0.10475656017578476</v>
      </c>
      <c r="AL41" s="8">
        <f t="shared" ref="AL41:AL42" si="181">ABS(SQRT(2)*(3*$D$2*2/(8*PI()*$F$4*$G3^2))*(1-AG$8^2/($F$4/2)^2))</f>
        <v>0.10076271631908296</v>
      </c>
      <c r="AM41" s="8">
        <f t="shared" ref="AM41:AM42" si="182">ABS(SQRT(2)*(3*$D$2*2/(8*PI()*$F$4*$G3^2))*(1-AH$8^2/($F$4/2)^2))</f>
        <v>9.6637926762161402E-2</v>
      </c>
      <c r="AN41" s="8">
        <f t="shared" ref="AN41:AN42" si="183">ABS(SQRT(2)*(3*$D$2*2/(8*PI()*$F$4*$G3^2))*(1-AI$8^2/($F$4/2)^2))</f>
        <v>9.2382191505020125E-2</v>
      </c>
      <c r="AO41" s="8">
        <f t="shared" ref="AO41:AO42" si="184">ABS(SQRT(2)*(3*$D$2*2/(8*PI()*$F$4*$G3^2))*(1-AJ$8^2/($F$4/2)^2))</f>
        <v>8.7995510547659153E-2</v>
      </c>
      <c r="AP41" s="8">
        <f t="shared" ref="AP41:AP42" si="185">ABS(SQRT(2)*(3*$D$2*2/(8*PI()*$F$4*$G3^2))*(1-AK$8^2/($F$4/2)^2))</f>
        <v>8.3477883890078416E-2</v>
      </c>
      <c r="AQ41" s="8">
        <f t="shared" ref="AQ41:AQ42" si="186">ABS(SQRT(2)*(3*$D$2*2/(8*PI()*$F$4*$G3^2))*(1-AL$8^2/($F$4/2)^2))</f>
        <v>7.8829311532277929E-2</v>
      </c>
      <c r="AR41" s="8">
        <f t="shared" ref="AR41:AR42" si="187">ABS(SQRT(2)*(3*$D$2*2/(8*PI()*$F$4*$G3^2))*(1-AM$8^2/($F$4/2)^2))</f>
        <v>7.4049793474257733E-2</v>
      </c>
      <c r="AS41" s="8">
        <f t="shared" ref="AS41:AS42" si="188">ABS(SQRT(2)*(3*$D$2*2/(8*PI()*$F$4*$G3^2))*(1-AN$8^2/($F$4/2)^2))</f>
        <v>6.91393297160178E-2</v>
      </c>
      <c r="AT41" s="8">
        <f t="shared" ref="AT41:AT42" si="189">ABS(SQRT(2)*(3*$D$2*2/(8*PI()*$F$4*$G3^2))*(1-AO$8^2/($F$4/2)^2))</f>
        <v>6.4097920257558144E-2</v>
      </c>
      <c r="AU41" s="8">
        <f t="shared" ref="AU41:AU42" si="190">ABS(SQRT(2)*(3*$D$2*2/(8*PI()*$F$4*$G3^2))*(1-AP$8^2/($F$4/2)^2))</f>
        <v>5.8925565098878738E-2</v>
      </c>
      <c r="AV41" s="8">
        <f t="shared" ref="AV41:AV42" si="191">ABS(SQRT(2)*(3*$D$2*2/(8*PI()*$F$4*$G3^2))*(1-AQ$8^2/($F$4/2)^2))</f>
        <v>5.3622264239979615E-2</v>
      </c>
      <c r="AW41" s="8">
        <f t="shared" ref="AW41:AW42" si="192">ABS(SQRT(2)*(3*$D$2*2/(8*PI()*$F$4*$G3^2))*(1-AR$8^2/($F$4/2)^2))</f>
        <v>4.8188017680860763E-2</v>
      </c>
      <c r="AX41" s="8">
        <f t="shared" ref="AX41:AX42" si="193">ABS(SQRT(2)*(3*$D$2*2/(8*PI()*$F$4*$G3^2))*(1-AS$8^2/($F$4/2)^2))</f>
        <v>4.2622825421522167E-2</v>
      </c>
      <c r="AY41" s="8">
        <f t="shared" ref="AY41:AY42" si="194">ABS(SQRT(2)*(3*$D$2*2/(8*PI()*$F$4*$G3^2))*(1-AT$8^2/($F$4/2)^2))</f>
        <v>3.6926687461963863E-2</v>
      </c>
      <c r="AZ41" s="8">
        <f t="shared" ref="AZ41:AZ42" si="195">ABS(SQRT(2)*(3*$D$2*2/(8*PI()*$F$4*$G3^2))*(1-AU$8^2/($F$4/2)^2))</f>
        <v>3.10996038021858E-2</v>
      </c>
      <c r="BA41" s="8">
        <f t="shared" ref="BA41:BA42" si="196">ABS(SQRT(2)*(3*$D$2*2/(8*PI()*$F$4*$G3^2))*(1-AV$8^2/($F$4/2)^2))</f>
        <v>2.5141574442188005E-2</v>
      </c>
      <c r="BB41" s="8">
        <f t="shared" ref="BB41:BB42" si="197">ABS(SQRT(2)*(3*$D$2*2/(8*PI()*$F$4*$G3^2))*(1-AW$8^2/($F$4/2)^2))</f>
        <v>1.905259938197049E-2</v>
      </c>
      <c r="BC41" s="8">
        <f t="shared" ref="BC41:BC42" si="198">ABS(SQRT(2)*(3*$D$2*2/(8*PI()*$F$4*$G3^2))*(1-AX$8^2/($F$4/2)^2))</f>
        <v>1.2832678621533245E-2</v>
      </c>
      <c r="BD41" s="8">
        <f t="shared" ref="BD41:BD42" si="199">ABS(SQRT(2)*(3*$D$2*2/(8*PI()*$F$4*$G3^2))*(1-AY$8^2/($F$4/2)^2))</f>
        <v>6.4818121608762802E-3</v>
      </c>
      <c r="BE41" s="8">
        <f t="shared" ref="BE41:BE42" si="200">ABS(SQRT(2)*(3*$D$2*2/(8*PI()*$F$4*$G3^2))*(1-AZ$8^2/($F$4/2)^2))</f>
        <v>4.3613679407882642E-16</v>
      </c>
      <c r="BG41" s="8">
        <f t="shared" ref="BG41:BG42" si="201">G46/G41</f>
        <v>0</v>
      </c>
      <c r="BH41" s="8">
        <f t="shared" ref="BH41:BH42" si="202">H46/H41</f>
        <v>1.5279618320957808</v>
      </c>
      <c r="BI41" s="8">
        <f t="shared" ref="BI41:BI42" si="203">I46/I41</f>
        <v>3.0595966493648694</v>
      </c>
      <c r="BJ41" s="8">
        <f t="shared" ref="BJ41:BJ42" si="204">J46/J41</f>
        <v>4.5986069270261227</v>
      </c>
      <c r="BK41" s="8">
        <f t="shared" ref="BK41:BK42" si="205">K46/K41</f>
        <v>6.1487546190134568</v>
      </c>
      <c r="BL41" s="8">
        <f t="shared" ref="BL41:BL42" si="206">L46/L41</f>
        <v>7.7138921583987008</v>
      </c>
      <c r="BM41" s="8">
        <f t="shared" ref="BM41:BM42" si="207">M46/M41</f>
        <v>9.2979950123555763</v>
      </c>
      <c r="BN41" s="8">
        <f t="shared" ref="BN41:BN42" si="208">N46/N41</f>
        <v>10.905196380600366</v>
      </c>
      <c r="BO41" s="8">
        <f t="shared" ref="BO41:BO42" si="209">O46/O41</f>
        <v>12.53982469099296</v>
      </c>
      <c r="BP41" s="8">
        <f t="shared" ref="BP41:BP42" si="210">P46/P41</f>
        <v>14.206444632354778</v>
      </c>
      <c r="BQ41" s="8">
        <f t="shared" ref="BQ41:BQ42" si="211">Q46/Q41</f>
        <v>15.90990257669732</v>
      </c>
      <c r="BR41" s="8">
        <f t="shared" ref="BR41:BR42" si="212">R46/R41</f>
        <v>17.655377386498916</v>
      </c>
      <c r="BS41" s="8">
        <f t="shared" ref="BS41:BS42" si="213">S46/S41</f>
        <v>19.448437784757335</v>
      </c>
      <c r="BT41" s="8">
        <f t="shared" ref="BT41:BT42" si="214">T46/T41</f>
        <v>21.295107695965527</v>
      </c>
      <c r="BU41" s="8">
        <f t="shared" ref="BU41:BU42" si="215">U46/U41</f>
        <v>23.201941257683593</v>
      </c>
      <c r="BV41" s="8">
        <f t="shared" ref="BV41:BV42" si="216">V46/V41</f>
        <v>25.176109571916641</v>
      </c>
      <c r="BW41" s="8">
        <f t="shared" ref="BW41:BW42" si="217">W46/W41</f>
        <v>27.225501735524826</v>
      </c>
      <c r="BX41" s="8">
        <f t="shared" ref="BX41:BX42" si="218">X46/X41</f>
        <v>29.358843289427892</v>
      </c>
      <c r="BY41" s="8">
        <f t="shared" ref="BY41:BY42" si="219">Y46/Y41</f>
        <v>31.585835997854975</v>
      </c>
      <c r="BZ41" s="8">
        <f t="shared" ref="BZ41:BZ42" si="220">Z46/Z41</f>
        <v>33.917323866171017</v>
      </c>
      <c r="CA41" s="8">
        <f t="shared" ref="CA41:CA42" si="221">AA46/AA41</f>
        <v>36.36549160387959</v>
      </c>
      <c r="CB41" s="8">
        <f t="shared" ref="CB41:CB42" si="222">AB46/AB41</f>
        <v>38.944103441745746</v>
      </c>
      <c r="CC41" s="8">
        <f t="shared" ref="CC41:CC42" si="223">AC46/AC41</f>
        <v>41.66879246277869</v>
      </c>
      <c r="CD41" s="8">
        <f t="shared" ref="CD41:CD42" si="224">AD46/AD41</f>
        <v>44.55741360901532</v>
      </c>
      <c r="CE41" s="8">
        <f t="shared" ref="CE41:CE42" si="225">AE46/AE41</f>
        <v>47.630477568490939</v>
      </c>
      <c r="CF41" s="8">
        <f t="shared" ref="CF41:CF42" si="226">AF46/AF41</f>
        <v>50.911688245431421</v>
      </c>
      <c r="CG41" s="8">
        <f t="shared" ref="CG41:CG42" si="227">AG46/AG41</f>
        <v>54.428614078175045</v>
      </c>
      <c r="CH41" s="8">
        <f t="shared" ref="CH41:CH42" si="228">AH46/AH41</f>
        <v>58.213533990400144</v>
      </c>
      <c r="CI41" s="8">
        <f t="shared" ref="CI41:CI42" si="229">AI46/AI41</f>
        <v>62.304513587066459</v>
      </c>
      <c r="CJ41" s="8">
        <f t="shared" ref="CJ41:CJ42" si="230">AJ46/AJ41</f>
        <v>66.746788386867635</v>
      </c>
      <c r="CK41" s="8">
        <f t="shared" ref="CK41:CK42" si="231">AK46/AK41</f>
        <v>71.594561595138003</v>
      </c>
      <c r="CL41" s="8">
        <f t="shared" ref="CL41:CL42" si="232">AL46/AL41</f>
        <v>76.913369181694733</v>
      </c>
      <c r="CM41" s="8">
        <f t="shared" ref="CM41:CM42" si="233">AM46/AM41</f>
        <v>82.783232919400817</v>
      </c>
      <c r="CN41" s="8">
        <f t="shared" ref="CN41:CN42" si="234">AN46/AN41</f>
        <v>89.30292587345356</v>
      </c>
      <c r="CO41" s="8">
        <f t="shared" ref="CO41:CO42" si="235">AO46/AO41</f>
        <v>96.595837072805324</v>
      </c>
      <c r="CP41" s="8">
        <f t="shared" ref="CP41:CP42" si="236">AP46/AP41</f>
        <v>104.8181816817708</v>
      </c>
      <c r="CQ41" s="8">
        <f t="shared" ref="CQ41:CQ42" si="237">AQ46/AQ41</f>
        <v>114.17072945404087</v>
      </c>
      <c r="CR41" s="8">
        <f t="shared" ref="CR41:CR42" si="238">AR46/AR41</f>
        <v>124.91594596027643</v>
      </c>
      <c r="CS41" s="8">
        <f t="shared" ref="CS41:CS42" si="239">AS46/AS41</f>
        <v>137.40370407147731</v>
      </c>
      <c r="CT41" s="8">
        <f t="shared" ref="CT41:CT42" si="240">AT46/AT41</f>
        <v>152.11101952797497</v>
      </c>
      <c r="CU41" s="8">
        <f t="shared" ref="CU41:CU42" si="241">AU46/AU41</f>
        <v>169.70562748477221</v>
      </c>
      <c r="CV41" s="8">
        <f t="shared" ref="CV41:CV42" si="242">AV46/AV41</f>
        <v>191.15194304603477</v>
      </c>
      <c r="CW41" s="8">
        <f t="shared" ref="CW41:CW42" si="243">AW46/AW41</f>
        <v>217.89649181129073</v>
      </c>
      <c r="CX41" s="8">
        <f t="shared" ref="CX41:CX42" si="244">AX46/AX41</f>
        <v>252.21228047852162</v>
      </c>
      <c r="CY41" s="8">
        <f t="shared" ref="CY41:CY42" si="245">AY46/AY41</f>
        <v>297.88753760625031</v>
      </c>
      <c r="CZ41" s="8">
        <f t="shared" ref="CZ41:CZ42" si="246">AZ46/AZ41</f>
        <v>361.74094279649051</v>
      </c>
      <c r="DA41" s="8">
        <f t="shared" ref="DA41:DA42" si="247">BA46/BA41</f>
        <v>457.40969908005491</v>
      </c>
      <c r="DB41" s="8">
        <f t="shared" ref="DB41:DB42" si="248">BB46/BB41</f>
        <v>616.71374936477491</v>
      </c>
      <c r="DC41" s="8">
        <f t="shared" ref="DC41:DC42" si="249">BC46/BC41</f>
        <v>935.1126412426479</v>
      </c>
      <c r="DD41" s="8">
        <f t="shared" ref="DD41:DD42" si="250">BD46/BD41</f>
        <v>1889.9035788078022</v>
      </c>
      <c r="DE41" s="8">
        <f t="shared" ref="DE41:DE42" si="251">BE46/BE41</f>
        <v>2.8660732526366012E+16</v>
      </c>
      <c r="DG41">
        <v>1.7000000000000001E-4</v>
      </c>
      <c r="DH41" s="8">
        <f t="shared" ref="DH41:DH42" si="252">DG41*2</f>
        <v>3.4000000000000002E-4</v>
      </c>
      <c r="DI41" s="8">
        <f t="shared" ref="DI41:DI42" si="253">DH41/(1*10^-3)</f>
        <v>0.34</v>
      </c>
      <c r="DJ41" s="8">
        <f>'estimates new'!AU62</f>
        <v>0.40740740740740738</v>
      </c>
      <c r="DK41" s="8">
        <f t="shared" ref="DK41:DK42" si="254">DJ41-DI41</f>
        <v>6.740740740740736E-2</v>
      </c>
    </row>
    <row r="42" spans="7:127" x14ac:dyDescent="0.25">
      <c r="G42" s="8">
        <f t="shared" si="150"/>
        <v>6.7644143608406967E-2</v>
      </c>
      <c r="H42" s="8">
        <f t="shared" si="151"/>
        <v>6.7617085950963607E-2</v>
      </c>
      <c r="I42" s="8">
        <f t="shared" si="152"/>
        <v>6.7535912978633511E-2</v>
      </c>
      <c r="J42" s="8">
        <f t="shared" si="153"/>
        <v>6.7400624691416694E-2</v>
      </c>
      <c r="K42" s="8">
        <f t="shared" si="154"/>
        <v>6.721122108931317E-2</v>
      </c>
      <c r="L42" s="8">
        <f t="shared" si="155"/>
        <v>6.6967702172322896E-2</v>
      </c>
      <c r="M42" s="8">
        <f t="shared" si="156"/>
        <v>6.6670067940445915E-2</v>
      </c>
      <c r="N42" s="8">
        <f t="shared" si="157"/>
        <v>6.6318318393682199E-2</v>
      </c>
      <c r="O42" s="8">
        <f t="shared" si="158"/>
        <v>6.5912453532031748E-2</v>
      </c>
      <c r="P42" s="8">
        <f t="shared" si="159"/>
        <v>6.5452473355494589E-2</v>
      </c>
      <c r="Q42" s="8">
        <f t="shared" si="160"/>
        <v>6.4938377864070682E-2</v>
      </c>
      <c r="R42" s="8">
        <f t="shared" si="161"/>
        <v>6.4370167057760067E-2</v>
      </c>
      <c r="S42" s="8">
        <f t="shared" si="162"/>
        <v>6.374784093656273E-2</v>
      </c>
      <c r="T42" s="8">
        <f t="shared" si="163"/>
        <v>6.3071399500478659E-2</v>
      </c>
      <c r="U42" s="8">
        <f t="shared" si="164"/>
        <v>6.2340842749507859E-2</v>
      </c>
      <c r="V42" s="8">
        <f t="shared" si="165"/>
        <v>6.1556170683650345E-2</v>
      </c>
      <c r="W42" s="8">
        <f t="shared" si="166"/>
        <v>6.0717383302906089E-2</v>
      </c>
      <c r="X42" s="8">
        <f t="shared" si="167"/>
        <v>5.9824480607275118E-2</v>
      </c>
      <c r="Y42" s="8">
        <f t="shared" si="168"/>
        <v>5.887746259675742E-2</v>
      </c>
      <c r="Z42" s="8">
        <f t="shared" si="169"/>
        <v>5.7876329271352993E-2</v>
      </c>
      <c r="AA42" s="8">
        <f t="shared" si="170"/>
        <v>5.6821080631061852E-2</v>
      </c>
      <c r="AB42" s="8">
        <f t="shared" si="171"/>
        <v>5.5711716675883975E-2</v>
      </c>
      <c r="AC42" s="8">
        <f t="shared" si="172"/>
        <v>5.4548237405819378E-2</v>
      </c>
      <c r="AD42" s="8">
        <f t="shared" si="173"/>
        <v>5.3330642820868052E-2</v>
      </c>
      <c r="AE42" s="8">
        <f t="shared" si="174"/>
        <v>5.2058932921029998E-2</v>
      </c>
      <c r="AF42" s="8">
        <f t="shared" si="175"/>
        <v>5.0733107706305222E-2</v>
      </c>
      <c r="AG42" s="8">
        <f t="shared" si="176"/>
        <v>4.9353167176693725E-2</v>
      </c>
      <c r="AH42" s="8">
        <f t="shared" si="177"/>
        <v>4.7919111332195494E-2</v>
      </c>
      <c r="AI42" s="8">
        <f t="shared" si="178"/>
        <v>4.6430940172810527E-2</v>
      </c>
      <c r="AJ42" s="8">
        <f t="shared" si="179"/>
        <v>4.4888653698538845E-2</v>
      </c>
      <c r="AK42" s="8">
        <f t="shared" si="180"/>
        <v>4.3292251909380436E-2</v>
      </c>
      <c r="AL42" s="8">
        <f t="shared" si="181"/>
        <v>4.1641734805335298E-2</v>
      </c>
      <c r="AM42" s="8">
        <f t="shared" si="182"/>
        <v>3.9937102386403439E-2</v>
      </c>
      <c r="AN42" s="8">
        <f t="shared" si="183"/>
        <v>3.8178354652584845E-2</v>
      </c>
      <c r="AO42" s="8">
        <f t="shared" si="184"/>
        <v>3.6365491603879543E-2</v>
      </c>
      <c r="AP42" s="8">
        <f t="shared" si="185"/>
        <v>3.4498513240287507E-2</v>
      </c>
      <c r="AQ42" s="8">
        <f t="shared" si="186"/>
        <v>3.2577419561808735E-2</v>
      </c>
      <c r="AR42" s="8">
        <f t="shared" si="187"/>
        <v>3.0602210568443245E-2</v>
      </c>
      <c r="AS42" s="8">
        <f t="shared" si="188"/>
        <v>2.8572886260191027E-2</v>
      </c>
      <c r="AT42" s="8">
        <f t="shared" si="189"/>
        <v>2.6489446637052091E-2</v>
      </c>
      <c r="AU42" s="8">
        <f t="shared" si="190"/>
        <v>2.4351891699026417E-2</v>
      </c>
      <c r="AV42" s="8">
        <f t="shared" si="191"/>
        <v>2.2160221446114025E-2</v>
      </c>
      <c r="AW42" s="8">
        <f t="shared" si="192"/>
        <v>1.9914435878314905E-2</v>
      </c>
      <c r="AX42" s="8">
        <f t="shared" si="193"/>
        <v>1.7614534995629059E-2</v>
      </c>
      <c r="AY42" s="8">
        <f t="shared" si="194"/>
        <v>1.5260518798056493E-2</v>
      </c>
      <c r="AZ42" s="8">
        <f t="shared" si="195"/>
        <v>1.2852387285597193E-2</v>
      </c>
      <c r="BA42" s="8">
        <f t="shared" si="196"/>
        <v>1.0390140458251165E-2</v>
      </c>
      <c r="BB42" s="8">
        <f t="shared" si="197"/>
        <v>7.8737783160184177E-3</v>
      </c>
      <c r="BC42" s="8">
        <f t="shared" si="198"/>
        <v>5.3033008588989428E-3</v>
      </c>
      <c r="BD42" s="8">
        <f t="shared" si="199"/>
        <v>2.6787080868927488E-3</v>
      </c>
      <c r="BE42" s="8">
        <f t="shared" si="200"/>
        <v>1.8024020571624967E-16</v>
      </c>
      <c r="BG42" s="8">
        <f t="shared" si="201"/>
        <v>0</v>
      </c>
      <c r="BH42" s="8">
        <f t="shared" si="202"/>
        <v>2.3768295165934368</v>
      </c>
      <c r="BI42" s="8">
        <f t="shared" si="203"/>
        <v>4.7593725656786852</v>
      </c>
      <c r="BJ42" s="8">
        <f t="shared" si="204"/>
        <v>7.1533885531517463</v>
      </c>
      <c r="BK42" s="8">
        <f t="shared" si="205"/>
        <v>9.5647294073542639</v>
      </c>
      <c r="BL42" s="8">
        <f t="shared" si="206"/>
        <v>11.999387801953535</v>
      </c>
      <c r="BM42" s="8">
        <f t="shared" si="207"/>
        <v>14.463547796997561</v>
      </c>
      <c r="BN42" s="8">
        <f t="shared" si="208"/>
        <v>16.963638814267235</v>
      </c>
      <c r="BO42" s="8">
        <f t="shared" si="209"/>
        <v>19.506393963766829</v>
      </c>
      <c r="BP42" s="8">
        <f t="shared" si="210"/>
        <v>22.098913872551876</v>
      </c>
      <c r="BQ42" s="8">
        <f t="shared" si="211"/>
        <v>24.748737341529168</v>
      </c>
      <c r="BR42" s="8">
        <f t="shared" si="212"/>
        <v>27.463920378998317</v>
      </c>
      <c r="BS42" s="8">
        <f t="shared" si="213"/>
        <v>30.253125442955852</v>
      </c>
      <c r="BT42" s="8">
        <f t="shared" si="214"/>
        <v>33.125723082613042</v>
      </c>
      <c r="BU42" s="8">
        <f t="shared" si="215"/>
        <v>36.091908623063368</v>
      </c>
      <c r="BV42" s="8">
        <f t="shared" si="216"/>
        <v>39.162837111870324</v>
      </c>
      <c r="BW42" s="8">
        <f t="shared" si="217"/>
        <v>42.350780477483063</v>
      </c>
      <c r="BX42" s="8">
        <f t="shared" si="218"/>
        <v>45.669311783554498</v>
      </c>
      <c r="BY42" s="8">
        <f t="shared" si="219"/>
        <v>49.133522663329963</v>
      </c>
      <c r="BZ42" s="8">
        <f t="shared" si="220"/>
        <v>52.760281569599343</v>
      </c>
      <c r="CA42" s="8">
        <f t="shared" si="221"/>
        <v>56.568542494923804</v>
      </c>
      <c r="CB42" s="8">
        <f t="shared" si="222"/>
        <v>60.579716464937832</v>
      </c>
      <c r="CC42" s="8">
        <f t="shared" si="223"/>
        <v>64.818121608766859</v>
      </c>
      <c r="CD42" s="8">
        <f t="shared" si="224"/>
        <v>69.3115322806905</v>
      </c>
      <c r="CE42" s="8">
        <f t="shared" si="225"/>
        <v>74.091853995430355</v>
      </c>
      <c r="CF42" s="8">
        <f t="shared" si="226"/>
        <v>79.195959492893323</v>
      </c>
      <c r="CG42" s="8">
        <f t="shared" si="227"/>
        <v>84.666733010494511</v>
      </c>
      <c r="CH42" s="8">
        <f t="shared" si="228"/>
        <v>90.554386207289113</v>
      </c>
      <c r="CI42" s="8">
        <f t="shared" si="229"/>
        <v>96.918132246547827</v>
      </c>
      <c r="CJ42" s="8">
        <f t="shared" si="230"/>
        <v>103.82833749068301</v>
      </c>
      <c r="CK42" s="8">
        <f t="shared" si="231"/>
        <v>111.36931803688134</v>
      </c>
      <c r="CL42" s="8">
        <f t="shared" si="232"/>
        <v>119.6430187270807</v>
      </c>
      <c r="CM42" s="8">
        <f t="shared" si="233"/>
        <v>128.77391787462349</v>
      </c>
      <c r="CN42" s="8">
        <f t="shared" si="234"/>
        <v>138.91566246981671</v>
      </c>
      <c r="CO42" s="8">
        <f t="shared" si="235"/>
        <v>150.26019100214162</v>
      </c>
      <c r="CP42" s="8">
        <f t="shared" si="236"/>
        <v>163.05050483831013</v>
      </c>
      <c r="CQ42" s="8">
        <f t="shared" si="237"/>
        <v>177.59891248406356</v>
      </c>
      <c r="CR42" s="8">
        <f t="shared" si="238"/>
        <v>194.31369371598552</v>
      </c>
      <c r="CS42" s="8">
        <f t="shared" si="239"/>
        <v>213.73909522229806</v>
      </c>
      <c r="CT42" s="8">
        <f t="shared" si="240"/>
        <v>236.61714148796105</v>
      </c>
      <c r="CU42" s="8">
        <f t="shared" si="241"/>
        <v>263.986531642979</v>
      </c>
      <c r="CV42" s="8">
        <f t="shared" si="242"/>
        <v>297.34746696049854</v>
      </c>
      <c r="CW42" s="8">
        <f t="shared" si="243"/>
        <v>338.95009837311898</v>
      </c>
      <c r="CX42" s="8">
        <f t="shared" si="244"/>
        <v>392.3302140777003</v>
      </c>
      <c r="CY42" s="8">
        <f t="shared" si="245"/>
        <v>463.38061405416721</v>
      </c>
      <c r="CZ42" s="8">
        <f t="shared" si="246"/>
        <v>562.70813323898528</v>
      </c>
      <c r="DA42" s="8">
        <f t="shared" si="247"/>
        <v>711.52619856897422</v>
      </c>
      <c r="DB42" s="8">
        <f t="shared" si="248"/>
        <v>959.33249901187196</v>
      </c>
      <c r="DC42" s="8">
        <f t="shared" si="249"/>
        <v>1454.6196641552299</v>
      </c>
      <c r="DD42" s="8">
        <f t="shared" si="250"/>
        <v>2939.8500114788035</v>
      </c>
      <c r="DE42" s="8">
        <f t="shared" si="251"/>
        <v>4.4583361707680472E+16</v>
      </c>
      <c r="DG42">
        <f>0.00012</f>
        <v>1.2E-4</v>
      </c>
      <c r="DH42" s="8">
        <f t="shared" si="252"/>
        <v>2.4000000000000001E-4</v>
      </c>
      <c r="DI42" s="8">
        <f t="shared" si="253"/>
        <v>0.24</v>
      </c>
      <c r="DJ42" s="8">
        <f>'estimates new'!AU63</f>
        <v>0.41249999999999998</v>
      </c>
      <c r="DK42" s="8">
        <f t="shared" si="254"/>
        <v>0.17249999999999999</v>
      </c>
    </row>
    <row r="43" spans="7:127" x14ac:dyDescent="0.25">
      <c r="G43" s="8"/>
      <c r="H43" s="8"/>
      <c r="I43" s="8"/>
      <c r="J43" s="8"/>
      <c r="K43" s="8"/>
      <c r="L43" s="8"/>
      <c r="M43" s="8"/>
      <c r="N43" s="8"/>
      <c r="O43" s="8"/>
      <c r="P43" s="8"/>
      <c r="Q43" s="8"/>
      <c r="R43" s="8"/>
      <c r="S43" s="8"/>
      <c r="T43" s="8"/>
      <c r="U43" s="8"/>
      <c r="V43" s="8"/>
      <c r="W43" s="8"/>
    </row>
    <row r="44" spans="7:127" x14ac:dyDescent="0.25">
      <c r="G44" s="10" t="s">
        <v>136</v>
      </c>
      <c r="H44" s="8"/>
      <c r="I44" s="8"/>
      <c r="J44" s="8"/>
      <c r="K44" s="8"/>
      <c r="L44" s="8"/>
      <c r="M44" s="8"/>
      <c r="N44" s="8"/>
      <c r="O44" s="8"/>
      <c r="P44" s="8"/>
      <c r="Q44" s="8"/>
      <c r="R44" s="8"/>
      <c r="S44" s="8"/>
      <c r="T44" s="8"/>
      <c r="U44" s="8"/>
      <c r="V44" s="8"/>
      <c r="W44" s="8"/>
    </row>
    <row r="45" spans="7:127" x14ac:dyDescent="0.25">
      <c r="G45" s="8">
        <f>ABS((3*$D$2*2/(4*PI()*$G2*$F$4))*4*B$8/$F$4^2)</f>
        <v>0</v>
      </c>
      <c r="H45" s="8">
        <f t="shared" ref="H45:BE45" si="255">ABS((3*$D$2*2/(4*PI()*$G2*$F$4))*4*C$8/$F$4^2)</f>
        <v>0.5625</v>
      </c>
      <c r="I45" s="8">
        <f t="shared" si="255"/>
        <v>1.125</v>
      </c>
      <c r="J45" s="8">
        <f t="shared" si="255"/>
        <v>1.6875000000000004</v>
      </c>
      <c r="K45" s="8">
        <f t="shared" si="255"/>
        <v>2.25</v>
      </c>
      <c r="L45" s="8">
        <f t="shared" si="255"/>
        <v>2.8125000000000004</v>
      </c>
      <c r="M45" s="8">
        <f t="shared" si="255"/>
        <v>3.3750000000000004</v>
      </c>
      <c r="N45" s="8">
        <f t="shared" si="255"/>
        <v>3.9375000000000009</v>
      </c>
      <c r="O45" s="8">
        <f t="shared" si="255"/>
        <v>4.5</v>
      </c>
      <c r="P45" s="8">
        <f t="shared" si="255"/>
        <v>5.0625000000000009</v>
      </c>
      <c r="Q45" s="8">
        <f t="shared" si="255"/>
        <v>5.6250000000000009</v>
      </c>
      <c r="R45" s="8">
        <f t="shared" si="255"/>
        <v>6.1875000000000009</v>
      </c>
      <c r="S45" s="8">
        <f t="shared" si="255"/>
        <v>6.7500000000000009</v>
      </c>
      <c r="T45" s="8">
        <f t="shared" si="255"/>
        <v>7.3125000000000009</v>
      </c>
      <c r="U45" s="8">
        <f t="shared" si="255"/>
        <v>7.8750000000000018</v>
      </c>
      <c r="V45" s="8">
        <f t="shared" si="255"/>
        <v>8.4375000000000018</v>
      </c>
      <c r="W45" s="8">
        <f t="shared" si="255"/>
        <v>9</v>
      </c>
      <c r="X45" s="8">
        <f t="shared" si="255"/>
        <v>9.5625</v>
      </c>
      <c r="Y45" s="8">
        <f t="shared" si="255"/>
        <v>10.125000000000002</v>
      </c>
      <c r="Z45" s="8">
        <f t="shared" si="255"/>
        <v>10.687500000000002</v>
      </c>
      <c r="AA45" s="8">
        <f t="shared" si="255"/>
        <v>11.250000000000002</v>
      </c>
      <c r="AB45" s="8">
        <f t="shared" si="255"/>
        <v>11.812500000000002</v>
      </c>
      <c r="AC45" s="8">
        <f t="shared" si="255"/>
        <v>12.375000000000002</v>
      </c>
      <c r="AD45" s="8">
        <f t="shared" si="255"/>
        <v>12.937500000000002</v>
      </c>
      <c r="AE45" s="8">
        <f t="shared" si="255"/>
        <v>13.500000000000002</v>
      </c>
      <c r="AF45" s="8">
        <f t="shared" si="255"/>
        <v>14.062500000000002</v>
      </c>
      <c r="AG45" s="8">
        <f t="shared" si="255"/>
        <v>14.625000000000002</v>
      </c>
      <c r="AH45" s="8">
        <f t="shared" si="255"/>
        <v>15.187500000000004</v>
      </c>
      <c r="AI45" s="8">
        <f t="shared" si="255"/>
        <v>15.750000000000007</v>
      </c>
      <c r="AJ45" s="8">
        <f t="shared" si="255"/>
        <v>16.312500000000007</v>
      </c>
      <c r="AK45" s="8">
        <f t="shared" si="255"/>
        <v>16.875000000000007</v>
      </c>
      <c r="AL45" s="8">
        <f t="shared" si="255"/>
        <v>17.437500000000011</v>
      </c>
      <c r="AM45" s="8">
        <f t="shared" si="255"/>
        <v>18.000000000000011</v>
      </c>
      <c r="AN45" s="8">
        <f t="shared" si="255"/>
        <v>18.562500000000014</v>
      </c>
      <c r="AO45" s="8">
        <f t="shared" si="255"/>
        <v>19.125000000000014</v>
      </c>
      <c r="AP45" s="8">
        <f t="shared" si="255"/>
        <v>19.687500000000014</v>
      </c>
      <c r="AQ45" s="8">
        <f t="shared" si="255"/>
        <v>20.250000000000018</v>
      </c>
      <c r="AR45" s="8">
        <f t="shared" si="255"/>
        <v>20.812500000000018</v>
      </c>
      <c r="AS45" s="8">
        <f t="shared" si="255"/>
        <v>21.375000000000021</v>
      </c>
      <c r="AT45" s="8">
        <f t="shared" si="255"/>
        <v>21.937500000000021</v>
      </c>
      <c r="AU45" s="8">
        <f t="shared" si="255"/>
        <v>22.500000000000021</v>
      </c>
      <c r="AV45" s="8">
        <f t="shared" si="255"/>
        <v>23.062500000000025</v>
      </c>
      <c r="AW45" s="8">
        <f t="shared" si="255"/>
        <v>23.625000000000025</v>
      </c>
      <c r="AX45" s="8">
        <f t="shared" si="255"/>
        <v>24.187500000000028</v>
      </c>
      <c r="AY45" s="8">
        <f t="shared" si="255"/>
        <v>24.750000000000028</v>
      </c>
      <c r="AZ45" s="8">
        <f t="shared" si="255"/>
        <v>25.312500000000032</v>
      </c>
      <c r="BA45" s="8">
        <f t="shared" si="255"/>
        <v>25.875000000000036</v>
      </c>
      <c r="BB45" s="8">
        <f t="shared" si="255"/>
        <v>26.437500000000036</v>
      </c>
      <c r="BC45" s="8">
        <f t="shared" si="255"/>
        <v>27.000000000000039</v>
      </c>
      <c r="BD45" s="8">
        <f t="shared" si="255"/>
        <v>27.562500000000039</v>
      </c>
      <c r="BE45" s="8">
        <f t="shared" si="255"/>
        <v>28.125000000000039</v>
      </c>
    </row>
    <row r="46" spans="7:127" x14ac:dyDescent="0.25">
      <c r="G46" s="8">
        <f t="shared" ref="G46:G47" si="256">ABS((3*$D$2*2/(4*PI()*$G3*$F$4))*4*B$8/$F$4^2)</f>
        <v>0</v>
      </c>
      <c r="H46" s="8">
        <f t="shared" ref="H46:H47" si="257">ABS((3*$D$2*2/(4*PI()*$G3*$F$4))*4*C$8/$F$4^2)</f>
        <v>0.25</v>
      </c>
      <c r="I46" s="8">
        <f t="shared" ref="I46:I47" si="258">ABS((3*$D$2*2/(4*PI()*$G3*$F$4))*4*D$8/$F$4^2)</f>
        <v>0.5</v>
      </c>
      <c r="J46" s="8">
        <f t="shared" ref="J46:J47" si="259">ABS((3*$D$2*2/(4*PI()*$G3*$F$4))*4*E$8/$F$4^2)</f>
        <v>0.75</v>
      </c>
      <c r="K46" s="8">
        <f t="shared" ref="K46:K47" si="260">ABS((3*$D$2*2/(4*PI()*$G3*$F$4))*4*F$8/$F$4^2)</f>
        <v>1</v>
      </c>
      <c r="L46" s="8">
        <f t="shared" ref="L46:L47" si="261">ABS((3*$D$2*2/(4*PI()*$G3*$F$4))*4*G$8/$F$4^2)</f>
        <v>1.25</v>
      </c>
      <c r="M46" s="8">
        <f t="shared" ref="M46:M47" si="262">ABS((3*$D$2*2/(4*PI()*$G3*$F$4))*4*H$8/$F$4^2)</f>
        <v>1.5</v>
      </c>
      <c r="N46" s="8">
        <f t="shared" ref="N46:N47" si="263">ABS((3*$D$2*2/(4*PI()*$G3*$F$4))*4*I$8/$F$4^2)</f>
        <v>1.75</v>
      </c>
      <c r="O46" s="8">
        <f t="shared" ref="O46:O47" si="264">ABS((3*$D$2*2/(4*PI()*$G3*$F$4))*4*J$8/$F$4^2)</f>
        <v>2</v>
      </c>
      <c r="P46" s="8">
        <f t="shared" ref="P46:P47" si="265">ABS((3*$D$2*2/(4*PI()*$G3*$F$4))*4*K$8/$F$4^2)</f>
        <v>2.25</v>
      </c>
      <c r="Q46" s="8">
        <f t="shared" ref="Q46:Q47" si="266">ABS((3*$D$2*2/(4*PI()*$G3*$F$4))*4*L$8/$F$4^2)</f>
        <v>2.5</v>
      </c>
      <c r="R46" s="8">
        <f t="shared" ref="R46:R47" si="267">ABS((3*$D$2*2/(4*PI()*$G3*$F$4))*4*M$8/$F$4^2)</f>
        <v>2.75</v>
      </c>
      <c r="S46" s="8">
        <f t="shared" ref="S46:S47" si="268">ABS((3*$D$2*2/(4*PI()*$G3*$F$4))*4*N$8/$F$4^2)</f>
        <v>3</v>
      </c>
      <c r="T46" s="8">
        <f t="shared" ref="T46:T47" si="269">ABS((3*$D$2*2/(4*PI()*$G3*$F$4))*4*O$8/$F$4^2)</f>
        <v>3.2500000000000004</v>
      </c>
      <c r="U46" s="8">
        <f t="shared" ref="U46:U47" si="270">ABS((3*$D$2*2/(4*PI()*$G3*$F$4))*4*P$8/$F$4^2)</f>
        <v>3.5</v>
      </c>
      <c r="V46" s="8">
        <f t="shared" ref="V46:V47" si="271">ABS((3*$D$2*2/(4*PI()*$G3*$F$4))*4*Q$8/$F$4^2)</f>
        <v>3.7500000000000004</v>
      </c>
      <c r="W46" s="8">
        <f t="shared" ref="W46:W47" si="272">ABS((3*$D$2*2/(4*PI()*$G3*$F$4))*4*R$8/$F$4^2)</f>
        <v>4</v>
      </c>
      <c r="X46" s="8">
        <f t="shared" ref="X46:X47" si="273">ABS((3*$D$2*2/(4*PI()*$G3*$F$4))*4*S$8/$F$4^2)</f>
        <v>4.25</v>
      </c>
      <c r="Y46" s="8">
        <f t="shared" ref="Y46:Y47" si="274">ABS((3*$D$2*2/(4*PI()*$G3*$F$4))*4*T$8/$F$4^2)</f>
        <v>4.5</v>
      </c>
      <c r="Z46" s="8">
        <f t="shared" ref="Z46:Z47" si="275">ABS((3*$D$2*2/(4*PI()*$G3*$F$4))*4*U$8/$F$4^2)</f>
        <v>4.7500000000000009</v>
      </c>
      <c r="AA46" s="8">
        <f t="shared" ref="AA46:AA47" si="276">ABS((3*$D$2*2/(4*PI()*$G3*$F$4))*4*V$8/$F$4^2)</f>
        <v>5</v>
      </c>
      <c r="AB46" s="8">
        <f t="shared" ref="AB46:AB47" si="277">ABS((3*$D$2*2/(4*PI()*$G3*$F$4))*4*W$8/$F$4^2)</f>
        <v>5.25</v>
      </c>
      <c r="AC46" s="8">
        <f t="shared" ref="AC46:AC47" si="278">ABS((3*$D$2*2/(4*PI()*$G3*$F$4))*4*X$8/$F$4^2)</f>
        <v>5.5</v>
      </c>
      <c r="AD46" s="8">
        <f t="shared" ref="AD46:AD47" si="279">ABS((3*$D$2*2/(4*PI()*$G3*$F$4))*4*Y$8/$F$4^2)</f>
        <v>5.75</v>
      </c>
      <c r="AE46" s="8">
        <f t="shared" ref="AE46:AE47" si="280">ABS((3*$D$2*2/(4*PI()*$G3*$F$4))*4*Z$8/$F$4^2)</f>
        <v>6</v>
      </c>
      <c r="AF46" s="8">
        <f t="shared" ref="AF46:AF47" si="281">ABS((3*$D$2*2/(4*PI()*$G3*$F$4))*4*AA$8/$F$4^2)</f>
        <v>6.25</v>
      </c>
      <c r="AG46" s="8">
        <f t="shared" ref="AG46:AG47" si="282">ABS((3*$D$2*2/(4*PI()*$G3*$F$4))*4*AB$8/$F$4^2)</f>
        <v>6.5000000000000009</v>
      </c>
      <c r="AH46" s="8">
        <f t="shared" ref="AH46:AH47" si="283">ABS((3*$D$2*2/(4*PI()*$G3*$F$4))*4*AC$8/$F$4^2)</f>
        <v>6.7500000000000009</v>
      </c>
      <c r="AI46" s="8">
        <f t="shared" ref="AI46:AI47" si="284">ABS((3*$D$2*2/(4*PI()*$G3*$F$4))*4*AD$8/$F$4^2)</f>
        <v>7.0000000000000018</v>
      </c>
      <c r="AJ46" s="8">
        <f t="shared" ref="AJ46:AJ47" si="285">ABS((3*$D$2*2/(4*PI()*$G3*$F$4))*4*AE$8/$F$4^2)</f>
        <v>7.2500000000000018</v>
      </c>
      <c r="AK46" s="8">
        <f t="shared" ref="AK46:AK47" si="286">ABS((3*$D$2*2/(4*PI()*$G3*$F$4))*4*AF$8/$F$4^2)</f>
        <v>7.5000000000000027</v>
      </c>
      <c r="AL46" s="8">
        <f t="shared" ref="AL46:AL47" si="287">ABS((3*$D$2*2/(4*PI()*$G3*$F$4))*4*AG$8/$F$4^2)</f>
        <v>7.7500000000000044</v>
      </c>
      <c r="AM46" s="8">
        <f t="shared" ref="AM46:AM47" si="288">ABS((3*$D$2*2/(4*PI()*$G3*$F$4))*4*AH$8/$F$4^2)</f>
        <v>8.0000000000000053</v>
      </c>
      <c r="AN46" s="8">
        <f t="shared" ref="AN46:AN47" si="289">ABS((3*$D$2*2/(4*PI()*$G3*$F$4))*4*AI$8/$F$4^2)</f>
        <v>8.2500000000000036</v>
      </c>
      <c r="AO46" s="8">
        <f t="shared" ref="AO46:AO47" si="290">ABS((3*$D$2*2/(4*PI()*$G3*$F$4))*4*AJ$8/$F$4^2)</f>
        <v>8.5000000000000053</v>
      </c>
      <c r="AP46" s="8">
        <f t="shared" ref="AP46:AP47" si="291">ABS((3*$D$2*2/(4*PI()*$G3*$F$4))*4*AK$8/$F$4^2)</f>
        <v>8.7500000000000071</v>
      </c>
      <c r="AQ46" s="8">
        <f t="shared" ref="AQ46:AQ47" si="292">ABS((3*$D$2*2/(4*PI()*$G3*$F$4))*4*AL$8/$F$4^2)</f>
        <v>9.0000000000000071</v>
      </c>
      <c r="AR46" s="8">
        <f t="shared" ref="AR46:AR47" si="293">ABS((3*$D$2*2/(4*PI()*$G3*$F$4))*4*AM$8/$F$4^2)</f>
        <v>9.2500000000000089</v>
      </c>
      <c r="AS46" s="8">
        <f t="shared" ref="AS46:AS47" si="294">ABS((3*$D$2*2/(4*PI()*$G3*$F$4))*4*AN$8/$F$4^2)</f>
        <v>9.5000000000000071</v>
      </c>
      <c r="AT46" s="8">
        <f t="shared" ref="AT46:AT47" si="295">ABS((3*$D$2*2/(4*PI()*$G3*$F$4))*4*AO$8/$F$4^2)</f>
        <v>9.7500000000000089</v>
      </c>
      <c r="AU46" s="8">
        <f t="shared" ref="AU46:AU47" si="296">ABS((3*$D$2*2/(4*PI()*$G3*$F$4))*4*AP$8/$F$4^2)</f>
        <v>10.000000000000009</v>
      </c>
      <c r="AV46" s="8">
        <f t="shared" ref="AV46:AV47" si="297">ABS((3*$D$2*2/(4*PI()*$G3*$F$4))*4*AQ$8/$F$4^2)</f>
        <v>10.250000000000011</v>
      </c>
      <c r="AW46" s="8">
        <f t="shared" ref="AW46:AW47" si="298">ABS((3*$D$2*2/(4*PI()*$G3*$F$4))*4*AR$8/$F$4^2)</f>
        <v>10.500000000000011</v>
      </c>
      <c r="AX46" s="8">
        <f t="shared" ref="AX46:AX47" si="299">ABS((3*$D$2*2/(4*PI()*$G3*$F$4))*4*AS$8/$F$4^2)</f>
        <v>10.750000000000011</v>
      </c>
      <c r="AY46" s="8">
        <f t="shared" ref="AY46:AY47" si="300">ABS((3*$D$2*2/(4*PI()*$G3*$F$4))*4*AT$8/$F$4^2)</f>
        <v>11.000000000000012</v>
      </c>
      <c r="AZ46" s="8">
        <f t="shared" ref="AZ46:AZ47" si="301">ABS((3*$D$2*2/(4*PI()*$G3*$F$4))*4*AU$8/$F$4^2)</f>
        <v>11.250000000000012</v>
      </c>
      <c r="BA46" s="8">
        <f t="shared" ref="BA46:BA47" si="302">ABS((3*$D$2*2/(4*PI()*$G3*$F$4))*4*AV$8/$F$4^2)</f>
        <v>11.500000000000014</v>
      </c>
      <c r="BB46" s="8">
        <f t="shared" ref="BB46:BB47" si="303">ABS((3*$D$2*2/(4*PI()*$G3*$F$4))*4*AW$8/$F$4^2)</f>
        <v>11.750000000000014</v>
      </c>
      <c r="BC46" s="8">
        <f t="shared" ref="BC46:BC47" si="304">ABS((3*$D$2*2/(4*PI()*$G3*$F$4))*4*AX$8/$F$4^2)</f>
        <v>12.000000000000014</v>
      </c>
      <c r="BD46" s="8">
        <f t="shared" ref="BD46:BD47" si="305">ABS((3*$D$2*2/(4*PI()*$G3*$F$4))*4*AY$8/$F$4^2)</f>
        <v>12.250000000000016</v>
      </c>
      <c r="BE46" s="8">
        <f t="shared" ref="BE46:BE47" si="306">ABS((3*$D$2*2/(4*PI()*$G3*$F$4))*4*AZ$8/$F$4^2)</f>
        <v>12.500000000000016</v>
      </c>
    </row>
    <row r="47" spans="7:127" x14ac:dyDescent="0.25">
      <c r="G47" s="8">
        <f t="shared" si="256"/>
        <v>0</v>
      </c>
      <c r="H47" s="8">
        <f t="shared" si="257"/>
        <v>0.1607142857142857</v>
      </c>
      <c r="I47" s="8">
        <f t="shared" si="258"/>
        <v>0.3214285714285714</v>
      </c>
      <c r="J47" s="8">
        <f t="shared" si="259"/>
        <v>0.48214285714285715</v>
      </c>
      <c r="K47" s="8">
        <f t="shared" si="260"/>
        <v>0.64285714285714279</v>
      </c>
      <c r="L47" s="8">
        <f t="shared" si="261"/>
        <v>0.8035714285714286</v>
      </c>
      <c r="M47" s="8">
        <f t="shared" si="262"/>
        <v>0.9642857142857143</v>
      </c>
      <c r="N47" s="8">
        <f t="shared" si="263"/>
        <v>1.125</v>
      </c>
      <c r="O47" s="8">
        <f t="shared" si="264"/>
        <v>1.2857142857142856</v>
      </c>
      <c r="P47" s="8">
        <f t="shared" si="265"/>
        <v>1.4464285714285714</v>
      </c>
      <c r="Q47" s="8">
        <f t="shared" si="266"/>
        <v>1.6071428571428572</v>
      </c>
      <c r="R47" s="8">
        <f t="shared" si="267"/>
        <v>1.7678571428571428</v>
      </c>
      <c r="S47" s="8">
        <f t="shared" si="268"/>
        <v>1.9285714285714286</v>
      </c>
      <c r="T47" s="8">
        <f t="shared" si="269"/>
        <v>2.0892857142857144</v>
      </c>
      <c r="U47" s="8">
        <f t="shared" si="270"/>
        <v>2.25</v>
      </c>
      <c r="V47" s="8">
        <f t="shared" si="271"/>
        <v>2.4107142857142856</v>
      </c>
      <c r="W47" s="8">
        <f t="shared" si="272"/>
        <v>2.5714285714285712</v>
      </c>
      <c r="X47" s="8">
        <f t="shared" si="273"/>
        <v>2.7321428571428572</v>
      </c>
      <c r="Y47" s="8">
        <f t="shared" si="274"/>
        <v>2.8928571428571428</v>
      </c>
      <c r="Z47" s="8">
        <f t="shared" si="275"/>
        <v>3.0535714285714284</v>
      </c>
      <c r="AA47" s="8">
        <f t="shared" si="276"/>
        <v>3.2142857142857144</v>
      </c>
      <c r="AB47" s="8">
        <f t="shared" si="277"/>
        <v>3.375</v>
      </c>
      <c r="AC47" s="8">
        <f t="shared" si="278"/>
        <v>3.5357142857142856</v>
      </c>
      <c r="AD47" s="8">
        <f t="shared" si="279"/>
        <v>3.6964285714285712</v>
      </c>
      <c r="AE47" s="8">
        <f t="shared" si="280"/>
        <v>3.8571428571428572</v>
      </c>
      <c r="AF47" s="8">
        <f t="shared" si="281"/>
        <v>4.0178571428571423</v>
      </c>
      <c r="AG47" s="8">
        <f t="shared" si="282"/>
        <v>4.1785714285714288</v>
      </c>
      <c r="AH47" s="8">
        <f t="shared" si="283"/>
        <v>4.3392857142857153</v>
      </c>
      <c r="AI47" s="8">
        <f t="shared" si="284"/>
        <v>4.5000000000000009</v>
      </c>
      <c r="AJ47" s="8">
        <f t="shared" si="285"/>
        <v>4.6607142857142874</v>
      </c>
      <c r="AK47" s="8">
        <f t="shared" si="286"/>
        <v>4.821428571428573</v>
      </c>
      <c r="AL47" s="8">
        <f t="shared" si="287"/>
        <v>4.9821428571428594</v>
      </c>
      <c r="AM47" s="8">
        <f t="shared" si="288"/>
        <v>5.1428571428571459</v>
      </c>
      <c r="AN47" s="8">
        <f t="shared" si="289"/>
        <v>5.3035714285714324</v>
      </c>
      <c r="AO47" s="8">
        <f t="shared" si="290"/>
        <v>5.464285714285718</v>
      </c>
      <c r="AP47" s="8">
        <f t="shared" si="291"/>
        <v>5.6250000000000044</v>
      </c>
      <c r="AQ47" s="8">
        <f t="shared" si="292"/>
        <v>5.78571428571429</v>
      </c>
      <c r="AR47" s="8">
        <f t="shared" si="293"/>
        <v>5.9464285714285756</v>
      </c>
      <c r="AS47" s="8">
        <f t="shared" si="294"/>
        <v>6.1071428571428621</v>
      </c>
      <c r="AT47" s="8">
        <f t="shared" si="295"/>
        <v>6.2678571428571486</v>
      </c>
      <c r="AU47" s="8">
        <f t="shared" si="296"/>
        <v>6.428571428571435</v>
      </c>
      <c r="AV47" s="8">
        <f t="shared" si="297"/>
        <v>6.5892857142857206</v>
      </c>
      <c r="AW47" s="8">
        <f t="shared" si="298"/>
        <v>6.7500000000000071</v>
      </c>
      <c r="AX47" s="8">
        <f t="shared" si="299"/>
        <v>6.9107142857142927</v>
      </c>
      <c r="AY47" s="8">
        <f t="shared" si="300"/>
        <v>7.0714285714285792</v>
      </c>
      <c r="AZ47" s="8">
        <f t="shared" si="301"/>
        <v>7.2321428571428656</v>
      </c>
      <c r="BA47" s="8">
        <f t="shared" si="302"/>
        <v>7.3928571428571512</v>
      </c>
      <c r="BB47" s="8">
        <f t="shared" si="303"/>
        <v>7.5535714285714377</v>
      </c>
      <c r="BC47" s="8">
        <f t="shared" si="304"/>
        <v>7.7142857142857224</v>
      </c>
      <c r="BD47" s="8">
        <f t="shared" si="305"/>
        <v>7.8750000000000107</v>
      </c>
      <c r="BE47" s="8">
        <f t="shared" si="306"/>
        <v>8.0357142857142971</v>
      </c>
    </row>
    <row r="49" spans="7:175" x14ac:dyDescent="0.25">
      <c r="G49" s="10" t="s">
        <v>132</v>
      </c>
      <c r="H49" s="10"/>
      <c r="I49" s="8"/>
      <c r="J49" s="8"/>
      <c r="K49" s="8"/>
      <c r="L49" s="8"/>
      <c r="M49" s="8"/>
      <c r="N49" s="8"/>
      <c r="O49" s="8"/>
      <c r="P49" s="8"/>
      <c r="Q49" s="8"/>
      <c r="R49" s="8"/>
      <c r="S49" s="8"/>
      <c r="T49" s="8"/>
      <c r="U49" s="8"/>
      <c r="V49" s="8"/>
      <c r="W49" s="8"/>
    </row>
    <row r="50" spans="7:175" x14ac:dyDescent="0.25">
      <c r="G50" s="10" t="s">
        <v>142</v>
      </c>
      <c r="H50" s="10"/>
      <c r="I50" s="8"/>
      <c r="J50" s="8"/>
      <c r="K50" s="8"/>
      <c r="L50" s="8"/>
      <c r="M50" s="8"/>
      <c r="N50" s="8"/>
      <c r="O50" s="8"/>
      <c r="P50" s="8"/>
      <c r="Q50" s="8"/>
      <c r="R50" s="8"/>
      <c r="S50" s="8"/>
      <c r="T50" s="8"/>
      <c r="U50" s="8"/>
      <c r="V50" s="8"/>
      <c r="W50" s="8"/>
    </row>
    <row r="51" spans="7:175" x14ac:dyDescent="0.25">
      <c r="G51" s="10" t="s">
        <v>137</v>
      </c>
      <c r="H51" s="10"/>
      <c r="I51" s="8"/>
      <c r="J51" s="8"/>
      <c r="K51" s="8"/>
      <c r="L51" s="8"/>
      <c r="M51" s="8"/>
      <c r="N51" s="8"/>
      <c r="O51" s="8"/>
      <c r="P51" s="8"/>
      <c r="Q51" s="8"/>
      <c r="R51" s="8"/>
      <c r="S51" s="8"/>
      <c r="T51" s="8"/>
      <c r="U51" s="8"/>
      <c r="V51" s="8"/>
      <c r="W51" s="8"/>
      <c r="CK51" t="s">
        <v>143</v>
      </c>
      <c r="FO51" t="s">
        <v>161</v>
      </c>
      <c r="FP51" t="s">
        <v>157</v>
      </c>
      <c r="FQ51" t="s">
        <v>162</v>
      </c>
      <c r="FR51" t="s">
        <v>160</v>
      </c>
      <c r="FS51" t="s">
        <v>72</v>
      </c>
    </row>
    <row r="52" spans="7:175" x14ac:dyDescent="0.25">
      <c r="G52" s="8">
        <f>ABS(SQRT(2)*(3*$D$2*2/(8*PI()*$F$5*$G2^2))*(1-B$8^2/($F$5/2)^2))</f>
        <v>0.51790047450186594</v>
      </c>
      <c r="H52" s="8">
        <f t="shared" ref="H52:BS52" si="307">ABS(SQRT(2)*(3*$D$2*2/(8*PI()*$F$5*$G2^2))*(1-C$8^2/($F$5/2)^2))</f>
        <v>0.51781955255272505</v>
      </c>
      <c r="I52" s="8">
        <f t="shared" si="307"/>
        <v>0.51757678670530227</v>
      </c>
      <c r="J52" s="8">
        <f t="shared" si="307"/>
        <v>0.51717217695959761</v>
      </c>
      <c r="K52" s="8">
        <f t="shared" si="307"/>
        <v>0.51660572331561128</v>
      </c>
      <c r="L52" s="8">
        <f t="shared" si="307"/>
        <v>0.51587742577334306</v>
      </c>
      <c r="M52" s="8">
        <f t="shared" si="307"/>
        <v>0.51498728433279295</v>
      </c>
      <c r="N52" s="8">
        <f t="shared" si="307"/>
        <v>0.51393529899396106</v>
      </c>
      <c r="O52" s="8">
        <f t="shared" si="307"/>
        <v>0.51272146975684729</v>
      </c>
      <c r="P52" s="8">
        <f t="shared" si="307"/>
        <v>0.51134579662145163</v>
      </c>
      <c r="Q52" s="8">
        <f t="shared" si="307"/>
        <v>0.5098082795877743</v>
      </c>
      <c r="R52" s="8">
        <f t="shared" si="307"/>
        <v>0.50810891865581498</v>
      </c>
      <c r="S52" s="8">
        <f t="shared" si="307"/>
        <v>0.50624771382557399</v>
      </c>
      <c r="T52" s="8">
        <f t="shared" si="307"/>
        <v>0.50422466509705111</v>
      </c>
      <c r="U52" s="8">
        <f t="shared" si="307"/>
        <v>0.50203977247024634</v>
      </c>
      <c r="V52" s="8">
        <f t="shared" si="307"/>
        <v>0.49969303594515974</v>
      </c>
      <c r="W52" s="8">
        <f t="shared" si="307"/>
        <v>0.4971844555217913</v>
      </c>
      <c r="X52" s="8">
        <f t="shared" si="307"/>
        <v>0.49451403120014104</v>
      </c>
      <c r="Y52" s="8">
        <f t="shared" si="307"/>
        <v>0.49168176298020894</v>
      </c>
      <c r="Z52" s="8">
        <f t="shared" si="307"/>
        <v>0.48868765086199506</v>
      </c>
      <c r="AA52" s="8">
        <f t="shared" si="307"/>
        <v>0.4855316948454993</v>
      </c>
      <c r="AB52" s="8">
        <f t="shared" si="307"/>
        <v>0.48221389493072175</v>
      </c>
      <c r="AC52" s="8">
        <f t="shared" si="307"/>
        <v>0.47873425111766232</v>
      </c>
      <c r="AD52" s="8">
        <f t="shared" si="307"/>
        <v>0.47509276340632106</v>
      </c>
      <c r="AE52" s="8">
        <f t="shared" si="307"/>
        <v>0.47128943179669802</v>
      </c>
      <c r="AF52" s="8">
        <f t="shared" si="307"/>
        <v>0.46732425628879309</v>
      </c>
      <c r="AG52" s="8">
        <f t="shared" si="307"/>
        <v>0.46319723688260639</v>
      </c>
      <c r="AH52" s="8">
        <f t="shared" si="307"/>
        <v>0.45890837357813774</v>
      </c>
      <c r="AI52" s="8">
        <f t="shared" si="307"/>
        <v>0.45445766637538731</v>
      </c>
      <c r="AJ52" s="8">
        <f t="shared" si="307"/>
        <v>0.44984511527435511</v>
      </c>
      <c r="AK52" s="8">
        <f t="shared" si="307"/>
        <v>0.44507072027504097</v>
      </c>
      <c r="AL52" s="8">
        <f t="shared" si="307"/>
        <v>0.44013448137744504</v>
      </c>
      <c r="AM52" s="8">
        <f t="shared" si="307"/>
        <v>0.43503639858156734</v>
      </c>
      <c r="AN52" s="8">
        <f t="shared" si="307"/>
        <v>0.4297764718874077</v>
      </c>
      <c r="AO52" s="8">
        <f t="shared" si="307"/>
        <v>0.42435470129496627</v>
      </c>
      <c r="AP52" s="8">
        <f t="shared" si="307"/>
        <v>0.41877108680424302</v>
      </c>
      <c r="AQ52" s="8">
        <f t="shared" si="307"/>
        <v>0.41302562841523793</v>
      </c>
      <c r="AR52" s="8">
        <f t="shared" si="307"/>
        <v>0.40711832612795096</v>
      </c>
      <c r="AS52" s="8">
        <f t="shared" si="307"/>
        <v>0.40104917994238221</v>
      </c>
      <c r="AT52" s="8">
        <f t="shared" si="307"/>
        <v>0.39481818985853162</v>
      </c>
      <c r="AU52" s="8">
        <f t="shared" si="307"/>
        <v>0.3884253558763992</v>
      </c>
      <c r="AV52" s="8">
        <f t="shared" si="307"/>
        <v>0.38187067799598495</v>
      </c>
      <c r="AW52" s="8">
        <f t="shared" si="307"/>
        <v>0.37515415621728881</v>
      </c>
      <c r="AX52" s="8">
        <f t="shared" si="307"/>
        <v>0.36827579054031095</v>
      </c>
      <c r="AY52" s="8">
        <f t="shared" si="307"/>
        <v>0.36123558096505115</v>
      </c>
      <c r="AZ52" s="8">
        <f t="shared" si="307"/>
        <v>0.35403352749150957</v>
      </c>
      <c r="BA52" s="8">
        <f t="shared" si="307"/>
        <v>0.3466696301196861</v>
      </c>
      <c r="BB52" s="8">
        <f t="shared" si="307"/>
        <v>0.3391438888495808</v>
      </c>
      <c r="BC52" s="8">
        <f t="shared" si="307"/>
        <v>0.33145630368119372</v>
      </c>
      <c r="BD52" s="8">
        <f t="shared" si="307"/>
        <v>0.32360687461452481</v>
      </c>
      <c r="BE52" s="8">
        <f t="shared" si="307"/>
        <v>0.31559560164957395</v>
      </c>
      <c r="BF52" s="8">
        <f t="shared" si="307"/>
        <v>0.30742248478634143</v>
      </c>
      <c r="BG52" s="8">
        <f t="shared" si="307"/>
        <v>0.29908752402482697</v>
      </c>
      <c r="BH52" s="8">
        <f t="shared" si="307"/>
        <v>0.29059071936503073</v>
      </c>
      <c r="BI52" s="8">
        <f t="shared" si="307"/>
        <v>0.28193207080695259</v>
      </c>
      <c r="BJ52" s="8">
        <f t="shared" si="307"/>
        <v>0.27311157835059269</v>
      </c>
      <c r="BK52" s="8">
        <f t="shared" si="307"/>
        <v>0.26412924199595095</v>
      </c>
      <c r="BL52" s="8">
        <f t="shared" si="307"/>
        <v>0.25498506174302732</v>
      </c>
      <c r="BM52" s="8">
        <f t="shared" si="307"/>
        <v>0.24567903759182183</v>
      </c>
      <c r="BN52" s="8">
        <f t="shared" si="307"/>
        <v>0.23621116954233459</v>
      </c>
      <c r="BO52" s="8">
        <f t="shared" si="307"/>
        <v>0.22658145759456549</v>
      </c>
      <c r="BP52" s="8">
        <f t="shared" si="307"/>
        <v>0.21678990174851451</v>
      </c>
      <c r="BQ52" s="8">
        <f t="shared" si="307"/>
        <v>0.20683650200418174</v>
      </c>
      <c r="BR52" s="8">
        <f t="shared" si="307"/>
        <v>0.19672125836156712</v>
      </c>
      <c r="BS52" s="8">
        <f t="shared" si="307"/>
        <v>0.18644417082067063</v>
      </c>
      <c r="BT52" s="8">
        <f t="shared" ref="BT52:CI52" si="308">ABS(SQRT(2)*(3*$D$2*2/(8*PI()*$F$5*$G2^2))*(1-BO$8^2/($F$5/2)^2))</f>
        <v>0.1760052393814924</v>
      </c>
      <c r="BU52" s="8">
        <f t="shared" si="308"/>
        <v>0.16540446404403228</v>
      </c>
      <c r="BV52" s="8">
        <f t="shared" si="308"/>
        <v>0.15464184480829032</v>
      </c>
      <c r="BW52" s="8">
        <f t="shared" si="308"/>
        <v>0.14371738167426656</v>
      </c>
      <c r="BX52" s="8">
        <f t="shared" si="308"/>
        <v>0.13263107464196092</v>
      </c>
      <c r="BY52" s="8">
        <f t="shared" si="308"/>
        <v>0.12138292371137351</v>
      </c>
      <c r="BZ52" s="8">
        <f t="shared" si="308"/>
        <v>0.10997292888250418</v>
      </c>
      <c r="CA52" s="8">
        <f t="shared" si="308"/>
        <v>9.8401090155353116E-2</v>
      </c>
      <c r="CB52" s="8">
        <f t="shared" si="308"/>
        <v>8.6667407529920193E-2</v>
      </c>
      <c r="CC52" s="8">
        <f t="shared" si="308"/>
        <v>7.477188100620541E-2</v>
      </c>
      <c r="CD52" s="8">
        <f t="shared" si="308"/>
        <v>6.2714510584208724E-2</v>
      </c>
      <c r="CE52" s="8">
        <f t="shared" si="308"/>
        <v>5.0495296263930338E-2</v>
      </c>
      <c r="CF52" s="8">
        <f t="shared" si="308"/>
        <v>3.8114238045370036E-2</v>
      </c>
      <c r="CG52" s="8">
        <f t="shared" si="308"/>
        <v>2.5571335928527877E-2</v>
      </c>
      <c r="CH52" s="8">
        <f t="shared" si="308"/>
        <v>1.2866589913403977E-2</v>
      </c>
      <c r="CI52" s="8">
        <f t="shared" si="308"/>
        <v>1.8399521000200492E-15</v>
      </c>
      <c r="CJ52" s="8"/>
      <c r="CK52" s="8">
        <f>G57/G52</f>
        <v>0</v>
      </c>
      <c r="CL52" s="8">
        <f t="shared" ref="CL52:EW52" si="309">H57/H52</f>
        <v>0.265206481457683</v>
      </c>
      <c r="CM52" s="8">
        <f t="shared" si="309"/>
        <v>0.53066174948333755</v>
      </c>
      <c r="CN52" s="8">
        <f t="shared" si="309"/>
        <v>0.7966153691978004</v>
      </c>
      <c r="CO52" s="8">
        <f t="shared" si="309"/>
        <v>1.0633184679496952</v>
      </c>
      <c r="CP52" s="8">
        <f t="shared" si="309"/>
        <v>1.3310245292923242</v>
      </c>
      <c r="CQ52" s="8">
        <f t="shared" si="309"/>
        <v>1.5999902025591264</v>
      </c>
      <c r="CR52" s="8">
        <f t="shared" si="309"/>
        <v>1.8704761335118869</v>
      </c>
      <c r="CS52" s="8">
        <f t="shared" si="309"/>
        <v>2.1427478217774159</v>
      </c>
      <c r="CT52" s="8">
        <f t="shared" si="309"/>
        <v>2.417076511098184</v>
      </c>
      <c r="CU52" s="8">
        <f t="shared" si="309"/>
        <v>2.6937401188058945</v>
      </c>
      <c r="CV52" s="8">
        <f t="shared" si="309"/>
        <v>2.9730242113911212</v>
      </c>
      <c r="CW52" s="8">
        <f t="shared" si="309"/>
        <v>3.255223033595358</v>
      </c>
      <c r="CX52" s="8">
        <f t="shared" si="309"/>
        <v>3.5406405991045218</v>
      </c>
      <c r="CY52" s="8">
        <f t="shared" si="309"/>
        <v>3.8295918516872969</v>
      </c>
      <c r="CZ52" s="8">
        <f t="shared" si="309"/>
        <v>4.1224039065126643</v>
      </c>
      <c r="DA52" s="8">
        <f t="shared" si="309"/>
        <v>4.4194173824159204</v>
      </c>
      <c r="DB52" s="8">
        <f t="shared" si="309"/>
        <v>4.7209878370824967</v>
      </c>
      <c r="DC52" s="8">
        <f t="shared" si="309"/>
        <v>5.0274873185086975</v>
      </c>
      <c r="DD52" s="8">
        <f t="shared" si="309"/>
        <v>5.3393060477076597</v>
      </c>
      <c r="DE52" s="8">
        <f t="shared" si="309"/>
        <v>5.6568542494923788</v>
      </c>
      <c r="DF52" s="8">
        <f t="shared" si="309"/>
        <v>5.9805641503275693</v>
      </c>
      <c r="DG52" s="8">
        <f t="shared" si="309"/>
        <v>6.3108921647480889</v>
      </c>
      <c r="DH52" s="8">
        <f t="shared" si="309"/>
        <v>6.6483212947534343</v>
      </c>
      <c r="DI52" s="8">
        <f t="shared" si="309"/>
        <v>6.9933637699768401</v>
      </c>
      <c r="DJ52" s="8">
        <f t="shared" si="309"/>
        <v>7.3465639603797115</v>
      </c>
      <c r="DK52" s="8">
        <f t="shared" si="309"/>
        <v>7.7085015978407672</v>
      </c>
      <c r="DL52" s="8">
        <f t="shared" si="309"/>
        <v>8.0797953484197276</v>
      </c>
      <c r="DM52" s="8">
        <f t="shared" si="309"/>
        <v>8.4611067834287734</v>
      </c>
      <c r="DN52" s="8">
        <f t="shared" si="309"/>
        <v>8.8531448049260124</v>
      </c>
      <c r="DO52" s="8">
        <f t="shared" si="309"/>
        <v>9.2566705900784427</v>
      </c>
      <c r="DP52" s="8">
        <f t="shared" si="309"/>
        <v>9.6725031293030241</v>
      </c>
      <c r="DQ52" s="8">
        <f t="shared" si="309"/>
        <v>10.10152544552211</v>
      </c>
      <c r="DR52" s="8">
        <f t="shared" si="309"/>
        <v>10.544691596681339</v>
      </c>
      <c r="DS52" s="8">
        <f t="shared" si="309"/>
        <v>11.003034581392509</v>
      </c>
      <c r="DT52" s="8">
        <f t="shared" si="309"/>
        <v>11.477675288825127</v>
      </c>
      <c r="DU52" s="8">
        <f t="shared" si="309"/>
        <v>11.969832659584199</v>
      </c>
      <c r="DV52" s="8">
        <f t="shared" si="309"/>
        <v>12.480835255290298</v>
      </c>
      <c r="DW52" s="8">
        <f t="shared" si="309"/>
        <v>13.012134472197983</v>
      </c>
      <c r="DX52" s="8">
        <f t="shared" si="309"/>
        <v>13.565319680069878</v>
      </c>
      <c r="DY52" s="8">
        <f t="shared" si="309"/>
        <v>14.142135623730969</v>
      </c>
      <c r="DZ52" s="8">
        <f t="shared" si="309"/>
        <v>14.744502493908957</v>
      </c>
      <c r="EA52" s="8">
        <f t="shared" si="309"/>
        <v>15.374539159534967</v>
      </c>
      <c r="EB52" s="8">
        <f t="shared" si="309"/>
        <v>16.03459016006412</v>
      </c>
      <c r="EC52" s="8">
        <f t="shared" si="309"/>
        <v>16.727257189359218</v>
      </c>
      <c r="ED52" s="8">
        <f t="shared" si="309"/>
        <v>17.455435969862233</v>
      </c>
      <c r="EE52" s="8">
        <f t="shared" si="309"/>
        <v>18.222359627216388</v>
      </c>
      <c r="EF52" s="8">
        <f t="shared" si="309"/>
        <v>19.031649944605761</v>
      </c>
      <c r="EG52" s="8">
        <f t="shared" si="309"/>
        <v>19.887378220871692</v>
      </c>
      <c r="EH52" s="8">
        <f t="shared" si="309"/>
        <v>20.794137901359889</v>
      </c>
      <c r="EI52" s="8">
        <f t="shared" si="309"/>
        <v>21.757131728816908</v>
      </c>
      <c r="EJ52" s="8">
        <f t="shared" si="309"/>
        <v>22.782276919513993</v>
      </c>
      <c r="EK52" s="8">
        <f t="shared" si="309"/>
        <v>23.876332871234144</v>
      </c>
      <c r="EL52" s="8">
        <f t="shared" si="309"/>
        <v>25.047057245037351</v>
      </c>
      <c r="EM52" s="8">
        <f t="shared" si="309"/>
        <v>26.303398060211503</v>
      </c>
      <c r="EN52" s="8">
        <f t="shared" si="309"/>
        <v>27.655731886407292</v>
      </c>
      <c r="EO52" s="8">
        <f t="shared" si="309"/>
        <v>29.116161578269711</v>
      </c>
      <c r="EP52" s="8">
        <f t="shared" si="309"/>
        <v>30.698891674490671</v>
      </c>
      <c r="EQ52" s="8">
        <f t="shared" si="309"/>
        <v>32.420706172980189</v>
      </c>
      <c r="ER52" s="8">
        <f t="shared" si="309"/>
        <v>34.301582807816239</v>
      </c>
      <c r="ES52" s="8">
        <f t="shared" si="309"/>
        <v>36.365491603879768</v>
      </c>
      <c r="ET52" s="8">
        <f t="shared" si="309"/>
        <v>38.641445601235965</v>
      </c>
      <c r="EU52" s="8">
        <f t="shared" si="309"/>
        <v>41.164901815555126</v>
      </c>
      <c r="EV52" s="8">
        <f t="shared" si="309"/>
        <v>43.979656649694221</v>
      </c>
      <c r="EW52" s="8">
        <f t="shared" si="309"/>
        <v>47.140452079103504</v>
      </c>
      <c r="EX52" s="8">
        <f t="shared" ref="EX52:FL52" si="310">BT57/BT52</f>
        <v>50.716624305794134</v>
      </c>
      <c r="EY52" s="8">
        <f t="shared" si="310"/>
        <v>54.797316115435443</v>
      </c>
      <c r="EZ52" s="8">
        <f t="shared" si="310"/>
        <v>59.499094931867013</v>
      </c>
      <c r="FA52" s="8">
        <f t="shared" si="310"/>
        <v>64.977379892818533</v>
      </c>
      <c r="FB52" s="8">
        <f t="shared" si="310"/>
        <v>71.444101869733728</v>
      </c>
      <c r="FC52" s="8">
        <f t="shared" si="310"/>
        <v>79.195959492894289</v>
      </c>
      <c r="FD52" s="8">
        <f t="shared" si="310"/>
        <v>88.661512519639004</v>
      </c>
      <c r="FE52" s="8">
        <f t="shared" si="310"/>
        <v>100.48359522124781</v>
      </c>
      <c r="FF52" s="8">
        <f t="shared" si="310"/>
        <v>115.67236980754933</v>
      </c>
      <c r="FG52" s="8">
        <f t="shared" si="310"/>
        <v>135.9114332670276</v>
      </c>
      <c r="FH52" s="8">
        <f t="shared" si="310"/>
        <v>164.23125240462193</v>
      </c>
      <c r="FI52" s="8">
        <f t="shared" si="310"/>
        <v>206.69275142376685</v>
      </c>
      <c r="FJ52" s="8">
        <f t="shared" si="310"/>
        <v>277.43807465664514</v>
      </c>
      <c r="FK52" s="8">
        <f t="shared" si="310"/>
        <v>418.89363746243981</v>
      </c>
      <c r="FL52" s="8">
        <f t="shared" si="310"/>
        <v>843.19148247162195</v>
      </c>
      <c r="FM52" s="8">
        <f>CI57/CI52</f>
        <v>5970985942992921</v>
      </c>
      <c r="FN52" s="8"/>
      <c r="FO52" s="8">
        <f>0.00056</f>
        <v>5.5999999999999995E-4</v>
      </c>
      <c r="FP52" s="8">
        <f>2*FO52</f>
        <v>1.1199999999999999E-3</v>
      </c>
      <c r="FQ52">
        <f>FP52/(1.6*10^-3)</f>
        <v>0.7</v>
      </c>
      <c r="FR52">
        <f>'estimates new'!AU82</f>
        <v>0.74149659863945583</v>
      </c>
      <c r="FS52">
        <f>FR52-FQ52</f>
        <v>4.1496598639455873E-2</v>
      </c>
    </row>
    <row r="53" spans="7:175" x14ac:dyDescent="0.25">
      <c r="G53" s="8">
        <f t="shared" ref="G53:G54" si="311">ABS(SQRT(2)*(3*$D$2*2/(8*PI()*$F$5*$G3^2))*(1-B$8^2/($F$5/2)^2))</f>
        <v>0.10230132829666487</v>
      </c>
      <c r="H53" s="8">
        <f t="shared" ref="H53:H54" si="312">ABS(SQRT(2)*(3*$D$2*2/(8*PI()*$F$5*$G3^2))*(1-C$8^2/($F$5/2)^2))</f>
        <v>0.10228534371411852</v>
      </c>
      <c r="I53" s="8">
        <f t="shared" ref="I53:I54" si="313">ABS(SQRT(2)*(3*$D$2*2/(8*PI()*$F$5*$G3^2))*(1-D$8^2/($F$5/2)^2))</f>
        <v>0.10223738996647945</v>
      </c>
      <c r="J53" s="8">
        <f t="shared" ref="J53:J54" si="314">ABS(SQRT(2)*(3*$D$2*2/(8*PI()*$F$5*$G3^2))*(1-E$8^2/($F$5/2)^2))</f>
        <v>0.10215746705374767</v>
      </c>
      <c r="K53" s="8">
        <f t="shared" ref="K53:K54" si="315">ABS(SQRT(2)*(3*$D$2*2/(8*PI()*$F$5*$G3^2))*(1-F$8^2/($F$5/2)^2))</f>
        <v>0.10204557497592322</v>
      </c>
      <c r="L53" s="8">
        <f t="shared" ref="L53:L54" si="316">ABS(SQRT(2)*(3*$D$2*2/(8*PI()*$F$5*$G3^2))*(1-G$8^2/($F$5/2)^2))</f>
        <v>0.10190171373300602</v>
      </c>
      <c r="M53" s="8">
        <f t="shared" ref="M53:M54" si="317">ABS(SQRT(2)*(3*$D$2*2/(8*PI()*$F$5*$G3^2))*(1-H$8^2/($F$5/2)^2))</f>
        <v>0.10172588332499613</v>
      </c>
      <c r="N53" s="8">
        <f t="shared" ref="N53:N54" si="318">ABS(SQRT(2)*(3*$D$2*2/(8*PI()*$F$5*$G3^2))*(1-I$8^2/($F$5/2)^2))</f>
        <v>0.10151808375189353</v>
      </c>
      <c r="O53" s="8">
        <f t="shared" ref="O53:O54" si="319">ABS(SQRT(2)*(3*$D$2*2/(8*PI()*$F$5*$G3^2))*(1-J$8^2/($F$5/2)^2))</f>
        <v>0.10127831501369822</v>
      </c>
      <c r="P53" s="8">
        <f t="shared" ref="P53:P54" si="320">ABS(SQRT(2)*(3*$D$2*2/(8*PI()*$F$5*$G3^2))*(1-K$8^2/($F$5/2)^2))</f>
        <v>0.1010065771104102</v>
      </c>
      <c r="Q53" s="8">
        <f t="shared" ref="Q53:Q54" si="321">ABS(SQRT(2)*(3*$D$2*2/(8*PI()*$F$5*$G3^2))*(1-L$8^2/($F$5/2)^2))</f>
        <v>0.10070287004202948</v>
      </c>
      <c r="R53" s="8">
        <f t="shared" ref="R53:R54" si="322">ABS(SQRT(2)*(3*$D$2*2/(8*PI()*$F$5*$G3^2))*(1-M$8^2/($F$5/2)^2))</f>
        <v>0.10036719380855605</v>
      </c>
      <c r="S53" s="8">
        <f t="shared" ref="S53:S54" si="323">ABS(SQRT(2)*(3*$D$2*2/(8*PI()*$F$5*$G3^2))*(1-N$8^2/($F$5/2)^2))</f>
        <v>9.9999548409989911E-2</v>
      </c>
      <c r="T53" s="8">
        <f t="shared" ref="T53:T54" si="324">ABS(SQRT(2)*(3*$D$2*2/(8*PI()*$F$5*$G3^2))*(1-O$8^2/($F$5/2)^2))</f>
        <v>9.9599933846331062E-2</v>
      </c>
      <c r="U53" s="8">
        <f t="shared" ref="U53:U54" si="325">ABS(SQRT(2)*(3*$D$2*2/(8*PI()*$F$5*$G3^2))*(1-P$8^2/($F$5/2)^2))</f>
        <v>9.9168350117579504E-2</v>
      </c>
      <c r="V53" s="8">
        <f t="shared" ref="V53:V54" si="326">ABS(SQRT(2)*(3*$D$2*2/(8*PI()*$F$5*$G3^2))*(1-Q$8^2/($F$5/2)^2))</f>
        <v>9.8704797223735249E-2</v>
      </c>
      <c r="W53" s="8">
        <f t="shared" ref="W53:W54" si="327">ABS(SQRT(2)*(3*$D$2*2/(8*PI()*$F$5*$G3^2))*(1-R$8^2/($F$5/2)^2))</f>
        <v>9.8209275164798271E-2</v>
      </c>
      <c r="X53" s="8">
        <f t="shared" ref="X53:X54" si="328">ABS(SQRT(2)*(3*$D$2*2/(8*PI()*$F$5*$G3^2))*(1-S$8^2/($F$5/2)^2))</f>
        <v>9.7681783940768596E-2</v>
      </c>
      <c r="Y53" s="8">
        <f t="shared" ref="Y53:Y54" si="329">ABS(SQRT(2)*(3*$D$2*2/(8*PI()*$F$5*$G3^2))*(1-T$8^2/($F$5/2)^2))</f>
        <v>9.7122323551646211E-2</v>
      </c>
      <c r="Z53" s="8">
        <f t="shared" ref="Z53:Z54" si="330">ABS(SQRT(2)*(3*$D$2*2/(8*PI()*$F$5*$G3^2))*(1-U$8^2/($F$5/2)^2))</f>
        <v>9.6530893997431116E-2</v>
      </c>
      <c r="AA53" s="8">
        <f t="shared" ref="AA53:AA54" si="331">ABS(SQRT(2)*(3*$D$2*2/(8*PI()*$F$5*$G3^2))*(1-V$8^2/($F$5/2)^2))</f>
        <v>9.5907495278123311E-2</v>
      </c>
      <c r="AB53" s="8">
        <f t="shared" ref="AB53:AB54" si="332">ABS(SQRT(2)*(3*$D$2*2/(8*PI()*$F$5*$G3^2))*(1-W$8^2/($F$5/2)^2))</f>
        <v>9.525212739372281E-2</v>
      </c>
      <c r="AC53" s="8">
        <f t="shared" ref="AC53:AC54" si="333">ABS(SQRT(2)*(3*$D$2*2/(8*PI()*$F$5*$G3^2))*(1-X$8^2/($F$5/2)^2))</f>
        <v>9.4564790344229585E-2</v>
      </c>
      <c r="AD53" s="8">
        <f t="shared" ref="AD53:AD54" si="334">ABS(SQRT(2)*(3*$D$2*2/(8*PI()*$F$5*$G3^2))*(1-Y$8^2/($F$5/2)^2))</f>
        <v>9.3845484129643664E-2</v>
      </c>
      <c r="AE53" s="8">
        <f t="shared" ref="AE53:AE54" si="335">ABS(SQRT(2)*(3*$D$2*2/(8*PI()*$F$5*$G3^2))*(1-Z$8^2/($F$5/2)^2))</f>
        <v>9.3094208749965032E-2</v>
      </c>
      <c r="AF53" s="8">
        <f t="shared" ref="AF53:AF54" si="336">ABS(SQRT(2)*(3*$D$2*2/(8*PI()*$F$5*$G3^2))*(1-AA$8^2/($F$5/2)^2))</f>
        <v>9.2310964205193691E-2</v>
      </c>
      <c r="AG53" s="8">
        <f t="shared" ref="AG53:AG54" si="337">ABS(SQRT(2)*(3*$D$2*2/(8*PI()*$F$5*$G3^2))*(1-AB$8^2/($F$5/2)^2))</f>
        <v>9.1495750495329653E-2</v>
      </c>
      <c r="AH53" s="8">
        <f t="shared" ref="AH53:AH54" si="338">ABS(SQRT(2)*(3*$D$2*2/(8*PI()*$F$5*$G3^2))*(1-AC$8^2/($F$5/2)^2))</f>
        <v>9.0648567620372877E-2</v>
      </c>
      <c r="AI53" s="8">
        <f t="shared" ref="AI53:AI54" si="339">ABS(SQRT(2)*(3*$D$2*2/(8*PI()*$F$5*$G3^2))*(1-AD$8^2/($F$5/2)^2))</f>
        <v>8.976941558032342E-2</v>
      </c>
      <c r="AJ53" s="8">
        <f t="shared" ref="AJ53:AJ54" si="340">ABS(SQRT(2)*(3*$D$2*2/(8*PI()*$F$5*$G3^2))*(1-AE$8^2/($F$5/2)^2))</f>
        <v>8.8858294375181252E-2</v>
      </c>
      <c r="AK53" s="8">
        <f t="shared" ref="AK53:AK54" si="341">ABS(SQRT(2)*(3*$D$2*2/(8*PI()*$F$5*$G3^2))*(1-AF$8^2/($F$5/2)^2))</f>
        <v>8.791520400494636E-2</v>
      </c>
      <c r="AL53" s="8">
        <f t="shared" ref="AL53:AL54" si="342">ABS(SQRT(2)*(3*$D$2*2/(8*PI()*$F$5*$G3^2))*(1-AG$8^2/($F$5/2)^2))</f>
        <v>8.6940144469618758E-2</v>
      </c>
      <c r="AM53" s="8">
        <f t="shared" ref="AM53:AM54" si="343">ABS(SQRT(2)*(3*$D$2*2/(8*PI()*$F$5*$G3^2))*(1-AH$8^2/($F$5/2)^2))</f>
        <v>8.5933115769198473E-2</v>
      </c>
      <c r="AN53" s="8">
        <f t="shared" ref="AN53:AN54" si="344">ABS(SQRT(2)*(3*$D$2*2/(8*PI()*$F$5*$G3^2))*(1-AI$8^2/($F$5/2)^2))</f>
        <v>8.4894117903685465E-2</v>
      </c>
      <c r="AO53" s="8">
        <f t="shared" ref="AO53:AO54" si="345">ABS(SQRT(2)*(3*$D$2*2/(8*PI()*$F$5*$G3^2))*(1-AJ$8^2/($F$5/2)^2))</f>
        <v>8.3823150873079746E-2</v>
      </c>
      <c r="AP53" s="8">
        <f t="shared" ref="AP53:AP54" si="346">ABS(SQRT(2)*(3*$D$2*2/(8*PI()*$F$5*$G3^2))*(1-AK$8^2/($F$5/2)^2))</f>
        <v>8.2720214677381332E-2</v>
      </c>
      <c r="AQ53" s="8">
        <f t="shared" ref="AQ53:AQ54" si="347">ABS(SQRT(2)*(3*$D$2*2/(8*PI()*$F$5*$G3^2))*(1-AL$8^2/($F$5/2)^2))</f>
        <v>8.1585309316590193E-2</v>
      </c>
      <c r="AR53" s="8">
        <f t="shared" ref="AR53:AR54" si="348">ABS(SQRT(2)*(3*$D$2*2/(8*PI()*$F$5*$G3^2))*(1-AM$8^2/($F$5/2)^2))</f>
        <v>8.0418434790706358E-2</v>
      </c>
      <c r="AS53" s="8">
        <f t="shared" ref="AS53:AS54" si="349">ABS(SQRT(2)*(3*$D$2*2/(8*PI()*$F$5*$G3^2))*(1-AN$8^2/($F$5/2)^2))</f>
        <v>7.9219591099729814E-2</v>
      </c>
      <c r="AT53" s="8">
        <f t="shared" ref="AT53:AT54" si="350">ABS(SQRT(2)*(3*$D$2*2/(8*PI()*$F$5*$G3^2))*(1-AO$8^2/($F$5/2)^2))</f>
        <v>7.7988778243660559E-2</v>
      </c>
      <c r="AU53" s="8">
        <f t="shared" ref="AU53:AU54" si="351">ABS(SQRT(2)*(3*$D$2*2/(8*PI()*$F$5*$G3^2))*(1-AP$8^2/($F$5/2)^2))</f>
        <v>7.6725996222498608E-2</v>
      </c>
      <c r="AV53" s="8">
        <f t="shared" ref="AV53:AV54" si="352">ABS(SQRT(2)*(3*$D$2*2/(8*PI()*$F$5*$G3^2))*(1-AQ$8^2/($F$5/2)^2))</f>
        <v>7.5431245036243932E-2</v>
      </c>
      <c r="AW53" s="8">
        <f t="shared" ref="AW53:AW54" si="353">ABS(SQRT(2)*(3*$D$2*2/(8*PI()*$F$5*$G3^2))*(1-AR$8^2/($F$5/2)^2))</f>
        <v>7.4104524684896547E-2</v>
      </c>
      <c r="AX53" s="8">
        <f t="shared" ref="AX53:AX54" si="354">ABS(SQRT(2)*(3*$D$2*2/(8*PI()*$F$5*$G3^2))*(1-AS$8^2/($F$5/2)^2))</f>
        <v>7.274583516845648E-2</v>
      </c>
      <c r="AY53" s="8">
        <f t="shared" ref="AY53:AY54" si="355">ABS(SQRT(2)*(3*$D$2*2/(8*PI()*$F$5*$G3^2))*(1-AT$8^2/($F$5/2)^2))</f>
        <v>7.1355176486923674E-2</v>
      </c>
      <c r="AZ53" s="8">
        <f t="shared" ref="AZ53:AZ54" si="356">ABS(SQRT(2)*(3*$D$2*2/(8*PI()*$F$5*$G3^2))*(1-AU$8^2/($F$5/2)^2))</f>
        <v>6.9932548640298187E-2</v>
      </c>
      <c r="BA53" s="8">
        <f t="shared" ref="BA53:BA54" si="357">ABS(SQRT(2)*(3*$D$2*2/(8*PI()*$F$5*$G3^2))*(1-AV$8^2/($F$5/2)^2))</f>
        <v>6.8477951628579961E-2</v>
      </c>
      <c r="BB53" s="8">
        <f t="shared" ref="BB53:BB54" si="358">ABS(SQRT(2)*(3*$D$2*2/(8*PI()*$F$5*$G3^2))*(1-AW$8^2/($F$5/2)^2))</f>
        <v>6.6991385451769039E-2</v>
      </c>
      <c r="BC53" s="8">
        <f t="shared" ref="BC53:BC54" si="359">ABS(SQRT(2)*(3*$D$2*2/(8*PI()*$F$5*$G3^2))*(1-AX$8^2/($F$5/2)^2))</f>
        <v>6.5472850109865421E-2</v>
      </c>
      <c r="BD53" s="8">
        <f t="shared" ref="BD53:BD54" si="360">ABS(SQRT(2)*(3*$D$2*2/(8*PI()*$F$5*$G3^2))*(1-AY$8^2/($F$5/2)^2))</f>
        <v>6.3922345602869093E-2</v>
      </c>
      <c r="BE53" s="8">
        <f t="shared" ref="BE53:BE54" si="361">ABS(SQRT(2)*(3*$D$2*2/(8*PI()*$F$5*$G3^2))*(1-AZ$8^2/($F$5/2)^2))</f>
        <v>6.2339871930780041E-2</v>
      </c>
      <c r="BF53" s="8">
        <f t="shared" ref="BF53:BF54" si="362">ABS(SQRT(2)*(3*$D$2*2/(8*PI()*$F$5*$G3^2))*(1-BA$8^2/($F$5/2)^2))</f>
        <v>6.07254290935983E-2</v>
      </c>
      <c r="BG53" s="8">
        <f t="shared" ref="BG53:BG54" si="363">ABS(SQRT(2)*(3*$D$2*2/(8*PI()*$F$5*$G3^2))*(1-BB$8^2/($F$5/2)^2))</f>
        <v>5.9079017091323842E-2</v>
      </c>
      <c r="BH53" s="8">
        <f t="shared" ref="BH53:BH54" si="364">ABS(SQRT(2)*(3*$D$2*2/(8*PI()*$F$5*$G3^2))*(1-BC$8^2/($F$5/2)^2))</f>
        <v>5.7400635923956687E-2</v>
      </c>
      <c r="BI53" s="8">
        <f t="shared" ref="BI53:BI54" si="365">ABS(SQRT(2)*(3*$D$2*2/(8*PI()*$F$5*$G3^2))*(1-BD$8^2/($F$5/2)^2))</f>
        <v>5.5690285591496809E-2</v>
      </c>
      <c r="BJ53" s="8">
        <f t="shared" ref="BJ53:BJ54" si="366">ABS(SQRT(2)*(3*$D$2*2/(8*PI()*$F$5*$G3^2))*(1-BE$8^2/($F$5/2)^2))</f>
        <v>5.3947966093944227E-2</v>
      </c>
      <c r="BK53" s="8">
        <f t="shared" ref="BK53:BK54" si="367">ABS(SQRT(2)*(3*$D$2*2/(8*PI()*$F$5*$G3^2))*(1-BF$8^2/($F$5/2)^2))</f>
        <v>5.217367743129895E-2</v>
      </c>
      <c r="BL53" s="8">
        <f t="shared" ref="BL53:BL54" si="368">ABS(SQRT(2)*(3*$D$2*2/(8*PI()*$F$5*$G3^2))*(1-BG$8^2/($F$5/2)^2))</f>
        <v>5.0367419603560941E-2</v>
      </c>
      <c r="BM53" s="8">
        <f t="shared" ref="BM53:BM54" si="369">ABS(SQRT(2)*(3*$D$2*2/(8*PI()*$F$5*$G3^2))*(1-BH$8^2/($F$5/2)^2))</f>
        <v>4.8529192610730236E-2</v>
      </c>
      <c r="BN53" s="8">
        <f t="shared" ref="BN53:BN54" si="370">ABS(SQRT(2)*(3*$D$2*2/(8*PI()*$F$5*$G3^2))*(1-BI$8^2/($F$5/2)^2))</f>
        <v>4.6658996452806828E-2</v>
      </c>
      <c r="BO53" s="8">
        <f t="shared" ref="BO53:BO54" si="371">ABS(SQRT(2)*(3*$D$2*2/(8*PI()*$F$5*$G3^2))*(1-BJ$8^2/($F$5/2)^2))</f>
        <v>4.475683112979071E-2</v>
      </c>
      <c r="BP53" s="8">
        <f t="shared" ref="BP53:BP54" si="372">ABS(SQRT(2)*(3*$D$2*2/(8*PI()*$F$5*$G3^2))*(1-BK$8^2/($F$5/2)^2))</f>
        <v>4.2822696641681875E-2</v>
      </c>
      <c r="BQ53" s="8">
        <f t="shared" ref="BQ53:BQ54" si="373">ABS(SQRT(2)*(3*$D$2*2/(8*PI()*$F$5*$G3^2))*(1-BL$8^2/($F$5/2)^2))</f>
        <v>4.0856592988480343E-2</v>
      </c>
      <c r="BR53" s="8">
        <f t="shared" ref="BR53:BR54" si="374">ABS(SQRT(2)*(3*$D$2*2/(8*PI()*$F$5*$G3^2))*(1-BM$8^2/($F$5/2)^2))</f>
        <v>3.8858520170186095E-2</v>
      </c>
      <c r="BS53" s="8">
        <f t="shared" ref="BS53:BS54" si="375">ABS(SQRT(2)*(3*$D$2*2/(8*PI()*$F$5*$G3^2))*(1-BN$8^2/($F$5/2)^2))</f>
        <v>3.6828478186799136E-2</v>
      </c>
      <c r="BT53" s="8">
        <f t="shared" ref="BT53:BT54" si="376">ABS(SQRT(2)*(3*$D$2*2/(8*PI()*$F$5*$G3^2))*(1-BO$8^2/($F$5/2)^2))</f>
        <v>3.4766467038319489E-2</v>
      </c>
      <c r="BU53" s="8">
        <f t="shared" ref="BU53:BU54" si="377">ABS(SQRT(2)*(3*$D$2*2/(8*PI()*$F$5*$G3^2))*(1-BP$8^2/($F$5/2)^2))</f>
        <v>3.267248672474711E-2</v>
      </c>
      <c r="BV53" s="8">
        <f t="shared" ref="BV53:BV54" si="378">ABS(SQRT(2)*(3*$D$2*2/(8*PI()*$F$5*$G3^2))*(1-BQ$8^2/($F$5/2)^2))</f>
        <v>3.0546537246082035E-2</v>
      </c>
      <c r="BW53" s="8">
        <f t="shared" ref="BW53:BW54" si="379">ABS(SQRT(2)*(3*$D$2*2/(8*PI()*$F$5*$G3^2))*(1-BR$8^2/($F$5/2)^2))</f>
        <v>2.8388618602324261E-2</v>
      </c>
      <c r="BX53" s="8">
        <f t="shared" ref="BX53:BX54" si="380">ABS(SQRT(2)*(3*$D$2*2/(8*PI()*$F$5*$G3^2))*(1-BS$8^2/($F$5/2)^2))</f>
        <v>2.6198730793473759E-2</v>
      </c>
      <c r="BY53" s="8">
        <f t="shared" ref="BY53:BY54" si="381">ABS(SQRT(2)*(3*$D$2*2/(8*PI()*$F$5*$G3^2))*(1-BT$8^2/($F$5/2)^2))</f>
        <v>2.3976873819530568E-2</v>
      </c>
      <c r="BZ53" s="8">
        <f t="shared" ref="BZ53:BZ54" si="382">ABS(SQRT(2)*(3*$D$2*2/(8*PI()*$F$5*$G3^2))*(1-BU$8^2/($F$5/2)^2))</f>
        <v>2.1723047680494652E-2</v>
      </c>
      <c r="CA53" s="8">
        <f t="shared" ref="CA53:CA54" si="383">ABS(SQRT(2)*(3*$D$2*2/(8*PI()*$F$5*$G3^2))*(1-BV$8^2/($F$5/2)^2))</f>
        <v>1.9437252376366048E-2</v>
      </c>
      <c r="CB53" s="8">
        <f t="shared" ref="CB53:CB54" si="384">ABS(SQRT(2)*(3*$D$2*2/(8*PI()*$F$5*$G3^2))*(1-BW$8^2/($F$5/2)^2))</f>
        <v>1.711948790714473E-2</v>
      </c>
      <c r="CC53" s="8">
        <f t="shared" ref="CC53:CC54" si="385">ABS(SQRT(2)*(3*$D$2*2/(8*PI()*$F$5*$G3^2))*(1-BX$8^2/($F$5/2)^2))</f>
        <v>1.4769754272830699E-2</v>
      </c>
      <c r="CD53" s="8">
        <f t="shared" ref="CD53:CD54" si="386">ABS(SQRT(2)*(3*$D$2*2/(8*PI()*$F$5*$G3^2))*(1-BY$8^2/($F$5/2)^2))</f>
        <v>1.2388051473423943E-2</v>
      </c>
      <c r="CE53" s="8">
        <f t="shared" ref="CE53:CE54" si="387">ABS(SQRT(2)*(3*$D$2*2/(8*PI()*$F$5*$G3^2))*(1-BZ$8^2/($F$5/2)^2))</f>
        <v>9.9743795089245104E-3</v>
      </c>
      <c r="CF53" s="8">
        <f t="shared" ref="CF53:CF54" si="388">ABS(SQRT(2)*(3*$D$2*2/(8*PI()*$F$5*$G3^2))*(1-CA$8^2/($F$5/2)^2))</f>
        <v>7.5287383793323521E-3</v>
      </c>
      <c r="CG53" s="8">
        <f t="shared" ref="CG53:CG54" si="389">ABS(SQRT(2)*(3*$D$2*2/(8*PI()*$F$5*$G3^2))*(1-CB$8^2/($F$5/2)^2))</f>
        <v>5.0511280846474819E-3</v>
      </c>
      <c r="CH53" s="8">
        <f t="shared" ref="CH53:CH54" si="390">ABS(SQRT(2)*(3*$D$2*2/(8*PI()*$F$5*$G3^2))*(1-CC$8^2/($F$5/2)^2))</f>
        <v>2.5415486248699212E-3</v>
      </c>
      <c r="CI53" s="8">
        <f t="shared" ref="CI53:CI54" si="391">ABS(SQRT(2)*(3*$D$2*2/(8*PI()*$F$5*$G3^2))*(1-CD$8^2/($F$5/2)^2))</f>
        <v>3.6344732839902203E-16</v>
      </c>
      <c r="CK53" s="8">
        <f t="shared" ref="CK53:CK54" si="392">G58/G53</f>
        <v>0</v>
      </c>
      <c r="CL53" s="8">
        <f t="shared" ref="CL53:CL54" si="393">H58/H53</f>
        <v>0.59671458327978699</v>
      </c>
      <c r="CM53" s="8">
        <f t="shared" ref="CM53:CM54" si="394">I58/I53</f>
        <v>1.19398893633751</v>
      </c>
      <c r="CN53" s="8">
        <f t="shared" ref="CN53:CN54" si="395">J58/J53</f>
        <v>1.7923845806950511</v>
      </c>
      <c r="CO53" s="8">
        <f t="shared" ref="CO53:CO54" si="396">K58/K53</f>
        <v>2.3924665528868148</v>
      </c>
      <c r="CP53" s="8">
        <f t="shared" ref="CP53:CP54" si="397">L58/L53</f>
        <v>2.9948051909077305</v>
      </c>
      <c r="CQ53" s="8">
        <f t="shared" ref="CQ53:CQ54" si="398">M58/M53</f>
        <v>3.5999779557580354</v>
      </c>
      <c r="CR53" s="8">
        <f t="shared" ref="CR53:CR54" si="399">N58/N53</f>
        <v>4.2085713004017471</v>
      </c>
      <c r="CS53" s="8">
        <f t="shared" ref="CS53:CS54" si="400">O58/O53</f>
        <v>4.8211825989991883</v>
      </c>
      <c r="CT53" s="8">
        <f t="shared" ref="CT53:CT54" si="401">P58/P53</f>
        <v>5.4384221499709149</v>
      </c>
      <c r="CU53" s="8">
        <f t="shared" ref="CU53:CU54" si="402">Q58/Q53</f>
        <v>6.0609152673132645</v>
      </c>
      <c r="CV53" s="8">
        <f t="shared" ref="CV53:CV54" si="403">R58/R53</f>
        <v>6.6893044756300242</v>
      </c>
      <c r="CW53" s="8">
        <f t="shared" ref="CW53:CW54" si="404">S58/S53</f>
        <v>7.3242518255895579</v>
      </c>
      <c r="CX53" s="8">
        <f t="shared" ref="CX53:CX54" si="405">T58/T53</f>
        <v>7.9664413479851772</v>
      </c>
      <c r="CY53" s="8">
        <f t="shared" ref="CY53:CY54" si="406">U58/U53</f>
        <v>8.6165816662964207</v>
      </c>
      <c r="CZ53" s="8">
        <f t="shared" ref="CZ53:CZ54" si="407">V58/V53</f>
        <v>9.2754087896534987</v>
      </c>
      <c r="DA53" s="8">
        <f t="shared" ref="DA53:DA54" si="408">W58/W53</f>
        <v>9.9436891104358249</v>
      </c>
      <c r="DB53" s="8">
        <f t="shared" ref="DB53:DB54" si="409">X58/X53</f>
        <v>10.622222633435618</v>
      </c>
      <c r="DC53" s="8">
        <f t="shared" ref="DC53:DC54" si="410">Y58/Y53</f>
        <v>11.311846466644571</v>
      </c>
      <c r="DD53" s="8">
        <f t="shared" ref="DD53:DD54" si="411">Z58/Z53</f>
        <v>12.013438607342238</v>
      </c>
      <c r="DE53" s="8">
        <f t="shared" ref="DE53:DE54" si="412">AA58/AA53</f>
        <v>12.727922061357855</v>
      </c>
      <c r="DF53" s="8">
        <f t="shared" ref="DF53:DF54" si="413">AB58/AB53</f>
        <v>13.456269338237034</v>
      </c>
      <c r="DG53" s="8">
        <f t="shared" ref="DG53:DG54" si="414">AC58/AC53</f>
        <v>14.199507370683206</v>
      </c>
      <c r="DH53" s="8">
        <f t="shared" ref="DH53:DH54" si="415">AD58/AD53</f>
        <v>14.95872291319523</v>
      </c>
      <c r="DI53" s="8">
        <f t="shared" ref="DI53:DI54" si="416">AE58/AE53</f>
        <v>15.735068482447897</v>
      </c>
      <c r="DJ53" s="8">
        <f t="shared" ref="DJ53:DJ54" si="417">AF58/AF53</f>
        <v>16.529768910854358</v>
      </c>
      <c r="DK53" s="8">
        <f t="shared" ref="DK53:DK54" si="418">AG58/AG53</f>
        <v>17.344128595141729</v>
      </c>
      <c r="DL53" s="8">
        <f t="shared" ref="DL53:DL54" si="419">AH58/AH53</f>
        <v>18.179539533944393</v>
      </c>
      <c r="DM53" s="8">
        <f t="shared" ref="DM53:DM54" si="420">AI58/AI53</f>
        <v>19.037490262714744</v>
      </c>
      <c r="DN53" s="8">
        <f t="shared" ref="DN53:DN54" si="421">AJ58/AJ53</f>
        <v>19.919575811083536</v>
      </c>
      <c r="DO53" s="8">
        <f t="shared" ref="DO53:DO54" si="422">AK58/AK53</f>
        <v>20.827508827676503</v>
      </c>
      <c r="DP53" s="8">
        <f t="shared" ref="DP53:DP54" si="423">AL58/AL53</f>
        <v>21.763132040931815</v>
      </c>
      <c r="DQ53" s="8">
        <f t="shared" ref="DQ53:DQ54" si="424">AM58/AM53</f>
        <v>22.728432252424756</v>
      </c>
      <c r="DR53" s="8">
        <f t="shared" ref="DR53:DR54" si="425">AN58/AN53</f>
        <v>23.725556092533022</v>
      </c>
      <c r="DS53" s="8">
        <f t="shared" ref="DS53:DS54" si="426">AO58/AO53</f>
        <v>24.756827808133153</v>
      </c>
      <c r="DT53" s="8">
        <f t="shared" ref="DT53:DT54" si="427">AP58/AP53</f>
        <v>25.824769399856546</v>
      </c>
      <c r="DU53" s="8">
        <f t="shared" ref="DU53:DU54" si="428">AQ58/AQ53</f>
        <v>26.932123484064462</v>
      </c>
      <c r="DV53" s="8">
        <f t="shared" ref="DV53:DV54" si="429">AR58/AR53</f>
        <v>28.081879324403175</v>
      </c>
      <c r="DW53" s="8">
        <f t="shared" ref="DW53:DW54" si="430">AS58/AS53</f>
        <v>29.277302562445474</v>
      </c>
      <c r="DX53" s="8">
        <f t="shared" ref="DX53:DX54" si="431">AT58/AT53</f>
        <v>30.521969280157233</v>
      </c>
      <c r="DY53" s="8">
        <f t="shared" ref="DY53:DY54" si="432">AU58/AU53</f>
        <v>31.819805153394682</v>
      </c>
      <c r="DZ53" s="8">
        <f t="shared" ref="DZ53:DZ54" si="433">AV58/AV53</f>
        <v>33.175130611295167</v>
      </c>
      <c r="EA53" s="8">
        <f t="shared" ref="EA53:EA54" si="434">AW58/AW53</f>
        <v>34.592713108953681</v>
      </c>
      <c r="EB53" s="8">
        <f t="shared" ref="EB53:EB54" si="435">AX58/AX53</f>
        <v>36.077827860144282</v>
      </c>
      <c r="EC53" s="8">
        <f t="shared" ref="EC53:EC54" si="436">AY58/AY53</f>
        <v>37.636328676058255</v>
      </c>
      <c r="ED53" s="8">
        <f t="shared" ref="ED53:ED54" si="437">AZ58/AZ53</f>
        <v>39.274730932190032</v>
      </c>
      <c r="EE53" s="8">
        <f t="shared" ref="EE53:EE54" si="438">BA58/BA53</f>
        <v>41.000309161236892</v>
      </c>
      <c r="EF53" s="8">
        <f t="shared" ref="EF53:EF54" si="439">BB58/BB53</f>
        <v>42.821212375362975</v>
      </c>
      <c r="EG53" s="8">
        <f t="shared" ref="EG53:EG54" si="440">BC58/BC53</f>
        <v>44.746600996961327</v>
      </c>
      <c r="EH53" s="8">
        <f t="shared" ref="EH53:EH54" si="441">BD58/BD53</f>
        <v>46.786810278059761</v>
      </c>
      <c r="EI53" s="8">
        <f t="shared" ref="EI53:EI54" si="442">BE58/BE53</f>
        <v>48.953546389838053</v>
      </c>
      <c r="EJ53" s="8">
        <f t="shared" ref="EJ53:EJ54" si="443">BF58/BF53</f>
        <v>51.260123068906495</v>
      </c>
      <c r="EK53" s="8">
        <f t="shared" ref="EK53:EK54" si="444">BG58/BG53</f>
        <v>53.721748960276841</v>
      </c>
      <c r="EL53" s="8">
        <f t="shared" ref="EL53:EL54" si="445">BH58/BH53</f>
        <v>56.35587880133405</v>
      </c>
      <c r="EM53" s="8">
        <f t="shared" ref="EM53:EM54" si="446">BI58/BI53</f>
        <v>59.182645635475886</v>
      </c>
      <c r="EN53" s="8">
        <f t="shared" ref="EN53:EN54" si="447">BJ58/BJ53</f>
        <v>62.225396744416429</v>
      </c>
      <c r="EO53" s="8">
        <f t="shared" ref="EO53:EO54" si="448">BK58/BK53</f>
        <v>65.511363551106868</v>
      </c>
      <c r="EP53" s="8">
        <f t="shared" ref="EP53:EP54" si="449">BL58/BL53</f>
        <v>69.072506267604027</v>
      </c>
      <c r="EQ53" s="8">
        <f t="shared" ref="EQ53:EQ54" si="450">BM58/BM53</f>
        <v>72.946588889205444</v>
      </c>
      <c r="ER53" s="8">
        <f t="shared" ref="ER53:ER54" si="451">BN58/BN53</f>
        <v>77.178561317586556</v>
      </c>
      <c r="ES53" s="8">
        <f t="shared" ref="ES53:ES54" si="452">BO58/BO53</f>
        <v>81.822356108729508</v>
      </c>
      <c r="ET53" s="8">
        <f t="shared" ref="ET53:ET54" si="453">BP58/BP53</f>
        <v>86.94325260278093</v>
      </c>
      <c r="EU53" s="8">
        <f t="shared" ref="EU53:EU54" si="454">BQ58/BQ53</f>
        <v>92.621029084999037</v>
      </c>
      <c r="EV53" s="8">
        <f t="shared" ref="EV53:EV54" si="455">BR58/BR53</f>
        <v>98.954227461812053</v>
      </c>
      <c r="EW53" s="8">
        <f t="shared" ref="EW53:EW54" si="456">BS58/BS53</f>
        <v>106.06601717798291</v>
      </c>
      <c r="EX53" s="8">
        <f t="shared" ref="EX53:EX54" si="457">BT58/BT53</f>
        <v>114.11240468803682</v>
      </c>
      <c r="EY53" s="8">
        <f t="shared" ref="EY53:EY54" si="458">BU58/BU53</f>
        <v>123.2939612597298</v>
      </c>
      <c r="EZ53" s="8">
        <f t="shared" ref="EZ53:EZ54" si="459">BV58/BV53</f>
        <v>133.87296359670086</v>
      </c>
      <c r="FA53" s="8">
        <f t="shared" ref="FA53:FA54" si="460">BW58/BW53</f>
        <v>146.19910475884171</v>
      </c>
      <c r="FB53" s="8">
        <f t="shared" ref="FB53:FB54" si="461">BX58/BX53</f>
        <v>160.74922920690094</v>
      </c>
      <c r="FC53" s="8">
        <f t="shared" ref="FC53:FC54" si="462">BY58/BY53</f>
        <v>178.19090885901221</v>
      </c>
      <c r="FD53" s="8">
        <f t="shared" ref="FD53:FD54" si="463">BZ58/BZ53</f>
        <v>199.48840316918779</v>
      </c>
      <c r="FE53" s="8">
        <f t="shared" ref="FE53:FE54" si="464">CA58/CA53</f>
        <v>226.08808924780757</v>
      </c>
      <c r="FF53" s="8">
        <f t="shared" ref="FF53:FF54" si="465">CB58/CB53</f>
        <v>260.26283206698611</v>
      </c>
      <c r="FG53" s="8">
        <f t="shared" ref="FG53:FG54" si="466">CC58/CC53</f>
        <v>305.80072485081217</v>
      </c>
      <c r="FH53" s="8">
        <f t="shared" ref="FH53:FH54" si="467">CD58/CD53</f>
        <v>369.52031791039946</v>
      </c>
      <c r="FI53" s="8">
        <f t="shared" ref="FI53:FI54" si="468">CE58/CE53</f>
        <v>465.05869070347552</v>
      </c>
      <c r="FJ53" s="8">
        <f t="shared" ref="FJ53:FJ54" si="469">CF58/CF53</f>
        <v>624.23566797745173</v>
      </c>
      <c r="FK53" s="8">
        <f t="shared" ref="FK53:FK54" si="470">CG58/CG53</f>
        <v>942.51068429048951</v>
      </c>
      <c r="FL53" s="8">
        <f t="shared" ref="FL53:FL54" si="471">CH58/CH53</f>
        <v>1897.1808355611499</v>
      </c>
      <c r="FM53" s="8">
        <f t="shared" ref="FM53:FM54" si="472">CI58/CI53</f>
        <v>1.3434718371734074E+16</v>
      </c>
      <c r="FO53">
        <v>3.8999999999999999E-4</v>
      </c>
      <c r="FP53" s="8">
        <f t="shared" ref="FP53:FP54" si="473">2*FO53</f>
        <v>7.7999999999999999E-4</v>
      </c>
      <c r="FQ53" s="8">
        <f t="shared" ref="FQ53:FQ54" si="474">FP53/(1.6*10^-3)</f>
        <v>0.48749999999999999</v>
      </c>
      <c r="FR53" s="8">
        <f>'estimates new'!AU83</f>
        <v>0.58278145695364236</v>
      </c>
      <c r="FS53" s="8">
        <f t="shared" ref="FS53:FS54" si="475">FR53-FQ53</f>
        <v>9.5281456953642374E-2</v>
      </c>
    </row>
    <row r="54" spans="7:175" x14ac:dyDescent="0.25">
      <c r="G54" s="8">
        <f t="shared" si="311"/>
        <v>4.2277589755254356E-2</v>
      </c>
      <c r="H54" s="8">
        <f t="shared" si="312"/>
        <v>4.2270983881855101E-2</v>
      </c>
      <c r="I54" s="8">
        <f t="shared" si="313"/>
        <v>4.2251166261657321E-2</v>
      </c>
      <c r="J54" s="8">
        <f t="shared" si="314"/>
        <v>4.2218136894661029E-2</v>
      </c>
      <c r="K54" s="8">
        <f t="shared" si="315"/>
        <v>4.217189578086622E-2</v>
      </c>
      <c r="L54" s="8">
        <f t="shared" si="316"/>
        <v>4.2112442920272893E-2</v>
      </c>
      <c r="M54" s="8">
        <f t="shared" si="317"/>
        <v>4.2039778312881054E-2</v>
      </c>
      <c r="N54" s="8">
        <f t="shared" si="318"/>
        <v>4.1953901958690691E-2</v>
      </c>
      <c r="O54" s="8">
        <f t="shared" si="319"/>
        <v>4.185481385770181E-2</v>
      </c>
      <c r="P54" s="8">
        <f t="shared" si="320"/>
        <v>4.1742514009914418E-2</v>
      </c>
      <c r="Q54" s="8">
        <f t="shared" si="321"/>
        <v>4.1617002415328508E-2</v>
      </c>
      <c r="R54" s="8">
        <f t="shared" si="322"/>
        <v>4.147827907394408E-2</v>
      </c>
      <c r="S54" s="8">
        <f t="shared" si="323"/>
        <v>4.1326343985761134E-2</v>
      </c>
      <c r="T54" s="8">
        <f t="shared" si="324"/>
        <v>4.116119715077967E-2</v>
      </c>
      <c r="U54" s="8">
        <f t="shared" si="325"/>
        <v>4.0982838568999688E-2</v>
      </c>
      <c r="V54" s="8">
        <f t="shared" si="326"/>
        <v>4.0791268240421195E-2</v>
      </c>
      <c r="W54" s="8">
        <f t="shared" si="327"/>
        <v>4.0586486165044178E-2</v>
      </c>
      <c r="X54" s="8">
        <f t="shared" si="328"/>
        <v>4.0368492342868649E-2</v>
      </c>
      <c r="Y54" s="8">
        <f t="shared" si="329"/>
        <v>4.0137286773894602E-2</v>
      </c>
      <c r="Z54" s="8">
        <f t="shared" si="330"/>
        <v>3.9892869458122038E-2</v>
      </c>
      <c r="AA54" s="8">
        <f t="shared" si="331"/>
        <v>3.9635240395550962E-2</v>
      </c>
      <c r="AB54" s="8">
        <f t="shared" si="332"/>
        <v>3.9364399586181362E-2</v>
      </c>
      <c r="AC54" s="8">
        <f t="shared" si="333"/>
        <v>3.9080347030013243E-2</v>
      </c>
      <c r="AD54" s="8">
        <f t="shared" si="334"/>
        <v>3.8783082727046614E-2</v>
      </c>
      <c r="AE54" s="8">
        <f t="shared" si="335"/>
        <v>3.8472606677281466E-2</v>
      </c>
      <c r="AF54" s="8">
        <f t="shared" si="336"/>
        <v>3.8148918880717801E-2</v>
      </c>
      <c r="AG54" s="8">
        <f t="shared" si="337"/>
        <v>3.7812019337355618E-2</v>
      </c>
      <c r="AH54" s="8">
        <f t="shared" si="338"/>
        <v>3.746190804719491E-2</v>
      </c>
      <c r="AI54" s="8">
        <f t="shared" si="339"/>
        <v>3.7098585010235698E-2</v>
      </c>
      <c r="AJ54" s="8">
        <f t="shared" si="340"/>
        <v>3.6722050226477961E-2</v>
      </c>
      <c r="AK54" s="8">
        <f t="shared" si="341"/>
        <v>3.6332303695921705E-2</v>
      </c>
      <c r="AL54" s="8">
        <f t="shared" si="342"/>
        <v>3.5929345418566933E-2</v>
      </c>
      <c r="AM54" s="8">
        <f t="shared" si="343"/>
        <v>3.5513175394413656E-2</v>
      </c>
      <c r="AN54" s="8">
        <f t="shared" si="344"/>
        <v>3.5083793623461847E-2</v>
      </c>
      <c r="AO54" s="8">
        <f t="shared" si="345"/>
        <v>3.4641200105711527E-2</v>
      </c>
      <c r="AP54" s="8">
        <f t="shared" si="346"/>
        <v>3.4185394841162696E-2</v>
      </c>
      <c r="AQ54" s="8">
        <f t="shared" si="347"/>
        <v>3.3716377829815333E-2</v>
      </c>
      <c r="AR54" s="8">
        <f t="shared" si="348"/>
        <v>3.323414907166946E-2</v>
      </c>
      <c r="AS54" s="8">
        <f t="shared" si="349"/>
        <v>3.2738708566725075E-2</v>
      </c>
      <c r="AT54" s="8">
        <f t="shared" si="350"/>
        <v>3.2230056314982172E-2</v>
      </c>
      <c r="AU54" s="8">
        <f t="shared" si="351"/>
        <v>3.1708192316440752E-2</v>
      </c>
      <c r="AV54" s="8">
        <f t="shared" si="352"/>
        <v>3.117311657110081E-2</v>
      </c>
      <c r="AW54" s="8">
        <f t="shared" si="353"/>
        <v>3.0624829078962346E-2</v>
      </c>
      <c r="AX54" s="8">
        <f t="shared" si="354"/>
        <v>3.0063329840025379E-2</v>
      </c>
      <c r="AY54" s="8">
        <f t="shared" si="355"/>
        <v>2.9488618854289887E-2</v>
      </c>
      <c r="AZ54" s="8">
        <f t="shared" si="356"/>
        <v>2.890069612175588E-2</v>
      </c>
      <c r="BA54" s="8">
        <f t="shared" si="357"/>
        <v>2.8299561642423348E-2</v>
      </c>
      <c r="BB54" s="8">
        <f t="shared" si="358"/>
        <v>2.7685215416292305E-2</v>
      </c>
      <c r="BC54" s="8">
        <f t="shared" si="359"/>
        <v>2.7057657443362752E-2</v>
      </c>
      <c r="BD54" s="8">
        <f t="shared" si="360"/>
        <v>2.6416887723634673E-2</v>
      </c>
      <c r="BE54" s="8">
        <f t="shared" si="361"/>
        <v>2.5762906257108076E-2</v>
      </c>
      <c r="BF54" s="8">
        <f t="shared" si="362"/>
        <v>2.5095713043782969E-2</v>
      </c>
      <c r="BG54" s="8">
        <f t="shared" si="363"/>
        <v>2.441530808365934E-2</v>
      </c>
      <c r="BH54" s="8">
        <f t="shared" si="364"/>
        <v>2.37216913767372E-2</v>
      </c>
      <c r="BI54" s="8">
        <f t="shared" si="365"/>
        <v>2.3014862923016535E-2</v>
      </c>
      <c r="BJ54" s="8">
        <f t="shared" si="366"/>
        <v>2.2294822722497359E-2</v>
      </c>
      <c r="BK54" s="8">
        <f t="shared" si="367"/>
        <v>2.1561570775179666E-2</v>
      </c>
      <c r="BL54" s="8">
        <f t="shared" si="368"/>
        <v>2.081510708106345E-2</v>
      </c>
      <c r="BM54" s="8">
        <f t="shared" si="369"/>
        <v>2.0055431640148721E-2</v>
      </c>
      <c r="BN54" s="8">
        <f t="shared" si="370"/>
        <v>1.9282544452435473E-2</v>
      </c>
      <c r="BO54" s="8">
        <f t="shared" si="371"/>
        <v>1.8496445517923711E-2</v>
      </c>
      <c r="BP54" s="8">
        <f t="shared" si="372"/>
        <v>1.7697134836613428E-2</v>
      </c>
      <c r="BQ54" s="8">
        <f t="shared" si="373"/>
        <v>1.688461240850463E-2</v>
      </c>
      <c r="BR54" s="8">
        <f t="shared" si="374"/>
        <v>1.6058878233597314E-2</v>
      </c>
      <c r="BS54" s="8">
        <f t="shared" si="375"/>
        <v>1.5219932311891478E-2</v>
      </c>
      <c r="BT54" s="8">
        <f t="shared" si="376"/>
        <v>1.4367774643387133E-2</v>
      </c>
      <c r="BU54" s="8">
        <f t="shared" si="377"/>
        <v>1.3502405228084265E-2</v>
      </c>
      <c r="BV54" s="8">
        <f t="shared" si="378"/>
        <v>1.2623824065982881E-2</v>
      </c>
      <c r="BW54" s="8">
        <f t="shared" si="379"/>
        <v>1.1732031157082984E-2</v>
      </c>
      <c r="BX54" s="8">
        <f t="shared" si="380"/>
        <v>1.0827026501384562E-2</v>
      </c>
      <c r="BY54" s="8">
        <f t="shared" si="381"/>
        <v>9.9088100988876313E-3</v>
      </c>
      <c r="BZ54" s="8">
        <f t="shared" si="382"/>
        <v>8.977381949592177E-3</v>
      </c>
      <c r="CA54" s="8">
        <f t="shared" si="383"/>
        <v>8.0327420534982135E-3</v>
      </c>
      <c r="CB54" s="8">
        <f t="shared" si="384"/>
        <v>7.0748904106057295E-3</v>
      </c>
      <c r="CC54" s="8">
        <f t="shared" si="385"/>
        <v>6.1038270209147266E-3</v>
      </c>
      <c r="CD54" s="8">
        <f t="shared" si="386"/>
        <v>5.1195518844252006E-3</v>
      </c>
      <c r="CE54" s="8">
        <f t="shared" si="387"/>
        <v>4.1220650011371696E-3</v>
      </c>
      <c r="CF54" s="8">
        <f t="shared" si="388"/>
        <v>3.1113663710506147E-3</v>
      </c>
      <c r="CG54" s="8">
        <f t="shared" si="389"/>
        <v>2.0874559941655409E-3</v>
      </c>
      <c r="CH54" s="8">
        <f t="shared" si="390"/>
        <v>1.0503338704819572E-3</v>
      </c>
      <c r="CI54" s="8">
        <f t="shared" si="391"/>
        <v>1.5020017143020807E-16</v>
      </c>
      <c r="CK54" s="8">
        <f t="shared" si="392"/>
        <v>0</v>
      </c>
      <c r="CL54" s="8">
        <f t="shared" si="393"/>
        <v>0.92822268510189077</v>
      </c>
      <c r="CM54" s="8">
        <f t="shared" si="394"/>
        <v>1.8573161231916822</v>
      </c>
      <c r="CN54" s="8">
        <f t="shared" si="395"/>
        <v>2.788153792192301</v>
      </c>
      <c r="CO54" s="8">
        <f t="shared" si="396"/>
        <v>3.7216146378239348</v>
      </c>
      <c r="CP54" s="8">
        <f t="shared" si="397"/>
        <v>4.6585858525231369</v>
      </c>
      <c r="CQ54" s="8">
        <f t="shared" si="398"/>
        <v>5.5999657089569439</v>
      </c>
      <c r="CR54" s="8">
        <f t="shared" si="399"/>
        <v>6.5466664672916064</v>
      </c>
      <c r="CS54" s="8">
        <f t="shared" si="400"/>
        <v>7.499617376220959</v>
      </c>
      <c r="CT54" s="8">
        <f t="shared" si="401"/>
        <v>8.459767788843644</v>
      </c>
      <c r="CU54" s="8">
        <f t="shared" si="402"/>
        <v>9.428090415820634</v>
      </c>
      <c r="CV54" s="8">
        <f t="shared" si="403"/>
        <v>10.405584739868926</v>
      </c>
      <c r="CW54" s="8">
        <f t="shared" si="404"/>
        <v>11.393280617583757</v>
      </c>
      <c r="CX54" s="8">
        <f t="shared" si="405"/>
        <v>12.39224209686583</v>
      </c>
      <c r="CY54" s="8">
        <f t="shared" si="406"/>
        <v>13.403571480905544</v>
      </c>
      <c r="CZ54" s="8">
        <f t="shared" si="407"/>
        <v>14.42841367279433</v>
      </c>
      <c r="DA54" s="8">
        <f t="shared" si="408"/>
        <v>15.467960838455729</v>
      </c>
      <c r="DB54" s="8">
        <f t="shared" si="409"/>
        <v>16.523457429788738</v>
      </c>
      <c r="DC54" s="8">
        <f t="shared" si="410"/>
        <v>17.596205614780445</v>
      </c>
      <c r="DD54" s="8">
        <f t="shared" si="411"/>
        <v>18.687571166976817</v>
      </c>
      <c r="DE54" s="8">
        <f t="shared" si="412"/>
        <v>19.798989873223327</v>
      </c>
      <c r="DF54" s="8">
        <f t="shared" si="413"/>
        <v>20.931974526146497</v>
      </c>
      <c r="DG54" s="8">
        <f t="shared" si="414"/>
        <v>22.088122576618321</v>
      </c>
      <c r="DH54" s="8">
        <f t="shared" si="415"/>
        <v>23.269124531637026</v>
      </c>
      <c r="DI54" s="8">
        <f t="shared" si="416"/>
        <v>24.476773194918948</v>
      </c>
      <c r="DJ54" s="8">
        <f t="shared" si="417"/>
        <v>25.712973861328997</v>
      </c>
      <c r="DK54" s="8">
        <f t="shared" si="418"/>
        <v>26.97975559244269</v>
      </c>
      <c r="DL54" s="8">
        <f t="shared" si="419"/>
        <v>28.279283719469056</v>
      </c>
      <c r="DM54" s="8">
        <f t="shared" si="420"/>
        <v>29.613873742000713</v>
      </c>
      <c r="DN54" s="8">
        <f t="shared" si="421"/>
        <v>30.986006817241059</v>
      </c>
      <c r="DO54" s="8">
        <f t="shared" si="422"/>
        <v>32.398347065274557</v>
      </c>
      <c r="DP54" s="8">
        <f t="shared" si="423"/>
        <v>33.853760952560606</v>
      </c>
      <c r="DQ54" s="8">
        <f t="shared" si="424"/>
        <v>35.355339059327399</v>
      </c>
      <c r="DR54" s="8">
        <f t="shared" si="425"/>
        <v>36.906420588384698</v>
      </c>
      <c r="DS54" s="8">
        <f t="shared" si="426"/>
        <v>38.510621034873793</v>
      </c>
      <c r="DT54" s="8">
        <f t="shared" si="427"/>
        <v>40.171863510887952</v>
      </c>
      <c r="DU54" s="8">
        <f t="shared" si="428"/>
        <v>41.894414308544718</v>
      </c>
      <c r="DV54" s="8">
        <f t="shared" si="429"/>
        <v>43.682923393516056</v>
      </c>
      <c r="DW54" s="8">
        <f t="shared" si="430"/>
        <v>45.542470652692948</v>
      </c>
      <c r="DX54" s="8">
        <f t="shared" si="431"/>
        <v>47.478618880244568</v>
      </c>
      <c r="DY54" s="8">
        <f t="shared" si="432"/>
        <v>49.497474683058392</v>
      </c>
      <c r="DZ54" s="8">
        <f t="shared" si="433"/>
        <v>51.605758728681359</v>
      </c>
      <c r="EA54" s="8">
        <f t="shared" si="434"/>
        <v>53.810887058372394</v>
      </c>
      <c r="EB54" s="8">
        <f t="shared" si="435"/>
        <v>56.121065560224437</v>
      </c>
      <c r="EC54" s="8">
        <f t="shared" si="436"/>
        <v>58.545400162757268</v>
      </c>
      <c r="ED54" s="8">
        <f t="shared" si="437"/>
        <v>61.094025894517827</v>
      </c>
      <c r="EE54" s="8">
        <f t="shared" si="438"/>
        <v>63.778258695257378</v>
      </c>
      <c r="EF54" s="8">
        <f t="shared" si="439"/>
        <v>66.610774806120176</v>
      </c>
      <c r="EG54" s="8">
        <f t="shared" si="440"/>
        <v>69.605823773050957</v>
      </c>
      <c r="EH54" s="8">
        <f t="shared" si="441"/>
        <v>72.779482654759633</v>
      </c>
      <c r="EI54" s="8">
        <f t="shared" si="442"/>
        <v>76.149961050859204</v>
      </c>
      <c r="EJ54" s="8">
        <f t="shared" si="443"/>
        <v>79.737969218299</v>
      </c>
      <c r="EK54" s="8">
        <f t="shared" si="444"/>
        <v>83.567165049319527</v>
      </c>
      <c r="EL54" s="8">
        <f t="shared" si="445"/>
        <v>87.66470035763075</v>
      </c>
      <c r="EM54" s="8">
        <f t="shared" si="446"/>
        <v>92.06189321074028</v>
      </c>
      <c r="EN54" s="8">
        <f t="shared" si="447"/>
        <v>96.795061602425548</v>
      </c>
      <c r="EO54" s="8">
        <f t="shared" si="448"/>
        <v>101.90656552394402</v>
      </c>
      <c r="EP54" s="8">
        <f t="shared" si="449"/>
        <v>107.44612086071736</v>
      </c>
      <c r="EQ54" s="8">
        <f t="shared" si="450"/>
        <v>113.47247160543067</v>
      </c>
      <c r="ER54" s="8">
        <f t="shared" si="451"/>
        <v>120.05553982735685</v>
      </c>
      <c r="ES54" s="8">
        <f t="shared" si="452"/>
        <v>127.2792206135792</v>
      </c>
      <c r="ET54" s="8">
        <f t="shared" si="453"/>
        <v>135.24505960432586</v>
      </c>
      <c r="EU54" s="8">
        <f t="shared" si="454"/>
        <v>144.07715635444296</v>
      </c>
      <c r="EV54" s="8">
        <f t="shared" si="455"/>
        <v>153.92879827392986</v>
      </c>
      <c r="EW54" s="8">
        <f t="shared" si="456"/>
        <v>164.99158227686232</v>
      </c>
      <c r="EX54" s="8">
        <f t="shared" si="457"/>
        <v>177.5081850702795</v>
      </c>
      <c r="EY54" s="8">
        <f t="shared" si="458"/>
        <v>191.79060640402412</v>
      </c>
      <c r="EZ54" s="8">
        <f t="shared" si="459"/>
        <v>208.24683226153465</v>
      </c>
      <c r="FA54" s="8">
        <f t="shared" si="460"/>
        <v>227.42082962486487</v>
      </c>
      <c r="FB54" s="8">
        <f t="shared" si="461"/>
        <v>250.05435654406813</v>
      </c>
      <c r="FC54" s="8">
        <f t="shared" si="462"/>
        <v>277.18585822513006</v>
      </c>
      <c r="FD54" s="8">
        <f t="shared" si="463"/>
        <v>310.31529381873656</v>
      </c>
      <c r="FE54" s="8">
        <f t="shared" si="464"/>
        <v>351.69258327436734</v>
      </c>
      <c r="FF54" s="8">
        <f t="shared" si="465"/>
        <v>404.85329432642283</v>
      </c>
      <c r="FG54" s="8">
        <f t="shared" si="466"/>
        <v>475.69001643459677</v>
      </c>
      <c r="FH54" s="8">
        <f t="shared" si="467"/>
        <v>574.80938341617696</v>
      </c>
      <c r="FI54" s="8">
        <f t="shared" si="468"/>
        <v>723.4246299831841</v>
      </c>
      <c r="FJ54" s="8">
        <f t="shared" si="469"/>
        <v>971.03326129825837</v>
      </c>
      <c r="FK54" s="8">
        <f t="shared" si="470"/>
        <v>1466.1277311185393</v>
      </c>
      <c r="FL54" s="8">
        <f t="shared" si="471"/>
        <v>2951.1701886506776</v>
      </c>
      <c r="FM54" s="8">
        <f t="shared" si="472"/>
        <v>2.0898450800475228E+16</v>
      </c>
      <c r="FO54">
        <v>2.7999999999999998E-4</v>
      </c>
      <c r="FP54" s="8">
        <f t="shared" si="473"/>
        <v>5.5999999999999995E-4</v>
      </c>
      <c r="FQ54" s="8">
        <f t="shared" si="474"/>
        <v>0.35</v>
      </c>
      <c r="FR54" s="8">
        <f>'estimates new'!AU84</f>
        <v>0.54794520547945202</v>
      </c>
      <c r="FS54" s="8">
        <f t="shared" si="475"/>
        <v>0.19794520547945205</v>
      </c>
    </row>
    <row r="55" spans="7:175" x14ac:dyDescent="0.25">
      <c r="G55" s="8"/>
      <c r="H55" s="8"/>
      <c r="I55" s="8"/>
      <c r="J55" s="8"/>
      <c r="K55" s="8"/>
      <c r="L55" s="8"/>
      <c r="M55" s="8"/>
      <c r="N55" s="8"/>
      <c r="O55" s="8"/>
      <c r="P55" s="8"/>
      <c r="Q55" s="8"/>
      <c r="R55" s="8"/>
      <c r="S55" s="8"/>
      <c r="T55" s="8"/>
      <c r="U55" s="8"/>
      <c r="V55" s="8"/>
      <c r="W55" s="8"/>
    </row>
    <row r="56" spans="7:175" x14ac:dyDescent="0.25">
      <c r="G56" s="10" t="s">
        <v>136</v>
      </c>
      <c r="H56" s="8"/>
      <c r="I56" s="8"/>
      <c r="J56" s="8"/>
      <c r="K56" s="8"/>
      <c r="L56" s="8"/>
      <c r="M56" s="8"/>
      <c r="N56" s="8"/>
      <c r="O56" s="8"/>
      <c r="P56" s="8"/>
      <c r="Q56" s="8"/>
      <c r="R56" s="8"/>
      <c r="S56" s="8"/>
      <c r="T56" s="8"/>
      <c r="U56" s="8"/>
      <c r="V56" s="8"/>
      <c r="W56" s="8"/>
    </row>
    <row r="57" spans="7:175" x14ac:dyDescent="0.25">
      <c r="G57" s="8">
        <f>ABS((3*$D$2*2/(4*PI()*$G2*$F$5))*4*B$8/$F$5^2)</f>
        <v>0</v>
      </c>
      <c r="H57" s="8">
        <f t="shared" ref="H57:BS57" si="476">ABS((3*$D$2*2/(4*PI()*$G2*$F$5))*4*C$8/$F$5^2)</f>
        <v>0.13732910156249997</v>
      </c>
      <c r="I57" s="8">
        <f t="shared" si="476"/>
        <v>0.27465820312499994</v>
      </c>
      <c r="J57" s="8">
        <f t="shared" si="476"/>
        <v>0.4119873046875</v>
      </c>
      <c r="K57" s="8">
        <f t="shared" si="476"/>
        <v>0.54931640624999989</v>
      </c>
      <c r="L57" s="8">
        <f t="shared" si="476"/>
        <v>0.68664550781249989</v>
      </c>
      <c r="M57" s="8">
        <f t="shared" si="476"/>
        <v>0.82397460937499978</v>
      </c>
      <c r="N57" s="8">
        <f t="shared" si="476"/>
        <v>0.96130371093749989</v>
      </c>
      <c r="O57" s="8">
        <f t="shared" si="476"/>
        <v>1.0986328124999998</v>
      </c>
      <c r="P57" s="8">
        <f t="shared" si="476"/>
        <v>1.2359619140624998</v>
      </c>
      <c r="Q57" s="8">
        <f t="shared" si="476"/>
        <v>1.3732910156249998</v>
      </c>
      <c r="R57" s="8">
        <f t="shared" si="476"/>
        <v>1.5106201171874996</v>
      </c>
      <c r="S57" s="8">
        <f t="shared" si="476"/>
        <v>1.6479492187499996</v>
      </c>
      <c r="T57" s="8">
        <f t="shared" si="476"/>
        <v>1.7852783203124998</v>
      </c>
      <c r="U57" s="8">
        <f t="shared" si="476"/>
        <v>1.9226074218749998</v>
      </c>
      <c r="V57" s="8">
        <f t="shared" si="476"/>
        <v>2.0599365234374996</v>
      </c>
      <c r="W57" s="8">
        <f t="shared" si="476"/>
        <v>2.1972656249999996</v>
      </c>
      <c r="X57" s="8">
        <f t="shared" si="476"/>
        <v>2.3345947265625</v>
      </c>
      <c r="Y57" s="8">
        <f t="shared" si="476"/>
        <v>2.4719238281249996</v>
      </c>
      <c r="Z57" s="8">
        <f t="shared" si="476"/>
        <v>2.6092529296874996</v>
      </c>
      <c r="AA57" s="8">
        <f t="shared" si="476"/>
        <v>2.7465820312499996</v>
      </c>
      <c r="AB57" s="8">
        <f t="shared" si="476"/>
        <v>2.8839111328124996</v>
      </c>
      <c r="AC57" s="8">
        <f t="shared" si="476"/>
        <v>3.0212402343749991</v>
      </c>
      <c r="AD57" s="8">
        <f t="shared" si="476"/>
        <v>3.1585693359374996</v>
      </c>
      <c r="AE57" s="8">
        <f t="shared" si="476"/>
        <v>3.2958984374999991</v>
      </c>
      <c r="AF57" s="8">
        <f t="shared" si="476"/>
        <v>3.4332275390624991</v>
      </c>
      <c r="AG57" s="8">
        <f t="shared" si="476"/>
        <v>3.5705566406249996</v>
      </c>
      <c r="AH57" s="8">
        <f t="shared" si="476"/>
        <v>3.7078857421874996</v>
      </c>
      <c r="AI57" s="8">
        <f t="shared" si="476"/>
        <v>3.84521484375</v>
      </c>
      <c r="AJ57" s="8">
        <f t="shared" si="476"/>
        <v>3.9825439453125004</v>
      </c>
      <c r="AK57" s="8">
        <f t="shared" si="476"/>
        <v>4.1198730468750009</v>
      </c>
      <c r="AL57" s="8">
        <f t="shared" si="476"/>
        <v>4.2572021484375009</v>
      </c>
      <c r="AM57" s="8">
        <f t="shared" si="476"/>
        <v>4.3945312500000018</v>
      </c>
      <c r="AN57" s="8">
        <f t="shared" si="476"/>
        <v>4.5318603515625018</v>
      </c>
      <c r="AO57" s="8">
        <f t="shared" si="476"/>
        <v>4.6691894531250027</v>
      </c>
      <c r="AP57" s="8">
        <f t="shared" si="476"/>
        <v>4.8065185546875027</v>
      </c>
      <c r="AQ57" s="8">
        <f t="shared" si="476"/>
        <v>4.9438476562500027</v>
      </c>
      <c r="AR57" s="8">
        <f t="shared" si="476"/>
        <v>5.0811767578125036</v>
      </c>
      <c r="AS57" s="8">
        <f t="shared" si="476"/>
        <v>5.2185058593750036</v>
      </c>
      <c r="AT57" s="8">
        <f t="shared" si="476"/>
        <v>5.3558349609375044</v>
      </c>
      <c r="AU57" s="8">
        <f t="shared" si="476"/>
        <v>5.4931640625000044</v>
      </c>
      <c r="AV57" s="8">
        <f t="shared" si="476"/>
        <v>5.6304931640625044</v>
      </c>
      <c r="AW57" s="8">
        <f t="shared" si="476"/>
        <v>5.7678222656250053</v>
      </c>
      <c r="AX57" s="8">
        <f t="shared" si="476"/>
        <v>5.9051513671875053</v>
      </c>
      <c r="AY57" s="8">
        <f t="shared" si="476"/>
        <v>6.0424804687500053</v>
      </c>
      <c r="AZ57" s="8">
        <f t="shared" si="476"/>
        <v>6.1798095703125062</v>
      </c>
      <c r="BA57" s="8">
        <f t="shared" si="476"/>
        <v>6.3171386718750062</v>
      </c>
      <c r="BB57" s="8">
        <f t="shared" si="476"/>
        <v>6.4544677734375071</v>
      </c>
      <c r="BC57" s="8">
        <f t="shared" si="476"/>
        <v>6.5917968750000062</v>
      </c>
      <c r="BD57" s="8">
        <f t="shared" si="476"/>
        <v>6.729125976562508</v>
      </c>
      <c r="BE57" s="8">
        <f t="shared" si="476"/>
        <v>6.8664550781250071</v>
      </c>
      <c r="BF57" s="8">
        <f t="shared" si="476"/>
        <v>7.003784179687508</v>
      </c>
      <c r="BG57" s="8">
        <f t="shared" si="476"/>
        <v>7.141113281250008</v>
      </c>
      <c r="BH57" s="8">
        <f t="shared" si="476"/>
        <v>7.2784423828125089</v>
      </c>
      <c r="BI57" s="8">
        <f t="shared" si="476"/>
        <v>7.4157714843750089</v>
      </c>
      <c r="BJ57" s="8">
        <f t="shared" si="476"/>
        <v>7.5531005859375098</v>
      </c>
      <c r="BK57" s="8">
        <f t="shared" si="476"/>
        <v>7.6904296875000098</v>
      </c>
      <c r="BL57" s="8">
        <f t="shared" si="476"/>
        <v>7.8277587890625107</v>
      </c>
      <c r="BM57" s="8">
        <f t="shared" si="476"/>
        <v>7.9650878906250098</v>
      </c>
      <c r="BN57" s="8">
        <f t="shared" si="476"/>
        <v>8.1024169921875107</v>
      </c>
      <c r="BO57" s="8">
        <f t="shared" si="476"/>
        <v>8.2397460937500107</v>
      </c>
      <c r="BP57" s="8">
        <f t="shared" si="476"/>
        <v>8.3770751953125124</v>
      </c>
      <c r="BQ57" s="8">
        <f t="shared" si="476"/>
        <v>8.5144042968750124</v>
      </c>
      <c r="BR57" s="8">
        <f t="shared" si="476"/>
        <v>8.6517333984375107</v>
      </c>
      <c r="BS57" s="8">
        <f t="shared" si="476"/>
        <v>8.7890625000000124</v>
      </c>
      <c r="BT57" s="8">
        <f t="shared" ref="BT57:CH57" si="477">ABS((3*$D$2*2/(4*PI()*$G2*$F$5))*4*BO$8/$F$5^2)</f>
        <v>8.9263916015625124</v>
      </c>
      <c r="BU57" s="8">
        <f t="shared" si="477"/>
        <v>9.0637207031250124</v>
      </c>
      <c r="BV57" s="8">
        <f t="shared" si="477"/>
        <v>9.2010498046875124</v>
      </c>
      <c r="BW57" s="8">
        <f t="shared" si="477"/>
        <v>9.3383789062500142</v>
      </c>
      <c r="BX57" s="8">
        <f t="shared" si="477"/>
        <v>9.4757080078125142</v>
      </c>
      <c r="BY57" s="8">
        <f t="shared" si="477"/>
        <v>9.6130371093750142</v>
      </c>
      <c r="BZ57" s="8">
        <f t="shared" si="477"/>
        <v>9.7503662109375142</v>
      </c>
      <c r="CA57" s="8">
        <f t="shared" si="477"/>
        <v>9.887695312500016</v>
      </c>
      <c r="CB57" s="8">
        <f t="shared" si="477"/>
        <v>10.025024414062514</v>
      </c>
      <c r="CC57" s="8">
        <f t="shared" si="477"/>
        <v>10.162353515625016</v>
      </c>
      <c r="CD57" s="8">
        <f t="shared" si="477"/>
        <v>10.299682617187516</v>
      </c>
      <c r="CE57" s="8">
        <f t="shared" si="477"/>
        <v>10.437011718750016</v>
      </c>
      <c r="CF57" s="8">
        <f t="shared" si="477"/>
        <v>10.574340820312516</v>
      </c>
      <c r="CG57" s="8">
        <f t="shared" si="477"/>
        <v>10.711669921875018</v>
      </c>
      <c r="CH57" s="8">
        <f t="shared" si="477"/>
        <v>10.848999023437518</v>
      </c>
      <c r="CI57" s="8">
        <f>ABS((3*$D$2*2/(4*PI()*$G2*$F$5))*4*CD$8/$F$5^2)</f>
        <v>10.986328125000018</v>
      </c>
    </row>
    <row r="58" spans="7:175" x14ac:dyDescent="0.25">
      <c r="G58" s="8">
        <f t="shared" ref="G58:G59" si="478">ABS((3*$D$2*2/(4*PI()*$G3*$F$5))*4*B$8/$F$5^2)</f>
        <v>0</v>
      </c>
      <c r="H58" s="8">
        <f t="shared" ref="H58:H59" si="479">ABS((3*$D$2*2/(4*PI()*$G3*$F$5))*4*C$8/$F$5^2)</f>
        <v>6.1035156250000007E-2</v>
      </c>
      <c r="I58" s="8">
        <f t="shared" ref="I58:I59" si="480">ABS((3*$D$2*2/(4*PI()*$G3*$F$5))*4*D$8/$F$5^2)</f>
        <v>0.12207031250000001</v>
      </c>
      <c r="J58" s="8">
        <f t="shared" ref="J58:J59" si="481">ABS((3*$D$2*2/(4*PI()*$G3*$F$5))*4*E$8/$F$5^2)</f>
        <v>0.18310546875000003</v>
      </c>
      <c r="K58" s="8">
        <f t="shared" ref="K58:K59" si="482">ABS((3*$D$2*2/(4*PI()*$G3*$F$5))*4*F$8/$F$5^2)</f>
        <v>0.24414062500000003</v>
      </c>
      <c r="L58" s="8">
        <f t="shared" ref="L58:L59" si="483">ABS((3*$D$2*2/(4*PI()*$G3*$F$5))*4*G$8/$F$5^2)</f>
        <v>0.30517578125</v>
      </c>
      <c r="M58" s="8">
        <f t="shared" ref="M58:M59" si="484">ABS((3*$D$2*2/(4*PI()*$G3*$F$5))*4*H$8/$F$5^2)</f>
        <v>0.3662109375</v>
      </c>
      <c r="N58" s="8">
        <f t="shared" ref="N58:N59" si="485">ABS((3*$D$2*2/(4*PI()*$G3*$F$5))*4*I$8/$F$5^2)</f>
        <v>0.42724609375000006</v>
      </c>
      <c r="O58" s="8">
        <f t="shared" ref="O58:O59" si="486">ABS((3*$D$2*2/(4*PI()*$G3*$F$5))*4*J$8/$F$5^2)</f>
        <v>0.48828125000000006</v>
      </c>
      <c r="P58" s="8">
        <f t="shared" ref="P58:P59" si="487">ABS((3*$D$2*2/(4*PI()*$G3*$F$5))*4*K$8/$F$5^2)</f>
        <v>0.54931640625</v>
      </c>
      <c r="Q58" s="8">
        <f t="shared" ref="Q58:Q59" si="488">ABS((3*$D$2*2/(4*PI()*$G3*$F$5))*4*L$8/$F$5^2)</f>
        <v>0.6103515625</v>
      </c>
      <c r="R58" s="8">
        <f t="shared" ref="R58:R59" si="489">ABS((3*$D$2*2/(4*PI()*$G3*$F$5))*4*M$8/$F$5^2)</f>
        <v>0.67138671875</v>
      </c>
      <c r="S58" s="8">
        <f t="shared" ref="S58:S59" si="490">ABS((3*$D$2*2/(4*PI()*$G3*$F$5))*4*N$8/$F$5^2)</f>
        <v>0.732421875</v>
      </c>
      <c r="T58" s="8">
        <f t="shared" ref="T58:T59" si="491">ABS((3*$D$2*2/(4*PI()*$G3*$F$5))*4*O$8/$F$5^2)</f>
        <v>0.79345703125000011</v>
      </c>
      <c r="U58" s="8">
        <f t="shared" ref="U58:U59" si="492">ABS((3*$D$2*2/(4*PI()*$G3*$F$5))*4*P$8/$F$5^2)</f>
        <v>0.85449218750000011</v>
      </c>
      <c r="V58" s="8">
        <f t="shared" ref="V58:V59" si="493">ABS((3*$D$2*2/(4*PI()*$G3*$F$5))*4*Q$8/$F$5^2)</f>
        <v>0.91552734375000011</v>
      </c>
      <c r="W58" s="8">
        <f t="shared" ref="W58:W59" si="494">ABS((3*$D$2*2/(4*PI()*$G3*$F$5))*4*R$8/$F$5^2)</f>
        <v>0.97656250000000011</v>
      </c>
      <c r="X58" s="8">
        <f t="shared" ref="X58:X59" si="495">ABS((3*$D$2*2/(4*PI()*$G3*$F$5))*4*S$8/$F$5^2)</f>
        <v>1.03759765625</v>
      </c>
      <c r="Y58" s="8">
        <f t="shared" ref="Y58:Y59" si="496">ABS((3*$D$2*2/(4*PI()*$G3*$F$5))*4*T$8/$F$5^2)</f>
        <v>1.0986328125</v>
      </c>
      <c r="Z58" s="8">
        <f t="shared" ref="Z58:Z59" si="497">ABS((3*$D$2*2/(4*PI()*$G3*$F$5))*4*U$8/$F$5^2)</f>
        <v>1.15966796875</v>
      </c>
      <c r="AA58" s="8">
        <f t="shared" ref="AA58:AA59" si="498">ABS((3*$D$2*2/(4*PI()*$G3*$F$5))*4*V$8/$F$5^2)</f>
        <v>1.220703125</v>
      </c>
      <c r="AB58" s="8">
        <f t="shared" ref="AB58:AB59" si="499">ABS((3*$D$2*2/(4*PI()*$G3*$F$5))*4*W$8/$F$5^2)</f>
        <v>1.28173828125</v>
      </c>
      <c r="AC58" s="8">
        <f t="shared" ref="AC58:AC59" si="500">ABS((3*$D$2*2/(4*PI()*$G3*$F$5))*4*X$8/$F$5^2)</f>
        <v>1.3427734375</v>
      </c>
      <c r="AD58" s="8">
        <f t="shared" ref="AD58:AD59" si="501">ABS((3*$D$2*2/(4*PI()*$G3*$F$5))*4*Y$8/$F$5^2)</f>
        <v>1.40380859375</v>
      </c>
      <c r="AE58" s="8">
        <f t="shared" ref="AE58:AE59" si="502">ABS((3*$D$2*2/(4*PI()*$G3*$F$5))*4*Z$8/$F$5^2)</f>
        <v>1.46484375</v>
      </c>
      <c r="AF58" s="8">
        <f t="shared" ref="AF58:AF59" si="503">ABS((3*$D$2*2/(4*PI()*$G3*$F$5))*4*AA$8/$F$5^2)</f>
        <v>1.52587890625</v>
      </c>
      <c r="AG58" s="8">
        <f t="shared" ref="AG58:AG59" si="504">ABS((3*$D$2*2/(4*PI()*$G3*$F$5))*4*AB$8/$F$5^2)</f>
        <v>1.5869140625000002</v>
      </c>
      <c r="AH58" s="8">
        <f t="shared" ref="AH58:AH59" si="505">ABS((3*$D$2*2/(4*PI()*$G3*$F$5))*4*AC$8/$F$5^2)</f>
        <v>1.6479492187500002</v>
      </c>
      <c r="AI58" s="8">
        <f t="shared" ref="AI58:AI59" si="506">ABS((3*$D$2*2/(4*PI()*$G3*$F$5))*4*AD$8/$F$5^2)</f>
        <v>1.7089843750000004</v>
      </c>
      <c r="AJ58" s="8">
        <f t="shared" ref="AJ58:AJ59" si="507">ABS((3*$D$2*2/(4*PI()*$G3*$F$5))*4*AE$8/$F$5^2)</f>
        <v>1.7700195312500007</v>
      </c>
      <c r="AK58" s="8">
        <f t="shared" ref="AK58:AK59" si="508">ABS((3*$D$2*2/(4*PI()*$G3*$F$5))*4*AF$8/$F$5^2)</f>
        <v>1.8310546875000009</v>
      </c>
      <c r="AL58" s="8">
        <f t="shared" ref="AL58:AL59" si="509">ABS((3*$D$2*2/(4*PI()*$G3*$F$5))*4*AG$8/$F$5^2)</f>
        <v>1.8920898437500009</v>
      </c>
      <c r="AM58" s="8">
        <f t="shared" ref="AM58:AM59" si="510">ABS((3*$D$2*2/(4*PI()*$G3*$F$5))*4*AH$8/$F$5^2)</f>
        <v>1.9531250000000011</v>
      </c>
      <c r="AN58" s="8">
        <f t="shared" ref="AN58:AN59" si="511">ABS((3*$D$2*2/(4*PI()*$G3*$F$5))*4*AI$8/$F$5^2)</f>
        <v>2.0141601562500013</v>
      </c>
      <c r="AO58" s="8">
        <f t="shared" ref="AO58:AO59" si="512">ABS((3*$D$2*2/(4*PI()*$G3*$F$5))*4*AJ$8/$F$5^2)</f>
        <v>2.0751953125000013</v>
      </c>
      <c r="AP58" s="8">
        <f t="shared" ref="AP58:AP59" si="513">ABS((3*$D$2*2/(4*PI()*$G3*$F$5))*4*AK$8/$F$5^2)</f>
        <v>2.1362304687500018</v>
      </c>
      <c r="AQ58" s="8">
        <f t="shared" ref="AQ58:AQ59" si="514">ABS((3*$D$2*2/(4*PI()*$G3*$F$5))*4*AL$8/$F$5^2)</f>
        <v>2.1972656250000018</v>
      </c>
      <c r="AR58" s="8">
        <f t="shared" ref="AR58:AR59" si="515">ABS((3*$D$2*2/(4*PI()*$G3*$F$5))*4*AM$8/$F$5^2)</f>
        <v>2.2583007812500018</v>
      </c>
      <c r="AS58" s="8">
        <f t="shared" ref="AS58:AS59" si="516">ABS((3*$D$2*2/(4*PI()*$G3*$F$5))*4*AN$8/$F$5^2)</f>
        <v>2.3193359375000022</v>
      </c>
      <c r="AT58" s="8">
        <f t="shared" ref="AT58:AT59" si="517">ABS((3*$D$2*2/(4*PI()*$G3*$F$5))*4*AO$8/$F$5^2)</f>
        <v>2.3803710937500022</v>
      </c>
      <c r="AU58" s="8">
        <f t="shared" ref="AU58:AU59" si="518">ABS((3*$D$2*2/(4*PI()*$G3*$F$5))*4*AP$8/$F$5^2)</f>
        <v>2.4414062500000022</v>
      </c>
      <c r="AV58" s="8">
        <f t="shared" ref="AV58:AV59" si="519">ABS((3*$D$2*2/(4*PI()*$G3*$F$5))*4*AQ$8/$F$5^2)</f>
        <v>2.5024414062500027</v>
      </c>
      <c r="AW58" s="8">
        <f t="shared" ref="AW58:AW59" si="520">ABS((3*$D$2*2/(4*PI()*$G3*$F$5))*4*AR$8/$F$5^2)</f>
        <v>2.5634765625000027</v>
      </c>
      <c r="AX58" s="8">
        <f t="shared" ref="AX58:AX59" si="521">ABS((3*$D$2*2/(4*PI()*$G3*$F$5))*4*AS$8/$F$5^2)</f>
        <v>2.6245117187500027</v>
      </c>
      <c r="AY58" s="8">
        <f t="shared" ref="AY58:AY59" si="522">ABS((3*$D$2*2/(4*PI()*$G3*$F$5))*4*AT$8/$F$5^2)</f>
        <v>2.6855468750000031</v>
      </c>
      <c r="AZ58" s="8">
        <f t="shared" ref="AZ58:AZ59" si="523">ABS((3*$D$2*2/(4*PI()*$G3*$F$5))*4*AU$8/$F$5^2)</f>
        <v>2.7465820312500031</v>
      </c>
      <c r="BA58" s="8">
        <f t="shared" ref="BA58:BA59" si="524">ABS((3*$D$2*2/(4*PI()*$G3*$F$5))*4*AV$8/$F$5^2)</f>
        <v>2.8076171875000036</v>
      </c>
      <c r="BB58" s="8">
        <f t="shared" ref="BB58:BB59" si="525">ABS((3*$D$2*2/(4*PI()*$G3*$F$5))*4*AW$8/$F$5^2)</f>
        <v>2.8686523437500036</v>
      </c>
      <c r="BC58" s="8">
        <f t="shared" ref="BC58:BC59" si="526">ABS((3*$D$2*2/(4*PI()*$G3*$F$5))*4*AX$8/$F$5^2)</f>
        <v>2.9296875000000036</v>
      </c>
      <c r="BD58" s="8">
        <f t="shared" ref="BD58:BD59" si="527">ABS((3*$D$2*2/(4*PI()*$G3*$F$5))*4*AY$8/$F$5^2)</f>
        <v>2.990722656250004</v>
      </c>
      <c r="BE58" s="8">
        <f t="shared" ref="BE58:BE59" si="528">ABS((3*$D$2*2/(4*PI()*$G3*$F$5))*4*AZ$8/$F$5^2)</f>
        <v>3.051757812500004</v>
      </c>
      <c r="BF58" s="8">
        <f t="shared" ref="BF58:BF59" si="529">ABS((3*$D$2*2/(4*PI()*$G3*$F$5))*4*BA$8/$F$5^2)</f>
        <v>3.112792968750004</v>
      </c>
      <c r="BG58" s="8">
        <f t="shared" ref="BG58:BG59" si="530">ABS((3*$D$2*2/(4*PI()*$G3*$F$5))*4*BB$8/$F$5^2)</f>
        <v>3.1738281250000044</v>
      </c>
      <c r="BH58" s="8">
        <f t="shared" ref="BH58:BH59" si="531">ABS((3*$D$2*2/(4*PI()*$G3*$F$5))*4*BC$8/$F$5^2)</f>
        <v>3.2348632812500044</v>
      </c>
      <c r="BI58" s="8">
        <f t="shared" ref="BI58:BI59" si="532">ABS((3*$D$2*2/(4*PI()*$G3*$F$5))*4*BD$8/$F$5^2)</f>
        <v>3.2958984375000044</v>
      </c>
      <c r="BJ58" s="8">
        <f t="shared" ref="BJ58:BJ59" si="533">ABS((3*$D$2*2/(4*PI()*$G3*$F$5))*4*BE$8/$F$5^2)</f>
        <v>3.3569335937500049</v>
      </c>
      <c r="BK58" s="8">
        <f t="shared" ref="BK58:BK59" si="534">ABS((3*$D$2*2/(4*PI()*$G3*$F$5))*4*BF$8/$F$5^2)</f>
        <v>3.4179687500000049</v>
      </c>
      <c r="BL58" s="8">
        <f t="shared" ref="BL58:BL59" si="535">ABS((3*$D$2*2/(4*PI()*$G3*$F$5))*4*BG$8/$F$5^2)</f>
        <v>3.4790039062500049</v>
      </c>
      <c r="BM58" s="8">
        <f t="shared" ref="BM58:BM59" si="536">ABS((3*$D$2*2/(4*PI()*$G3*$F$5))*4*BH$8/$F$5^2)</f>
        <v>3.5400390625000053</v>
      </c>
      <c r="BN58" s="8">
        <f t="shared" ref="BN58:BN59" si="537">ABS((3*$D$2*2/(4*PI()*$G3*$F$5))*4*BI$8/$F$5^2)</f>
        <v>3.6010742187500053</v>
      </c>
      <c r="BO58" s="8">
        <f t="shared" ref="BO58:BO59" si="538">ABS((3*$D$2*2/(4*PI()*$G3*$F$5))*4*BJ$8/$F$5^2)</f>
        <v>3.6621093750000058</v>
      </c>
      <c r="BP58" s="8">
        <f t="shared" ref="BP58:BP59" si="539">ABS((3*$D$2*2/(4*PI()*$G3*$F$5))*4*BK$8/$F$5^2)</f>
        <v>3.7231445312500058</v>
      </c>
      <c r="BQ58" s="8">
        <f t="shared" ref="BQ58:BQ59" si="540">ABS((3*$D$2*2/(4*PI()*$G3*$F$5))*4*BL$8/$F$5^2)</f>
        <v>3.7841796875000058</v>
      </c>
      <c r="BR58" s="8">
        <f t="shared" ref="BR58:BR59" si="541">ABS((3*$D$2*2/(4*PI()*$G3*$F$5))*4*BM$8/$F$5^2)</f>
        <v>3.8452148437500062</v>
      </c>
      <c r="BS58" s="8">
        <f t="shared" ref="BS58:BS59" si="542">ABS((3*$D$2*2/(4*PI()*$G3*$F$5))*4*BN$8/$F$5^2)</f>
        <v>3.9062500000000062</v>
      </c>
      <c r="BT58" s="8">
        <f t="shared" ref="BT58:BT59" si="543">ABS((3*$D$2*2/(4*PI()*$G3*$F$5))*4*BO$8/$F$5^2)</f>
        <v>3.9672851562500062</v>
      </c>
      <c r="BU58" s="8">
        <f t="shared" ref="BU58:BU59" si="544">ABS((3*$D$2*2/(4*PI()*$G3*$F$5))*4*BP$8/$F$5^2)</f>
        <v>4.0283203125000062</v>
      </c>
      <c r="BV58" s="8">
        <f t="shared" ref="BV58:BV59" si="545">ABS((3*$D$2*2/(4*PI()*$G3*$F$5))*4*BQ$8/$F$5^2)</f>
        <v>4.0893554687500071</v>
      </c>
      <c r="BW58" s="8">
        <f t="shared" ref="BW58:BW59" si="546">ABS((3*$D$2*2/(4*PI()*$G3*$F$5))*4*BR$8/$F$5^2)</f>
        <v>4.1503906250000071</v>
      </c>
      <c r="BX58" s="8">
        <f t="shared" ref="BX58:BX59" si="547">ABS((3*$D$2*2/(4*PI()*$G3*$F$5))*4*BS$8/$F$5^2)</f>
        <v>4.2114257812500071</v>
      </c>
      <c r="BY58" s="8">
        <f t="shared" ref="BY58:BY59" si="548">ABS((3*$D$2*2/(4*PI()*$G3*$F$5))*4*BT$8/$F$5^2)</f>
        <v>4.2724609375000071</v>
      </c>
      <c r="BZ58" s="8">
        <f t="shared" ref="BZ58:BZ59" si="549">ABS((3*$D$2*2/(4*PI()*$G3*$F$5))*4*BU$8/$F$5^2)</f>
        <v>4.3334960937500071</v>
      </c>
      <c r="CA58" s="8">
        <f t="shared" ref="CA58:CA59" si="550">ABS((3*$D$2*2/(4*PI()*$G3*$F$5))*4*BV$8/$F$5^2)</f>
        <v>4.3945312500000071</v>
      </c>
      <c r="CB58" s="8">
        <f t="shared" ref="CB58:CB59" si="551">ABS((3*$D$2*2/(4*PI()*$G3*$F$5))*4*BW$8/$F$5^2)</f>
        <v>4.455566406250008</v>
      </c>
      <c r="CC58" s="8">
        <f t="shared" ref="CC58:CC59" si="552">ABS((3*$D$2*2/(4*PI()*$G3*$F$5))*4*BX$8/$F$5^2)</f>
        <v>4.516601562500008</v>
      </c>
      <c r="CD58" s="8">
        <f t="shared" ref="CD58:CD59" si="553">ABS((3*$D$2*2/(4*PI()*$G3*$F$5))*4*BY$8/$F$5^2)</f>
        <v>4.577636718750008</v>
      </c>
      <c r="CE58" s="8">
        <f t="shared" ref="CE58:CE59" si="554">ABS((3*$D$2*2/(4*PI()*$G3*$F$5))*4*BZ$8/$F$5^2)</f>
        <v>4.638671875000008</v>
      </c>
      <c r="CF58" s="8">
        <f t="shared" ref="CF58:CF59" si="555">ABS((3*$D$2*2/(4*PI()*$G3*$F$5))*4*CA$8/$F$5^2)</f>
        <v>4.699707031250008</v>
      </c>
      <c r="CG58" s="8">
        <f t="shared" ref="CG58:CG59" si="556">ABS((3*$D$2*2/(4*PI()*$G3*$F$5))*4*CB$8/$F$5^2)</f>
        <v>4.760742187500008</v>
      </c>
      <c r="CH58" s="8">
        <f t="shared" ref="CH58:CH59" si="557">ABS((3*$D$2*2/(4*PI()*$G3*$F$5))*4*CC$8/$F$5^2)</f>
        <v>4.8217773437500089</v>
      </c>
      <c r="CI58" s="8">
        <f t="shared" ref="CI58" si="558">ABS((3*$D$2*2/(4*PI()*$G3*$F$5))*4*CD$8/$F$5^2)</f>
        <v>4.8828125000000089</v>
      </c>
    </row>
    <row r="59" spans="7:175" x14ac:dyDescent="0.25">
      <c r="G59" s="8">
        <f t="shared" si="478"/>
        <v>0</v>
      </c>
      <c r="H59" s="8">
        <f t="shared" si="479"/>
        <v>3.9236886160714288E-2</v>
      </c>
      <c r="I59" s="8">
        <f t="shared" si="480"/>
        <v>7.8473772321428575E-2</v>
      </c>
      <c r="J59" s="8">
        <f t="shared" si="481"/>
        <v>0.11771065848214285</v>
      </c>
      <c r="K59" s="8">
        <f t="shared" si="482"/>
        <v>0.15694754464285715</v>
      </c>
      <c r="L59" s="8">
        <f t="shared" si="483"/>
        <v>0.19618443080357142</v>
      </c>
      <c r="M59" s="8">
        <f t="shared" si="484"/>
        <v>0.2354213169642857</v>
      </c>
      <c r="N59" s="8">
        <f t="shared" si="485"/>
        <v>0.274658203125</v>
      </c>
      <c r="O59" s="8">
        <f t="shared" si="486"/>
        <v>0.3138950892857143</v>
      </c>
      <c r="P59" s="8">
        <f t="shared" si="487"/>
        <v>0.35313197544642855</v>
      </c>
      <c r="Q59" s="8">
        <f t="shared" si="488"/>
        <v>0.39236886160714285</v>
      </c>
      <c r="R59" s="8">
        <f t="shared" si="489"/>
        <v>0.43160574776785715</v>
      </c>
      <c r="S59" s="8">
        <f t="shared" si="490"/>
        <v>0.4708426339285714</v>
      </c>
      <c r="T59" s="8">
        <f t="shared" si="491"/>
        <v>0.5100795200892857</v>
      </c>
      <c r="U59" s="8">
        <f t="shared" si="492"/>
        <v>0.54931640625</v>
      </c>
      <c r="V59" s="8">
        <f t="shared" si="493"/>
        <v>0.5885532924107143</v>
      </c>
      <c r="W59" s="8">
        <f t="shared" si="494"/>
        <v>0.6277901785714286</v>
      </c>
      <c r="X59" s="8">
        <f t="shared" si="495"/>
        <v>0.66702706473214279</v>
      </c>
      <c r="Y59" s="8">
        <f t="shared" si="496"/>
        <v>0.7062639508928571</v>
      </c>
      <c r="Z59" s="8">
        <f t="shared" si="497"/>
        <v>0.74550083705357151</v>
      </c>
      <c r="AA59" s="8">
        <f t="shared" si="498"/>
        <v>0.7847377232142857</v>
      </c>
      <c r="AB59" s="8">
        <f t="shared" si="499"/>
        <v>0.823974609375</v>
      </c>
      <c r="AC59" s="8">
        <f t="shared" si="500"/>
        <v>0.8632114955357143</v>
      </c>
      <c r="AD59" s="8">
        <f t="shared" si="501"/>
        <v>0.90244838169642849</v>
      </c>
      <c r="AE59" s="8">
        <f t="shared" si="502"/>
        <v>0.94168526785714279</v>
      </c>
      <c r="AF59" s="8">
        <f t="shared" si="503"/>
        <v>0.9809221540178571</v>
      </c>
      <c r="AG59" s="8">
        <f t="shared" si="504"/>
        <v>1.0201590401785714</v>
      </c>
      <c r="AH59" s="8">
        <f t="shared" si="505"/>
        <v>1.0593959263392858</v>
      </c>
      <c r="AI59" s="8">
        <f t="shared" si="506"/>
        <v>1.0986328125000002</v>
      </c>
      <c r="AJ59" s="8">
        <f t="shared" si="507"/>
        <v>1.1378696986607146</v>
      </c>
      <c r="AK59" s="8">
        <f t="shared" si="508"/>
        <v>1.1771065848214288</v>
      </c>
      <c r="AL59" s="8">
        <f t="shared" si="509"/>
        <v>1.2163434709821435</v>
      </c>
      <c r="AM59" s="8">
        <f t="shared" si="510"/>
        <v>1.2555803571428579</v>
      </c>
      <c r="AN59" s="8">
        <f t="shared" si="511"/>
        <v>1.2948172433035721</v>
      </c>
      <c r="AO59" s="8">
        <f t="shared" si="512"/>
        <v>1.3340541294642865</v>
      </c>
      <c r="AP59" s="8">
        <f t="shared" si="513"/>
        <v>1.3732910156250009</v>
      </c>
      <c r="AQ59" s="8">
        <f t="shared" si="514"/>
        <v>1.4125279017857153</v>
      </c>
      <c r="AR59" s="8">
        <f t="shared" si="515"/>
        <v>1.4517647879464297</v>
      </c>
      <c r="AS59" s="8">
        <f t="shared" si="516"/>
        <v>1.4910016741071439</v>
      </c>
      <c r="AT59" s="8">
        <f t="shared" si="517"/>
        <v>1.5302385602678583</v>
      </c>
      <c r="AU59" s="8">
        <f t="shared" si="518"/>
        <v>1.5694754464285727</v>
      </c>
      <c r="AV59" s="8">
        <f t="shared" si="519"/>
        <v>1.6087123325892871</v>
      </c>
      <c r="AW59" s="8">
        <f t="shared" si="520"/>
        <v>1.6479492187500016</v>
      </c>
      <c r="AX59" s="8">
        <f t="shared" si="521"/>
        <v>1.687186104910716</v>
      </c>
      <c r="AY59" s="8">
        <f t="shared" si="522"/>
        <v>1.7264229910714302</v>
      </c>
      <c r="AZ59" s="8">
        <f t="shared" si="523"/>
        <v>1.7656598772321446</v>
      </c>
      <c r="BA59" s="8">
        <f t="shared" si="524"/>
        <v>1.804896763392859</v>
      </c>
      <c r="BB59" s="8">
        <f t="shared" si="525"/>
        <v>1.8441336495535734</v>
      </c>
      <c r="BC59" s="8">
        <f t="shared" si="526"/>
        <v>1.883370535714288</v>
      </c>
      <c r="BD59" s="8">
        <f t="shared" si="527"/>
        <v>1.9226074218750024</v>
      </c>
      <c r="BE59" s="8">
        <f t="shared" si="528"/>
        <v>1.9618443080357169</v>
      </c>
      <c r="BF59" s="8">
        <f t="shared" si="529"/>
        <v>2.001081194196431</v>
      </c>
      <c r="BG59" s="8">
        <f t="shared" si="530"/>
        <v>2.0403180803571455</v>
      </c>
      <c r="BH59" s="8">
        <f t="shared" si="531"/>
        <v>2.0795549665178599</v>
      </c>
      <c r="BI59" s="8">
        <f t="shared" si="532"/>
        <v>2.1187918526785743</v>
      </c>
      <c r="BJ59" s="8">
        <f t="shared" si="533"/>
        <v>2.1580287388392887</v>
      </c>
      <c r="BK59" s="8">
        <f t="shared" si="534"/>
        <v>2.1972656250000031</v>
      </c>
      <c r="BL59" s="8">
        <f t="shared" si="535"/>
        <v>2.2365025111607171</v>
      </c>
      <c r="BM59" s="8">
        <f t="shared" si="536"/>
        <v>2.2757393973214315</v>
      </c>
      <c r="BN59" s="8">
        <f t="shared" si="537"/>
        <v>2.3149762834821459</v>
      </c>
      <c r="BO59" s="8">
        <f t="shared" si="538"/>
        <v>2.3542131696428603</v>
      </c>
      <c r="BP59" s="8">
        <f t="shared" si="539"/>
        <v>2.3934500558035747</v>
      </c>
      <c r="BQ59" s="8">
        <f t="shared" si="540"/>
        <v>2.4326869419642891</v>
      </c>
      <c r="BR59" s="8">
        <f t="shared" si="541"/>
        <v>2.471923828125004</v>
      </c>
      <c r="BS59" s="8">
        <f t="shared" si="542"/>
        <v>2.511160714285718</v>
      </c>
      <c r="BT59" s="8">
        <f t="shared" si="543"/>
        <v>2.5503976004464324</v>
      </c>
      <c r="BU59" s="8">
        <f t="shared" si="544"/>
        <v>2.5896344866071468</v>
      </c>
      <c r="BV59" s="8">
        <f t="shared" si="545"/>
        <v>2.6288713727678612</v>
      </c>
      <c r="BW59" s="8">
        <f t="shared" si="546"/>
        <v>2.6681082589285756</v>
      </c>
      <c r="BX59" s="8">
        <f t="shared" si="547"/>
        <v>2.70734514508929</v>
      </c>
      <c r="BY59" s="8">
        <f t="shared" si="548"/>
        <v>2.746582031250004</v>
      </c>
      <c r="BZ59" s="8">
        <f t="shared" si="549"/>
        <v>2.7858189174107184</v>
      </c>
      <c r="CA59" s="8">
        <f t="shared" si="550"/>
        <v>2.8250558035714328</v>
      </c>
      <c r="CB59" s="8">
        <f t="shared" si="551"/>
        <v>2.8642926897321477</v>
      </c>
      <c r="CC59" s="8">
        <f t="shared" si="552"/>
        <v>2.9035295758928621</v>
      </c>
      <c r="CD59" s="8">
        <f t="shared" si="553"/>
        <v>2.9427664620535765</v>
      </c>
      <c r="CE59" s="8">
        <f t="shared" si="554"/>
        <v>2.9820033482142905</v>
      </c>
      <c r="CF59" s="8">
        <f t="shared" si="555"/>
        <v>3.0212402343750053</v>
      </c>
      <c r="CG59" s="8">
        <f t="shared" si="556"/>
        <v>3.0604771205357193</v>
      </c>
      <c r="CH59" s="8">
        <f t="shared" si="557"/>
        <v>3.0997140066964342</v>
      </c>
      <c r="CI59" s="8">
        <f>ABS((3*$D$2*2/(4*PI()*$G4*$F$5))*4*CD$8/$F$5^2)</f>
        <v>3.1389508928571481</v>
      </c>
    </row>
    <row r="92" spans="2:2" x14ac:dyDescent="0.25">
      <c r="B92" t="s">
        <v>302</v>
      </c>
    </row>
    <row r="93" spans="2:2" x14ac:dyDescent="0.25">
      <c r="B93">
        <v>0.53</v>
      </c>
    </row>
    <row r="97" spans="1:169" x14ac:dyDescent="0.25">
      <c r="A97" s="10" t="s">
        <v>144</v>
      </c>
      <c r="B97" t="s">
        <v>146</v>
      </c>
      <c r="C97" t="s">
        <v>147</v>
      </c>
      <c r="D97" t="s">
        <v>148</v>
      </c>
      <c r="E97" t="s">
        <v>149</v>
      </c>
      <c r="F97" t="s">
        <v>150</v>
      </c>
    </row>
    <row r="98" spans="1:169" x14ac:dyDescent="0.25">
      <c r="A98" t="s">
        <v>145</v>
      </c>
      <c r="B98">
        <f>2*B93 + 1</f>
        <v>2.06</v>
      </c>
      <c r="C98">
        <f>B93+1</f>
        <v>1.53</v>
      </c>
      <c r="D98">
        <f>B98/C98</f>
        <v>1.34640522875817</v>
      </c>
      <c r="E98">
        <f>C98/B93</f>
        <v>2.8867924528301887</v>
      </c>
      <c r="F98">
        <f>1/B93</f>
        <v>1.8867924528301885</v>
      </c>
    </row>
    <row r="99" spans="1:169" x14ac:dyDescent="0.25">
      <c r="A99">
        <f>D2/(4*PI())</f>
        <v>2.8124999999999999E-8</v>
      </c>
    </row>
    <row r="103" spans="1:169" x14ac:dyDescent="0.25">
      <c r="A103" s="10" t="s">
        <v>139</v>
      </c>
      <c r="B103" s="8">
        <f>0</f>
        <v>0</v>
      </c>
      <c r="C103" s="8">
        <f>B103+0.005*10^-3</f>
        <v>5.0000000000000004E-6</v>
      </c>
      <c r="D103" s="8">
        <f t="shared" ref="D103:BO103" si="559">C103+0.005*10^-3</f>
        <v>1.0000000000000001E-5</v>
      </c>
      <c r="E103" s="8">
        <f t="shared" si="559"/>
        <v>1.5000000000000002E-5</v>
      </c>
      <c r="F103" s="8">
        <f t="shared" si="559"/>
        <v>2.0000000000000002E-5</v>
      </c>
      <c r="G103" s="8">
        <f t="shared" si="559"/>
        <v>2.5000000000000001E-5</v>
      </c>
      <c r="H103" s="8">
        <f t="shared" si="559"/>
        <v>3.0000000000000001E-5</v>
      </c>
      <c r="I103" s="8">
        <f t="shared" si="559"/>
        <v>3.5000000000000004E-5</v>
      </c>
      <c r="J103" s="8">
        <f t="shared" si="559"/>
        <v>4.0000000000000003E-5</v>
      </c>
      <c r="K103" s="8">
        <f t="shared" si="559"/>
        <v>4.5000000000000003E-5</v>
      </c>
      <c r="L103" s="8">
        <f t="shared" si="559"/>
        <v>5.0000000000000002E-5</v>
      </c>
      <c r="M103" s="8">
        <f t="shared" si="559"/>
        <v>5.5000000000000002E-5</v>
      </c>
      <c r="N103" s="8">
        <f t="shared" si="559"/>
        <v>6.0000000000000002E-5</v>
      </c>
      <c r="O103" s="8">
        <f t="shared" si="559"/>
        <v>6.5000000000000008E-5</v>
      </c>
      <c r="P103" s="8">
        <f t="shared" si="559"/>
        <v>7.0000000000000007E-5</v>
      </c>
      <c r="Q103" s="8">
        <f t="shared" si="559"/>
        <v>7.5000000000000007E-5</v>
      </c>
      <c r="R103" s="8">
        <f t="shared" si="559"/>
        <v>8.0000000000000007E-5</v>
      </c>
      <c r="S103" s="8">
        <f t="shared" si="559"/>
        <v>8.5000000000000006E-5</v>
      </c>
      <c r="T103" s="8">
        <f t="shared" si="559"/>
        <v>9.0000000000000006E-5</v>
      </c>
      <c r="U103" s="8">
        <f t="shared" si="559"/>
        <v>9.5000000000000005E-5</v>
      </c>
      <c r="V103" s="8">
        <f t="shared" si="559"/>
        <v>1E-4</v>
      </c>
      <c r="W103" s="8">
        <f t="shared" si="559"/>
        <v>1.05E-4</v>
      </c>
      <c r="X103" s="8">
        <f t="shared" si="559"/>
        <v>1.1E-4</v>
      </c>
      <c r="Y103" s="8">
        <f t="shared" si="559"/>
        <v>1.15E-4</v>
      </c>
      <c r="Z103" s="8">
        <f t="shared" si="559"/>
        <v>1.2E-4</v>
      </c>
      <c r="AA103" s="8">
        <f t="shared" si="559"/>
        <v>1.25E-4</v>
      </c>
      <c r="AB103" s="8">
        <f t="shared" si="559"/>
        <v>1.3000000000000002E-4</v>
      </c>
      <c r="AC103" s="8">
        <f t="shared" si="559"/>
        <v>1.3500000000000003E-4</v>
      </c>
      <c r="AD103" s="8">
        <f t="shared" si="559"/>
        <v>1.4000000000000004E-4</v>
      </c>
      <c r="AE103" s="8">
        <f t="shared" si="559"/>
        <v>1.4500000000000006E-4</v>
      </c>
      <c r="AF103" s="8">
        <f t="shared" si="559"/>
        <v>1.5000000000000007E-4</v>
      </c>
      <c r="AG103" s="8">
        <f t="shared" si="559"/>
        <v>1.5500000000000008E-4</v>
      </c>
      <c r="AH103" s="8">
        <f t="shared" si="559"/>
        <v>1.6000000000000009E-4</v>
      </c>
      <c r="AI103" s="8">
        <f t="shared" si="559"/>
        <v>1.6500000000000011E-4</v>
      </c>
      <c r="AJ103" s="8">
        <f t="shared" si="559"/>
        <v>1.7000000000000012E-4</v>
      </c>
      <c r="AK103" s="8">
        <f t="shared" si="559"/>
        <v>1.7500000000000013E-4</v>
      </c>
      <c r="AL103" s="8">
        <f t="shared" si="559"/>
        <v>1.8000000000000015E-4</v>
      </c>
      <c r="AM103" s="8">
        <f t="shared" si="559"/>
        <v>1.8500000000000016E-4</v>
      </c>
      <c r="AN103" s="8">
        <f t="shared" si="559"/>
        <v>1.9000000000000017E-4</v>
      </c>
      <c r="AO103" s="8">
        <f t="shared" si="559"/>
        <v>1.9500000000000019E-4</v>
      </c>
      <c r="AP103" s="8">
        <f t="shared" si="559"/>
        <v>2.000000000000002E-4</v>
      </c>
      <c r="AQ103" s="8">
        <f t="shared" si="559"/>
        <v>2.0500000000000021E-4</v>
      </c>
      <c r="AR103" s="8">
        <f t="shared" si="559"/>
        <v>2.1000000000000023E-4</v>
      </c>
      <c r="AS103" s="8">
        <f t="shared" si="559"/>
        <v>2.1500000000000024E-4</v>
      </c>
      <c r="AT103" s="8">
        <f t="shared" si="559"/>
        <v>2.2000000000000025E-4</v>
      </c>
      <c r="AU103" s="8">
        <f t="shared" si="559"/>
        <v>2.2500000000000026E-4</v>
      </c>
      <c r="AV103" s="8">
        <f t="shared" si="559"/>
        <v>2.3000000000000028E-4</v>
      </c>
      <c r="AW103" s="8">
        <f t="shared" si="559"/>
        <v>2.3500000000000029E-4</v>
      </c>
      <c r="AX103" s="8">
        <f t="shared" si="559"/>
        <v>2.400000000000003E-4</v>
      </c>
      <c r="AY103" s="8">
        <f t="shared" si="559"/>
        <v>2.4500000000000032E-4</v>
      </c>
      <c r="AZ103" s="8">
        <f t="shared" si="559"/>
        <v>2.5000000000000033E-4</v>
      </c>
      <c r="BA103" s="8">
        <f t="shared" si="559"/>
        <v>2.5500000000000034E-4</v>
      </c>
      <c r="BB103" s="8">
        <f t="shared" si="559"/>
        <v>2.6000000000000036E-4</v>
      </c>
      <c r="BC103" s="8">
        <f t="shared" si="559"/>
        <v>2.6500000000000037E-4</v>
      </c>
      <c r="BD103" s="8">
        <f t="shared" si="559"/>
        <v>2.7000000000000038E-4</v>
      </c>
      <c r="BE103" s="8">
        <f t="shared" si="559"/>
        <v>2.750000000000004E-4</v>
      </c>
      <c r="BF103" s="8">
        <f t="shared" si="559"/>
        <v>2.8000000000000041E-4</v>
      </c>
      <c r="BG103" s="8">
        <f t="shared" si="559"/>
        <v>2.8500000000000042E-4</v>
      </c>
      <c r="BH103" s="8">
        <f t="shared" si="559"/>
        <v>2.9000000000000044E-4</v>
      </c>
      <c r="BI103" s="8">
        <f t="shared" si="559"/>
        <v>2.9500000000000045E-4</v>
      </c>
      <c r="BJ103" s="8">
        <f t="shared" si="559"/>
        <v>3.0000000000000046E-4</v>
      </c>
      <c r="BK103" s="8">
        <f t="shared" si="559"/>
        <v>3.0500000000000047E-4</v>
      </c>
      <c r="BL103" s="8">
        <f t="shared" si="559"/>
        <v>3.1000000000000049E-4</v>
      </c>
      <c r="BM103" s="8">
        <f t="shared" si="559"/>
        <v>3.150000000000005E-4</v>
      </c>
      <c r="BN103" s="8">
        <f t="shared" si="559"/>
        <v>3.2000000000000051E-4</v>
      </c>
      <c r="BO103" s="8">
        <f t="shared" si="559"/>
        <v>3.2500000000000053E-4</v>
      </c>
      <c r="BP103" s="8">
        <f t="shared" ref="BP103:EA103" si="560">BO103+0.005*10^-3</f>
        <v>3.3000000000000054E-4</v>
      </c>
      <c r="BQ103" s="8">
        <f t="shared" si="560"/>
        <v>3.3500000000000055E-4</v>
      </c>
      <c r="BR103" s="8">
        <f t="shared" si="560"/>
        <v>3.4000000000000057E-4</v>
      </c>
      <c r="BS103" s="8">
        <f t="shared" si="560"/>
        <v>3.4500000000000058E-4</v>
      </c>
      <c r="BT103" s="8">
        <f t="shared" si="560"/>
        <v>3.5000000000000059E-4</v>
      </c>
      <c r="BU103" s="8">
        <f t="shared" si="560"/>
        <v>3.5500000000000061E-4</v>
      </c>
      <c r="BV103" s="8">
        <f t="shared" si="560"/>
        <v>3.6000000000000062E-4</v>
      </c>
      <c r="BW103" s="8">
        <f t="shared" si="560"/>
        <v>3.6500000000000063E-4</v>
      </c>
      <c r="BX103" s="8">
        <f t="shared" si="560"/>
        <v>3.7000000000000065E-4</v>
      </c>
      <c r="BY103" s="8">
        <f t="shared" si="560"/>
        <v>3.7500000000000066E-4</v>
      </c>
      <c r="BZ103" s="8">
        <f t="shared" si="560"/>
        <v>3.8000000000000067E-4</v>
      </c>
      <c r="CA103" s="8">
        <f t="shared" si="560"/>
        <v>3.8500000000000068E-4</v>
      </c>
      <c r="CB103" s="8">
        <f t="shared" si="560"/>
        <v>3.900000000000007E-4</v>
      </c>
      <c r="CC103" s="8">
        <f t="shared" si="560"/>
        <v>3.9500000000000071E-4</v>
      </c>
      <c r="CD103" s="8">
        <f t="shared" si="560"/>
        <v>4.0000000000000072E-4</v>
      </c>
      <c r="CE103" s="8">
        <f t="shared" si="560"/>
        <v>4.0500000000000074E-4</v>
      </c>
      <c r="CF103" s="8">
        <f t="shared" si="560"/>
        <v>4.1000000000000075E-4</v>
      </c>
      <c r="CG103" s="8">
        <f t="shared" si="560"/>
        <v>4.1500000000000076E-4</v>
      </c>
      <c r="CH103" s="8">
        <f t="shared" si="560"/>
        <v>4.2000000000000078E-4</v>
      </c>
      <c r="CI103" s="8">
        <f t="shared" si="560"/>
        <v>4.2500000000000079E-4</v>
      </c>
      <c r="CJ103" s="8">
        <f t="shared" si="560"/>
        <v>4.300000000000008E-4</v>
      </c>
      <c r="CK103" s="8">
        <f t="shared" si="560"/>
        <v>4.3500000000000082E-4</v>
      </c>
      <c r="CL103" s="8">
        <f t="shared" si="560"/>
        <v>4.4000000000000083E-4</v>
      </c>
      <c r="CM103" s="8">
        <f t="shared" si="560"/>
        <v>4.4500000000000084E-4</v>
      </c>
      <c r="CN103" s="8">
        <f t="shared" si="560"/>
        <v>4.5000000000000086E-4</v>
      </c>
      <c r="CO103" s="8">
        <f t="shared" si="560"/>
        <v>4.5500000000000087E-4</v>
      </c>
      <c r="CP103" s="8">
        <f t="shared" si="560"/>
        <v>4.6000000000000088E-4</v>
      </c>
      <c r="CQ103" s="8">
        <f t="shared" si="560"/>
        <v>4.6500000000000089E-4</v>
      </c>
      <c r="CR103" s="8">
        <f t="shared" si="560"/>
        <v>4.7000000000000091E-4</v>
      </c>
      <c r="CS103" s="8">
        <f t="shared" si="560"/>
        <v>4.7500000000000092E-4</v>
      </c>
      <c r="CT103" s="8">
        <f t="shared" si="560"/>
        <v>4.8000000000000093E-4</v>
      </c>
      <c r="CU103" s="8">
        <f t="shared" si="560"/>
        <v>4.8500000000000095E-4</v>
      </c>
      <c r="CV103" s="8">
        <f t="shared" si="560"/>
        <v>4.9000000000000096E-4</v>
      </c>
      <c r="CW103" s="8">
        <f t="shared" si="560"/>
        <v>4.9500000000000097E-4</v>
      </c>
      <c r="CX103" s="8">
        <f t="shared" si="560"/>
        <v>5.0000000000000099E-4</v>
      </c>
      <c r="CY103" s="8">
        <f t="shared" si="560"/>
        <v>5.05000000000001E-4</v>
      </c>
      <c r="CZ103" s="8">
        <f t="shared" si="560"/>
        <v>5.1000000000000101E-4</v>
      </c>
      <c r="DA103" s="8">
        <f t="shared" si="560"/>
        <v>5.1500000000000103E-4</v>
      </c>
      <c r="DB103" s="8">
        <f t="shared" si="560"/>
        <v>5.2000000000000104E-4</v>
      </c>
      <c r="DC103" s="8">
        <f t="shared" si="560"/>
        <v>5.2500000000000105E-4</v>
      </c>
      <c r="DD103" s="8">
        <f t="shared" si="560"/>
        <v>5.3000000000000106E-4</v>
      </c>
      <c r="DE103" s="8">
        <f t="shared" si="560"/>
        <v>5.3500000000000108E-4</v>
      </c>
      <c r="DF103" s="8">
        <f t="shared" si="560"/>
        <v>5.4000000000000109E-4</v>
      </c>
      <c r="DG103" s="8">
        <f t="shared" si="560"/>
        <v>5.450000000000011E-4</v>
      </c>
      <c r="DH103" s="8">
        <f t="shared" si="560"/>
        <v>5.5000000000000112E-4</v>
      </c>
      <c r="DI103" s="8">
        <f t="shared" si="560"/>
        <v>5.5500000000000113E-4</v>
      </c>
      <c r="DJ103" s="8">
        <f t="shared" si="560"/>
        <v>5.6000000000000114E-4</v>
      </c>
      <c r="DK103" s="8">
        <f t="shared" si="560"/>
        <v>5.6500000000000116E-4</v>
      </c>
      <c r="DL103" s="8">
        <f t="shared" si="560"/>
        <v>5.7000000000000117E-4</v>
      </c>
      <c r="DM103" s="8">
        <f t="shared" si="560"/>
        <v>5.7500000000000118E-4</v>
      </c>
      <c r="DN103" s="8">
        <f t="shared" si="560"/>
        <v>5.800000000000012E-4</v>
      </c>
      <c r="DO103" s="8">
        <f t="shared" si="560"/>
        <v>5.8500000000000121E-4</v>
      </c>
      <c r="DP103" s="8">
        <f t="shared" si="560"/>
        <v>5.9000000000000122E-4</v>
      </c>
      <c r="DQ103" s="8">
        <f t="shared" si="560"/>
        <v>5.9500000000000124E-4</v>
      </c>
      <c r="DR103" s="8">
        <f t="shared" si="560"/>
        <v>6.0000000000000125E-4</v>
      </c>
      <c r="DS103" s="8">
        <f t="shared" si="560"/>
        <v>6.0500000000000126E-4</v>
      </c>
      <c r="DT103" s="8">
        <f t="shared" si="560"/>
        <v>6.1000000000000127E-4</v>
      </c>
      <c r="DU103" s="8">
        <f t="shared" si="560"/>
        <v>6.1500000000000129E-4</v>
      </c>
      <c r="DV103" s="8">
        <f t="shared" si="560"/>
        <v>6.200000000000013E-4</v>
      </c>
      <c r="DW103" s="8">
        <f t="shared" si="560"/>
        <v>6.2500000000000131E-4</v>
      </c>
      <c r="DX103" s="8">
        <f t="shared" si="560"/>
        <v>6.3000000000000133E-4</v>
      </c>
      <c r="DY103" s="8">
        <f t="shared" si="560"/>
        <v>6.3500000000000134E-4</v>
      </c>
      <c r="DZ103" s="8">
        <f t="shared" si="560"/>
        <v>6.4000000000000135E-4</v>
      </c>
      <c r="EA103" s="8">
        <f t="shared" si="560"/>
        <v>6.4500000000000137E-4</v>
      </c>
      <c r="EB103" s="8">
        <f t="shared" ref="EB103:FE103" si="561">EA103+0.005*10^-3</f>
        <v>6.5000000000000138E-4</v>
      </c>
      <c r="EC103" s="8">
        <f t="shared" si="561"/>
        <v>6.5500000000000139E-4</v>
      </c>
      <c r="ED103" s="8">
        <f t="shared" si="561"/>
        <v>6.6000000000000141E-4</v>
      </c>
      <c r="EE103" s="8">
        <f t="shared" si="561"/>
        <v>6.6500000000000142E-4</v>
      </c>
      <c r="EF103" s="8">
        <f t="shared" si="561"/>
        <v>6.7000000000000143E-4</v>
      </c>
      <c r="EG103" s="8">
        <f t="shared" si="561"/>
        <v>6.7500000000000145E-4</v>
      </c>
      <c r="EH103" s="8">
        <f t="shared" si="561"/>
        <v>6.8000000000000146E-4</v>
      </c>
      <c r="EI103" s="8">
        <f t="shared" si="561"/>
        <v>6.8500000000000147E-4</v>
      </c>
      <c r="EJ103" s="8">
        <f t="shared" si="561"/>
        <v>6.9000000000000148E-4</v>
      </c>
      <c r="EK103" s="8">
        <f t="shared" si="561"/>
        <v>6.950000000000015E-4</v>
      </c>
      <c r="EL103" s="8">
        <f t="shared" si="561"/>
        <v>7.0000000000000151E-4</v>
      </c>
      <c r="EM103" s="8">
        <f t="shared" si="561"/>
        <v>7.0500000000000152E-4</v>
      </c>
      <c r="EN103" s="8">
        <f t="shared" si="561"/>
        <v>7.1000000000000154E-4</v>
      </c>
      <c r="EO103" s="8">
        <f t="shared" si="561"/>
        <v>7.1500000000000155E-4</v>
      </c>
      <c r="EP103" s="8">
        <f t="shared" si="561"/>
        <v>7.2000000000000156E-4</v>
      </c>
      <c r="EQ103" s="8">
        <f t="shared" si="561"/>
        <v>7.2500000000000158E-4</v>
      </c>
      <c r="ER103" s="8">
        <f t="shared" si="561"/>
        <v>7.3000000000000159E-4</v>
      </c>
      <c r="ES103" s="8">
        <f t="shared" si="561"/>
        <v>7.350000000000016E-4</v>
      </c>
      <c r="ET103" s="8">
        <f t="shared" si="561"/>
        <v>7.4000000000000162E-4</v>
      </c>
      <c r="EU103" s="8">
        <f t="shared" si="561"/>
        <v>7.4500000000000163E-4</v>
      </c>
      <c r="EV103" s="8">
        <f t="shared" si="561"/>
        <v>7.5000000000000164E-4</v>
      </c>
      <c r="EW103" s="8">
        <f t="shared" si="561"/>
        <v>7.5500000000000166E-4</v>
      </c>
      <c r="EX103" s="8">
        <f t="shared" si="561"/>
        <v>7.6000000000000167E-4</v>
      </c>
      <c r="EY103" s="8">
        <f t="shared" si="561"/>
        <v>7.6500000000000168E-4</v>
      </c>
      <c r="EZ103" s="8">
        <f t="shared" si="561"/>
        <v>7.7000000000000169E-4</v>
      </c>
      <c r="FA103" s="8">
        <f t="shared" si="561"/>
        <v>7.7500000000000171E-4</v>
      </c>
      <c r="FB103" s="8">
        <f t="shared" si="561"/>
        <v>7.8000000000000172E-4</v>
      </c>
      <c r="FC103" s="8">
        <f t="shared" si="561"/>
        <v>7.8500000000000173E-4</v>
      </c>
      <c r="FD103" s="8">
        <f t="shared" si="561"/>
        <v>7.9000000000000175E-4</v>
      </c>
      <c r="FE103" s="8">
        <f t="shared" si="561"/>
        <v>7.9500000000000176E-4</v>
      </c>
    </row>
    <row r="106" spans="1:169" x14ac:dyDescent="0.25">
      <c r="G106" s="10" t="s">
        <v>151</v>
      </c>
      <c r="H106" s="10"/>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c r="AR106" s="8"/>
      <c r="AS106" s="8"/>
      <c r="AT106" s="8"/>
      <c r="AU106" s="8"/>
      <c r="AV106" s="8"/>
      <c r="AW106" s="8"/>
      <c r="AX106" s="8"/>
      <c r="AY106" s="8"/>
      <c r="AZ106" s="8"/>
      <c r="BA106" s="8"/>
      <c r="BB106" s="8"/>
      <c r="BC106" s="8"/>
      <c r="BD106" s="8"/>
      <c r="BE106" s="8"/>
      <c r="BF106" s="8"/>
      <c r="BG106" s="8"/>
      <c r="BH106" s="8"/>
      <c r="BI106" s="8"/>
      <c r="BJ106" s="8"/>
      <c r="BK106" s="8"/>
      <c r="BL106" s="8"/>
      <c r="BM106" s="8"/>
      <c r="BN106" s="8"/>
      <c r="BO106" s="8"/>
      <c r="BP106" s="8"/>
      <c r="BQ106" s="8"/>
      <c r="BR106" s="8"/>
      <c r="BS106" s="8"/>
      <c r="BT106" s="8"/>
      <c r="BU106" s="8"/>
      <c r="BV106" s="8"/>
      <c r="BW106" s="8"/>
      <c r="BX106" s="8"/>
      <c r="BY106" s="8"/>
      <c r="BZ106" s="8"/>
      <c r="CA106" s="8"/>
      <c r="CB106" s="8"/>
      <c r="CC106" s="8"/>
      <c r="CD106" s="8"/>
      <c r="CE106" s="8"/>
      <c r="CF106" s="8"/>
      <c r="CG106" s="8"/>
      <c r="CH106" s="8"/>
      <c r="CI106" s="8"/>
      <c r="CJ106" s="8"/>
      <c r="CK106" s="8"/>
      <c r="CL106" s="8"/>
      <c r="CM106" s="8"/>
      <c r="CN106" s="8"/>
      <c r="CO106" s="8"/>
      <c r="CP106" s="8"/>
      <c r="CQ106" s="8"/>
      <c r="CR106" s="8"/>
      <c r="CS106" s="8"/>
      <c r="CT106" s="8"/>
      <c r="CU106" s="8"/>
      <c r="CV106" s="8"/>
      <c r="CW106" s="8"/>
      <c r="CX106" s="8"/>
      <c r="CY106" s="8"/>
      <c r="CZ106" s="8"/>
      <c r="DA106" s="8"/>
      <c r="DB106" s="8"/>
      <c r="DC106" s="8"/>
      <c r="DD106" s="8"/>
      <c r="DE106" s="8"/>
      <c r="DF106" s="8"/>
      <c r="DG106" s="8"/>
      <c r="DH106" s="8"/>
      <c r="DI106" s="8"/>
      <c r="DJ106" s="8"/>
      <c r="DK106" s="8"/>
      <c r="DL106" s="8"/>
      <c r="DM106" s="8"/>
      <c r="DN106" s="8"/>
      <c r="DO106" s="8"/>
      <c r="DP106" s="8"/>
      <c r="DQ106" s="8"/>
      <c r="DR106" s="8"/>
      <c r="DS106" s="8"/>
      <c r="DT106" s="8"/>
      <c r="DU106" s="8"/>
      <c r="DV106" s="8"/>
      <c r="DW106" s="8"/>
      <c r="DX106" s="8"/>
      <c r="DY106" s="8"/>
      <c r="DZ106" s="8"/>
      <c r="EA106" s="8"/>
      <c r="EB106" s="8"/>
      <c r="EC106" s="8"/>
      <c r="ED106" s="8"/>
      <c r="EE106" s="8"/>
      <c r="EF106" s="8"/>
      <c r="EG106" s="8"/>
      <c r="EH106" s="8"/>
      <c r="EI106" s="8"/>
      <c r="EJ106" s="8"/>
      <c r="EK106" s="8"/>
      <c r="EL106" s="8"/>
      <c r="EM106" s="8"/>
      <c r="EN106" s="8"/>
      <c r="EO106" s="8"/>
      <c r="EP106" s="8"/>
      <c r="EQ106" s="8"/>
      <c r="ER106" s="8"/>
      <c r="ES106" s="8"/>
      <c r="ET106" s="8"/>
      <c r="EU106" s="8"/>
      <c r="EV106" s="8"/>
      <c r="EW106" s="8"/>
      <c r="EX106" s="8"/>
      <c r="EY106" s="8"/>
      <c r="EZ106" s="8"/>
      <c r="FA106" s="8"/>
      <c r="FB106" s="8"/>
      <c r="FC106" s="8"/>
      <c r="FD106" s="8"/>
      <c r="FE106" s="8"/>
      <c r="FF106" s="8"/>
      <c r="FG106" s="8"/>
      <c r="FH106" s="8"/>
      <c r="FI106" s="8"/>
      <c r="FJ106" s="8"/>
      <c r="FK106" s="8"/>
      <c r="FL106" s="8"/>
      <c r="FM106" s="8"/>
    </row>
    <row r="107" spans="1:169" x14ac:dyDescent="0.25">
      <c r="G107" s="10" t="s">
        <v>138</v>
      </c>
      <c r="H107" s="10"/>
      <c r="I107" s="8"/>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c r="BC107" s="8"/>
      <c r="BD107" s="8"/>
      <c r="BE107" s="8"/>
      <c r="BF107" s="8"/>
      <c r="BG107" s="8"/>
      <c r="BH107" s="8"/>
      <c r="BI107" s="8"/>
      <c r="BJ107" s="8"/>
      <c r="BK107" s="8"/>
      <c r="BL107" s="8"/>
      <c r="BM107" s="8"/>
      <c r="BN107" s="8"/>
      <c r="BO107" s="8"/>
      <c r="BP107" s="8"/>
      <c r="BQ107" s="8"/>
      <c r="BR107" s="8"/>
      <c r="BS107" s="8"/>
      <c r="BT107" s="8"/>
      <c r="BU107" s="8"/>
      <c r="BV107" s="8"/>
      <c r="BW107" s="8"/>
      <c r="BX107" s="8"/>
      <c r="BY107" s="8"/>
      <c r="BZ107" s="8"/>
      <c r="CA107" s="8"/>
      <c r="CB107" s="8"/>
      <c r="CC107" s="8"/>
      <c r="CD107" s="8"/>
      <c r="CE107" s="8"/>
      <c r="CF107" s="8"/>
      <c r="CG107" s="8"/>
      <c r="CH107" s="8"/>
      <c r="CI107" s="8"/>
      <c r="CJ107" s="8"/>
      <c r="CK107" s="8"/>
      <c r="CL107" s="8"/>
      <c r="CM107" s="8"/>
      <c r="CN107" s="8"/>
      <c r="CO107" s="8"/>
      <c r="CP107" s="8"/>
      <c r="CQ107" s="8"/>
      <c r="CR107" s="8"/>
      <c r="CS107" s="8"/>
      <c r="CT107" s="8"/>
      <c r="CU107" s="8"/>
      <c r="CV107" s="8"/>
      <c r="CW107" s="8"/>
      <c r="CX107" s="8"/>
      <c r="CY107" s="8"/>
      <c r="CZ107" s="8"/>
      <c r="DA107" s="8"/>
      <c r="DB107" s="8"/>
      <c r="DC107" s="8"/>
      <c r="DD107" s="8"/>
      <c r="DE107" s="8"/>
      <c r="DF107" s="8"/>
      <c r="DG107" s="8"/>
      <c r="DH107" s="8"/>
      <c r="DI107" s="8"/>
      <c r="DJ107" s="8"/>
      <c r="DK107" s="8"/>
      <c r="DL107" s="8"/>
      <c r="DM107" s="8"/>
      <c r="DN107" s="8"/>
      <c r="DO107" s="8"/>
      <c r="DP107" s="8"/>
      <c r="DQ107" s="8"/>
      <c r="DR107" s="8"/>
      <c r="DS107" s="8"/>
      <c r="DT107" s="8"/>
      <c r="DU107" s="8"/>
      <c r="DV107" s="8"/>
      <c r="DW107" s="8"/>
      <c r="DX107" s="8"/>
      <c r="DY107" s="8"/>
      <c r="DZ107" s="8"/>
      <c r="EA107" s="8"/>
      <c r="EB107" s="8"/>
      <c r="EC107" s="8"/>
      <c r="ED107" s="8"/>
      <c r="EE107" s="8"/>
      <c r="EF107" s="8"/>
      <c r="EG107" s="8"/>
      <c r="EH107" s="8"/>
      <c r="EI107" s="8"/>
      <c r="EJ107" s="8"/>
      <c r="EK107" s="8"/>
      <c r="EL107" s="8"/>
      <c r="EM107" s="8"/>
      <c r="EN107" s="8"/>
      <c r="EO107" s="8"/>
      <c r="EP107" s="8"/>
      <c r="EQ107" s="8"/>
      <c r="ER107" s="8"/>
      <c r="ES107" s="8"/>
      <c r="ET107" s="8"/>
      <c r="EU107" s="8"/>
      <c r="EV107" s="8"/>
      <c r="EW107" s="8"/>
      <c r="EX107" s="8"/>
      <c r="EY107" s="8"/>
      <c r="EZ107" s="8"/>
      <c r="FA107" s="8"/>
      <c r="FB107" s="8"/>
      <c r="FC107" s="8"/>
      <c r="FD107" s="8"/>
      <c r="FE107" s="8"/>
      <c r="FF107" s="8"/>
      <c r="FG107" s="8"/>
      <c r="FH107" s="8"/>
      <c r="FI107" s="8"/>
      <c r="FJ107" s="8"/>
      <c r="FK107" s="8"/>
      <c r="FL107" s="8"/>
      <c r="FM107" s="8"/>
    </row>
    <row r="108" spans="1:169" x14ac:dyDescent="0.25">
      <c r="B108" t="s">
        <v>318</v>
      </c>
      <c r="G108" s="10" t="s">
        <v>137</v>
      </c>
      <c r="H108" s="10"/>
      <c r="I108" s="8"/>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c r="AI108" s="8"/>
      <c r="AJ108" s="8"/>
      <c r="AK108" s="8"/>
      <c r="AL108" s="8"/>
      <c r="AM108" s="8" t="s">
        <v>178</v>
      </c>
      <c r="AN108" s="8"/>
      <c r="AO108" s="8"/>
      <c r="AP108" s="8"/>
      <c r="AQ108" s="8"/>
      <c r="AR108" s="8"/>
      <c r="AS108" s="8"/>
      <c r="AT108" s="8"/>
      <c r="AU108" s="8"/>
      <c r="AV108" s="8"/>
      <c r="AW108" s="8"/>
      <c r="AX108" s="8"/>
      <c r="AY108" s="8"/>
      <c r="AZ108" s="8"/>
      <c r="BA108" s="8"/>
      <c r="BB108" s="8"/>
      <c r="BC108" s="8"/>
      <c r="BD108" s="8"/>
      <c r="BE108" s="8"/>
      <c r="BF108" s="8"/>
      <c r="BG108" s="8"/>
      <c r="BH108" s="8"/>
      <c r="BI108" s="8"/>
      <c r="BJ108" s="8"/>
      <c r="BK108" s="8"/>
      <c r="BL108" s="8"/>
      <c r="BM108" s="8"/>
      <c r="BN108" s="8"/>
      <c r="BO108" s="8"/>
      <c r="BP108" s="8"/>
      <c r="BQ108" s="8"/>
      <c r="BR108" s="8"/>
      <c r="BS108" s="8" t="s">
        <v>161</v>
      </c>
      <c r="BT108" s="8" t="s">
        <v>157</v>
      </c>
      <c r="BU108" s="8" t="s">
        <v>162</v>
      </c>
      <c r="BV108" s="8" t="s">
        <v>160</v>
      </c>
      <c r="BW108" s="8" t="s">
        <v>72</v>
      </c>
      <c r="BX108" s="8"/>
      <c r="BY108" s="8"/>
      <c r="BZ108" s="8"/>
      <c r="CA108" s="8"/>
      <c r="CB108" s="8"/>
      <c r="CC108" s="8"/>
      <c r="CD108" s="8"/>
      <c r="CE108" s="8"/>
      <c r="CF108" s="8"/>
      <c r="CG108" s="8"/>
      <c r="CH108" s="8"/>
      <c r="CI108" s="8"/>
      <c r="CJ108" s="8"/>
      <c r="CK108" s="8"/>
      <c r="CL108" s="8"/>
      <c r="CM108" s="8"/>
      <c r="CN108" s="8"/>
      <c r="CO108" s="8"/>
      <c r="CP108" s="8"/>
      <c r="CQ108" s="8"/>
      <c r="CR108" s="8"/>
      <c r="CS108" s="8"/>
      <c r="CT108" s="8"/>
      <c r="CU108" s="8"/>
      <c r="CV108" s="8"/>
      <c r="CW108" s="8"/>
      <c r="CX108" s="8"/>
      <c r="CY108" s="8"/>
      <c r="CZ108" s="8"/>
      <c r="DA108" s="8"/>
      <c r="DB108" s="8"/>
      <c r="DC108" s="8"/>
      <c r="DD108" s="8"/>
      <c r="DE108" s="8"/>
      <c r="DF108" s="8"/>
      <c r="DG108" s="8"/>
      <c r="DH108" s="8"/>
      <c r="DI108" s="8"/>
      <c r="DJ108" s="8"/>
      <c r="DK108" s="8"/>
      <c r="DL108" s="8"/>
      <c r="DM108" s="8"/>
      <c r="DN108" s="8"/>
      <c r="DO108" s="8"/>
      <c r="DP108" s="8"/>
      <c r="DQ108" s="8"/>
      <c r="DR108" s="8"/>
      <c r="DS108" s="8"/>
      <c r="DT108" s="8"/>
      <c r="DU108" s="8"/>
      <c r="DV108" s="8"/>
      <c r="DW108" s="8"/>
      <c r="DX108" s="8"/>
      <c r="DY108" s="8"/>
      <c r="DZ108" s="8"/>
      <c r="EA108" s="8"/>
      <c r="EB108" s="8"/>
      <c r="EC108" s="8"/>
      <c r="ED108" s="8"/>
      <c r="EE108" s="8"/>
      <c r="EF108" s="8"/>
      <c r="EG108" s="8"/>
      <c r="EH108" s="8"/>
      <c r="EI108" s="8"/>
      <c r="EJ108" s="8"/>
      <c r="EK108" s="8"/>
      <c r="EL108" s="8"/>
      <c r="EM108" s="8"/>
      <c r="EN108" s="8"/>
      <c r="EO108" s="8"/>
      <c r="EP108" s="8"/>
      <c r="EQ108" s="8"/>
      <c r="ER108" s="8"/>
      <c r="ES108" s="8"/>
      <c r="ET108" s="8"/>
      <c r="EU108" s="8"/>
      <c r="EV108" s="8"/>
      <c r="EW108" s="8"/>
      <c r="EX108" s="8"/>
      <c r="EY108" s="8"/>
      <c r="EZ108" s="8"/>
      <c r="FA108" s="8"/>
      <c r="FB108" s="8"/>
      <c r="FC108" s="8"/>
      <c r="FD108" s="8"/>
      <c r="FE108" s="8"/>
      <c r="FF108" s="8"/>
      <c r="FG108" s="8"/>
      <c r="FH108" s="8"/>
      <c r="FI108" s="8"/>
      <c r="FJ108" s="8"/>
      <c r="FK108" s="8"/>
      <c r="FL108" s="8"/>
      <c r="FM108" s="8"/>
    </row>
    <row r="109" spans="1:169" x14ac:dyDescent="0.25">
      <c r="G109" s="8">
        <f>ABS(SQRT(2)*($A$99*2*$D$98/($F$2*$G2^2))*(1-(B$103*2/($F$2))^$E$98))</f>
        <v>2.4793027798956428</v>
      </c>
      <c r="H109" s="8">
        <f t="shared" ref="H109:AJ109" si="562">ABS(SQRT(2)*($A$99*2*$D$98/($F$2*$G2^2))*(1-(C$103*2/($F$2))^$E$98))</f>
        <v>2.4791678254867482</v>
      </c>
      <c r="I109" s="8">
        <f t="shared" si="562"/>
        <v>2.4783046244123605</v>
      </c>
      <c r="J109" s="8">
        <f t="shared" si="562"/>
        <v>2.4760851423975043</v>
      </c>
      <c r="K109" s="8">
        <f t="shared" si="562"/>
        <v>2.4719201802683424</v>
      </c>
      <c r="L109" s="8">
        <f t="shared" si="562"/>
        <v>2.4652433273384089</v>
      </c>
      <c r="M109" s="8">
        <f t="shared" si="562"/>
        <v>2.4555043539065062</v>
      </c>
      <c r="N109" s="8">
        <f t="shared" si="562"/>
        <v>2.4421655316159052</v>
      </c>
      <c r="O109" s="8">
        <f t="shared" si="562"/>
        <v>2.4246992855805192</v>
      </c>
      <c r="P109" s="8">
        <f t="shared" si="562"/>
        <v>2.4025865677004106</v>
      </c>
      <c r="Q109" s="8">
        <f t="shared" si="562"/>
        <v>2.3753156647141811</v>
      </c>
      <c r="R109" s="8">
        <f t="shared" si="562"/>
        <v>2.3423812884104085</v>
      </c>
      <c r="S109" s="8">
        <f t="shared" si="562"/>
        <v>2.3032838592160831</v>
      </c>
      <c r="T109" s="8">
        <f t="shared" si="562"/>
        <v>2.2575289279928894</v>
      </c>
      <c r="U109" s="8">
        <f t="shared" si="562"/>
        <v>2.2046266999653072</v>
      </c>
      <c r="V109" s="8">
        <f t="shared" si="562"/>
        <v>2.1440916362060283</v>
      </c>
      <c r="W109" s="8">
        <f t="shared" si="562"/>
        <v>2.0754421153681695</v>
      </c>
      <c r="X109" s="8">
        <f t="shared" si="562"/>
        <v>1.9982001431239025</v>
      </c>
      <c r="Y109" s="8">
        <f>ABS(SQRT(2)*($A$99*2*$D$98/($F$2*$G2^2))*(1-(T$103*2/($F$2))^$E$98))</f>
        <v>1.9118911000058494</v>
      </c>
      <c r="Z109" s="8">
        <f t="shared" si="562"/>
        <v>1.8160435206060128</v>
      </c>
      <c r="AA109" s="8">
        <f t="shared" si="562"/>
        <v>1.7101888987012615</v>
      </c>
      <c r="AB109" s="8">
        <f t="shared" si="562"/>
        <v>1.5938615140527168</v>
      </c>
      <c r="AC109" s="8">
        <f>ABS(SQRT(2)*($A$99*2*$D$98/($F$2*$G2^2))*(1-(X$103*2/($F$2))^$E$98))</f>
        <v>1.466598277502583</v>
      </c>
      <c r="AD109" s="8">
        <f t="shared" si="562"/>
        <v>1.3279385916542852</v>
      </c>
      <c r="AE109" s="8">
        <f t="shared" si="562"/>
        <v>1.1774242249298597</v>
      </c>
      <c r="AF109" s="8">
        <f t="shared" si="562"/>
        <v>1.0145991971934341</v>
      </c>
      <c r="AG109" s="8">
        <f t="shared" si="562"/>
        <v>0.83900967544030758</v>
      </c>
      <c r="AH109" s="8">
        <f t="shared" si="562"/>
        <v>0.65020387829815718</v>
      </c>
      <c r="AI109" s="8">
        <f t="shared" si="562"/>
        <v>0.44773198828529714</v>
      </c>
      <c r="AJ109" s="8">
        <f t="shared" si="562"/>
        <v>0.23114607093171344</v>
      </c>
      <c r="AK109" s="8">
        <f>ABS(SQRT(2)*($A$99*2*$D$98/($F$2*$G2^2))*(1-(AF$103*2/($F$2))^$E$98))</f>
        <v>3.3030948375087592E-15</v>
      </c>
      <c r="AL109" s="8"/>
      <c r="AM109" s="8">
        <f>G114/G109</f>
        <v>2.449524623129247E-2</v>
      </c>
      <c r="AN109" s="8">
        <f t="shared" ref="AN109:BQ109" si="563">H114/H109</f>
        <v>0.24218496098791528</v>
      </c>
      <c r="AO109" s="8">
        <f t="shared" si="563"/>
        <v>0.96205901342789246</v>
      </c>
      <c r="AP109" s="8">
        <f t="shared" si="563"/>
        <v>2.0975545761019481</v>
      </c>
      <c r="AQ109" s="8">
        <f t="shared" si="563"/>
        <v>3.6332882932481732</v>
      </c>
      <c r="AR109" s="8">
        <f t="shared" si="563"/>
        <v>5.5632881373202094</v>
      </c>
      <c r="AS109" s="8">
        <f t="shared" si="563"/>
        <v>7.888757756755747</v>
      </c>
      <c r="AT109" s="8">
        <f t="shared" si="563"/>
        <v>10.617748172303065</v>
      </c>
      <c r="AU109" s="8">
        <f t="shared" si="563"/>
        <v>13.765591479679811</v>
      </c>
      <c r="AV109" s="8">
        <f t="shared" si="563"/>
        <v>17.355828385006891</v>
      </c>
      <c r="AW109" s="8">
        <f t="shared" si="563"/>
        <v>21.421602799508783</v>
      </c>
      <c r="AX109" s="8">
        <f t="shared" si="563"/>
        <v>26.007608369237978</v>
      </c>
      <c r="AY109" s="8">
        <f t="shared" si="563"/>
        <v>31.172760276233326</v>
      </c>
      <c r="AZ109" s="8">
        <f t="shared" si="563"/>
        <v>36.993870184092913</v>
      </c>
      <c r="BA109" s="8">
        <f t="shared" si="563"/>
        <v>43.570752056509704</v>
      </c>
      <c r="BB109" s="8">
        <f t="shared" si="563"/>
        <v>51.033419969344621</v>
      </c>
      <c r="BC109" s="8">
        <f t="shared" si="563"/>
        <v>59.552419319183386</v>
      </c>
      <c r="BD109" s="8">
        <f t="shared" si="563"/>
        <v>69.353974814353492</v>
      </c>
      <c r="BE109" s="8">
        <f t="shared" si="563"/>
        <v>80.742761339414216</v>
      </c>
      <c r="BF109" s="8">
        <f t="shared" si="563"/>
        <v>94.137144724705976</v>
      </c>
      <c r="BG109" s="8">
        <f t="shared" si="563"/>
        <v>110.12561712250806</v>
      </c>
      <c r="BH109" s="8">
        <f t="shared" si="563"/>
        <v>129.56090703005725</v>
      </c>
      <c r="BI109" s="8">
        <f t="shared" si="563"/>
        <v>153.7247241490935</v>
      </c>
      <c r="BJ109" s="8">
        <f t="shared" si="563"/>
        <v>184.63376826163508</v>
      </c>
      <c r="BK109" s="8">
        <f t="shared" si="563"/>
        <v>225.65180385724526</v>
      </c>
      <c r="BL109" s="8">
        <f t="shared" si="563"/>
        <v>282.83628547597738</v>
      </c>
      <c r="BM109" s="8">
        <f t="shared" si="563"/>
        <v>368.30498928461247</v>
      </c>
      <c r="BN109" s="8">
        <f t="shared" si="563"/>
        <v>510.33598865813428</v>
      </c>
      <c r="BO109" s="8">
        <f t="shared" si="563"/>
        <v>793.76766394903393</v>
      </c>
      <c r="BP109" s="8">
        <f t="shared" si="563"/>
        <v>1642.7989606838626</v>
      </c>
      <c r="BQ109" s="8">
        <f t="shared" si="563"/>
        <v>1.2255581586925283E+17</v>
      </c>
      <c r="BR109" s="8"/>
      <c r="BS109" s="8">
        <f>0.00011</f>
        <v>1.1E-4</v>
      </c>
      <c r="BT109" s="8">
        <f>2*BS109</f>
        <v>2.2000000000000001E-4</v>
      </c>
      <c r="BU109" s="8">
        <f>BT109/(1.6*10^-3)</f>
        <v>0.13750000000000001</v>
      </c>
      <c r="BV109" s="8">
        <f>AR14</f>
        <v>0.2978723404255319</v>
      </c>
      <c r="BW109" s="8">
        <f>BV109-BU109</f>
        <v>0.16037234042553189</v>
      </c>
      <c r="BX109" s="8"/>
      <c r="BY109" s="8"/>
      <c r="BZ109" s="8"/>
      <c r="CA109" s="8"/>
      <c r="CB109" s="8"/>
      <c r="CC109" s="8"/>
      <c r="CD109" s="8"/>
      <c r="CE109" s="8"/>
      <c r="CF109" s="8"/>
      <c r="CG109" s="8"/>
      <c r="CH109" s="8"/>
      <c r="CI109" s="8"/>
      <c r="CJ109" s="8"/>
      <c r="CK109" s="8"/>
      <c r="CL109" s="8"/>
      <c r="CM109" s="8"/>
      <c r="CN109" s="8"/>
      <c r="CO109" s="8"/>
      <c r="CP109" s="8"/>
      <c r="CQ109" s="8"/>
      <c r="CR109" s="8"/>
      <c r="CS109" s="8"/>
      <c r="CT109" s="8"/>
      <c r="CU109" s="8"/>
      <c r="CV109" s="8"/>
      <c r="CW109" s="8"/>
      <c r="CX109" s="8"/>
      <c r="CY109" s="8"/>
      <c r="CZ109" s="8"/>
      <c r="DA109" s="8"/>
      <c r="DB109" s="8"/>
      <c r="DC109" s="8"/>
      <c r="DD109" s="8"/>
      <c r="DE109" s="8"/>
      <c r="DF109" s="8"/>
      <c r="DG109" s="8"/>
      <c r="DH109" s="8"/>
      <c r="DI109" s="8"/>
      <c r="DJ109" s="8"/>
      <c r="DK109" s="8"/>
      <c r="DL109" s="8"/>
      <c r="DM109" s="8"/>
      <c r="DN109" s="8"/>
      <c r="DO109" s="8"/>
      <c r="DP109" s="8"/>
      <c r="DQ109" s="8"/>
      <c r="DR109" s="8"/>
      <c r="DS109" s="8"/>
      <c r="DT109" s="8"/>
      <c r="DU109" s="8"/>
      <c r="DV109" s="8"/>
      <c r="DW109" s="8"/>
      <c r="DX109" s="8"/>
      <c r="DY109" s="8"/>
      <c r="DZ109" s="8"/>
      <c r="EA109" s="8"/>
      <c r="EB109" s="8"/>
      <c r="EC109" s="8"/>
      <c r="ED109" s="8"/>
      <c r="EE109" s="8"/>
      <c r="EF109" s="8"/>
      <c r="EG109" s="8"/>
      <c r="EH109" s="8"/>
      <c r="EI109" s="8"/>
      <c r="EJ109" s="8"/>
      <c r="EK109" s="8"/>
      <c r="EL109" s="8"/>
      <c r="EM109" s="8"/>
      <c r="EN109" s="8"/>
      <c r="EO109" s="8"/>
      <c r="EP109" s="8"/>
      <c r="EQ109" s="8"/>
      <c r="ER109" s="8"/>
      <c r="ES109" s="8"/>
      <c r="ET109" s="8"/>
      <c r="EU109" s="8"/>
      <c r="EV109" s="8"/>
      <c r="EW109" s="8"/>
      <c r="EX109" s="8"/>
      <c r="EY109" s="8"/>
      <c r="EZ109" s="8"/>
      <c r="FA109" s="8"/>
      <c r="FB109" s="8"/>
      <c r="FC109" s="8"/>
      <c r="FD109" s="8"/>
      <c r="FE109" s="8"/>
      <c r="FF109" s="8"/>
      <c r="FG109" s="8"/>
      <c r="FH109" s="8"/>
      <c r="FI109" s="8"/>
      <c r="FJ109" s="8"/>
      <c r="FK109" s="8"/>
      <c r="FL109" s="8"/>
      <c r="FM109" s="8"/>
    </row>
    <row r="110" spans="1:169" x14ac:dyDescent="0.25">
      <c r="G110" s="8">
        <f t="shared" ref="G110:G111" si="564">ABS(SQRT(2)*($A$99*2*$D$98/($F$2*$G3^2))*(1-(B$103*2/($F$2))^$E$98))</f>
        <v>0.48973882072012698</v>
      </c>
      <c r="H110" s="8">
        <f t="shared" ref="H110:H111" si="565">ABS(SQRT(2)*($A$99*2*$D$98/($F$2*$G3^2))*(1-(C$103*2/($F$2))^$E$98))</f>
        <v>0.48971216305911081</v>
      </c>
      <c r="I110" s="8">
        <f t="shared" ref="I110:I111" si="566">ABS(SQRT(2)*($A$99*2*$D$98/($F$2*$G3^2))*(1-(D$103*2/($F$2))^$E$98))</f>
        <v>0.48954165420491075</v>
      </c>
      <c r="J110" s="8">
        <f t="shared" ref="J110:J111" si="567">ABS(SQRT(2)*($A$99*2*$D$98/($F$2*$G3^2))*(1-(E$103*2/($F$2))^$E$98))</f>
        <v>0.48910323800444533</v>
      </c>
      <c r="K110" s="8">
        <f t="shared" ref="K110:K111" si="568">ABS(SQRT(2)*($A$99*2*$D$98/($F$2*$G3^2))*(1-(F$103*2/($F$2))^$E$98))</f>
        <v>0.48828052943572198</v>
      </c>
      <c r="L110" s="8">
        <f t="shared" ref="L110:L111" si="569">ABS(SQRT(2)*($A$99*2*$D$98/($F$2*$G3^2))*(1-(G$103*2/($F$2))^$E$98))</f>
        <v>0.48696164490635235</v>
      </c>
      <c r="M110" s="8">
        <f t="shared" ref="M110:M111" si="570">ABS(SQRT(2)*($A$99*2*$D$98/($F$2*$G3^2))*(1-(H$103*2/($F$2))^$E$98))</f>
        <v>0.48503789706795186</v>
      </c>
      <c r="N110" s="8">
        <f t="shared" ref="N110:N111" si="571">ABS(SQRT(2)*($A$99*2*$D$98/($F$2*$G3^2))*(1-(I$103*2/($F$2))^$E$98))</f>
        <v>0.48240306797351218</v>
      </c>
      <c r="O110" s="8">
        <f t="shared" ref="O110:O111" si="572">ABS(SQRT(2)*($A$99*2*$D$98/($F$2*$G3^2))*(1-(J$103*2/($F$2))^$E$98))</f>
        <v>0.47895294529985566</v>
      </c>
      <c r="P110" s="8">
        <f t="shared" ref="P110:P111" si="573">ABS(SQRT(2)*($A$99*2*$D$98/($F$2*$G3^2))*(1-(K$103*2/($F$2))^$E$98))</f>
        <v>0.4745850010272416</v>
      </c>
      <c r="Q110" s="8">
        <f t="shared" ref="Q110:Q111" si="574">ABS(SQRT(2)*($A$99*2*$D$98/($F$2*$G3^2))*(1-(L$103*2/($F$2))^$E$98))</f>
        <v>0.46919815599292464</v>
      </c>
      <c r="R110" s="8">
        <f t="shared" ref="R110:R111" si="575">ABS(SQRT(2)*($A$99*2*$D$98/($F$2*$G3^2))*(1-(M$103*2/($F$2))^$E$98))</f>
        <v>0.46269260017983371</v>
      </c>
      <c r="S110" s="8">
        <f t="shared" ref="S110:S111" si="576">ABS(SQRT(2)*($A$99*2*$D$98/($F$2*$G3^2))*(1-(N$103*2/($F$2))^$E$98))</f>
        <v>0.45496965120317695</v>
      </c>
      <c r="T110" s="8">
        <f t="shared" ref="T110:T111" si="577">ABS(SQRT(2)*($A$99*2*$D$98/($F$2*$G3^2))*(1-(O$103*2/($F$2))^$E$98))</f>
        <v>0.44593164009736086</v>
      </c>
      <c r="U110" s="8">
        <f t="shared" ref="U110:U111" si="578">ABS(SQRT(2)*($A$99*2*$D$98/($F$2*$G3^2))*(1-(P$103*2/($F$2))^$E$98))</f>
        <v>0.43548181727709773</v>
      </c>
      <c r="V110" s="8">
        <f t="shared" ref="V110:V111" si="579">ABS(SQRT(2)*($A$99*2*$D$98/($F$2*$G3^2))*(1-(Q$103*2/($F$2))^$E$98))</f>
        <v>0.42352427381847468</v>
      </c>
      <c r="W110" s="8">
        <f t="shared" ref="W110:W111" si="580">ABS(SQRT(2)*($A$99*2*$D$98/($F$2*$G3^2))*(1-(R$103*2/($F$2))^$E$98))</f>
        <v>0.40996387464062606</v>
      </c>
      <c r="X110" s="8">
        <f t="shared" ref="X110:X111" si="581">ABS(SQRT(2)*($A$99*2*$D$98/($F$2*$G3^2))*(1-(S$103*2/($F$2))^$E$98))</f>
        <v>0.39470620111089427</v>
      </c>
      <c r="Y110" s="8">
        <f t="shared" ref="Y110:Y111" si="582">ABS(SQRT(2)*($A$99*2*$D$98/($F$2*$G3^2))*(1-(T$103*2/($F$2))^$E$98))</f>
        <v>0.37765750123572334</v>
      </c>
      <c r="Z110" s="8">
        <f t="shared" ref="Z110:Z111" si="583">ABS(SQRT(2)*($A$99*2*$D$98/($F$2*$G3^2))*(1-(U$103*2/($F$2))^$E$98))</f>
        <v>0.35872464604563215</v>
      </c>
      <c r="AA110" s="8">
        <f t="shared" ref="AA110:AA111" si="584">ABS(SQRT(2)*($A$99*2*$D$98/($F$2*$G3^2))*(1-(V$103*2/($F$2))^$E$98))</f>
        <v>0.33781509110148372</v>
      </c>
      <c r="AB110" s="8">
        <f>ABS(SQRT(2)*($A$99*2*$D$98/($F$2*$G3^2))*(1-(W$103*2/($F$2))^$E$98))</f>
        <v>0.31483684228201814</v>
      </c>
      <c r="AC110" s="8">
        <f t="shared" ref="AC110:AC111" si="585">ABS(SQRT(2)*($A$99*2*$D$98/($F$2*$G3^2))*(1-(X$103*2/($F$2))^$E$98))</f>
        <v>0.28969842518569539</v>
      </c>
      <c r="AD110" s="8">
        <f t="shared" ref="AD110:AD111" si="586">ABS(SQRT(2)*($A$99*2*$D$98/($F$2*$G3^2))*(1-(Y$103*2/($F$2))^$E$98))</f>
        <v>0.26230885761072303</v>
      </c>
      <c r="AE110" s="8">
        <f t="shared" ref="AE110:AE111" si="587">ABS(SQRT(2)*($A$99*2*$D$98/($F$2*$G3^2))*(1-(Z$103*2/($F$2))^$E$98))</f>
        <v>0.23257762467750312</v>
      </c>
      <c r="AF110" s="8">
        <f t="shared" ref="AF110:AF111" si="588">ABS(SQRT(2)*($A$99*2*$D$98/($F$2*$G3^2))*(1-(AA$103*2/($F$2))^$E$98))</f>
        <v>0.20041465623574006</v>
      </c>
      <c r="AG110" s="8">
        <f t="shared" ref="AG110:AG111" si="589">ABS(SQRT(2)*($A$99*2*$D$98/($F$2*$G3^2))*(1-(AB$103*2/($F$2))^$E$98))</f>
        <v>0.16573030625981383</v>
      </c>
      <c r="AH110" s="8">
        <f t="shared" ref="AH110:AH111" si="590">ABS(SQRT(2)*($A$99*2*$D$98/($F$2*$G3^2))*(1-(AC$103*2/($F$2))^$E$98))</f>
        <v>0.12843533398482115</v>
      </c>
      <c r="AI110" s="8">
        <f t="shared" ref="AI110:AI111" si="591">ABS(SQRT(2)*($A$99*2*$D$98/($F$2*$G3^2))*(1-(AD$103*2/($F$2))^$E$98))</f>
        <v>8.8440886574873506E-2</v>
      </c>
      <c r="AJ110" s="8">
        <f t="shared" ref="AJ110:AJ111" si="592">ABS(SQRT(2)*($A$99*2*$D$98/($F$2*$G3^2))*(1-(AE$103*2/($F$2))^$E$98))</f>
        <v>4.5658483147005123E-2</v>
      </c>
      <c r="AK110" s="8">
        <f t="shared" ref="AK110:AK111" si="593">ABS(SQRT(2)*($A$99*2*$D$98/($F$2*$G3^2))*(1-(AF$103*2/($F$2))^$E$98))</f>
        <v>6.5246317777950799E-16</v>
      </c>
      <c r="AL110" s="8"/>
      <c r="AM110" s="8">
        <f t="shared" ref="AM110:AM111" si="594">G115/G110</f>
        <v>5.5114304020408067E-2</v>
      </c>
      <c r="AN110" s="8">
        <f t="shared" ref="AN110:AN111" si="595">H115/H110</f>
        <v>0.54491616222280936</v>
      </c>
      <c r="AO110" s="8">
        <f t="shared" ref="AO110:AO111" si="596">I115/I110</f>
        <v>2.1646327802127585</v>
      </c>
      <c r="AP110" s="8">
        <f t="shared" ref="AP110:AP111" si="597">J115/J110</f>
        <v>4.7194977962293843</v>
      </c>
      <c r="AQ110" s="8">
        <f t="shared" ref="AQ110:AQ111" si="598">K115/K110</f>
        <v>8.1748986598083899</v>
      </c>
      <c r="AR110" s="8">
        <f t="shared" ref="AR110:AR111" si="599">L115/L110</f>
        <v>12.517398308970474</v>
      </c>
      <c r="AS110" s="8">
        <f t="shared" ref="AS110:AS111" si="600">M115/M110</f>
        <v>17.74970495270043</v>
      </c>
      <c r="AT110" s="8">
        <f t="shared" ref="AT110:AT111" si="601">N115/N110</f>
        <v>23.8899333876819</v>
      </c>
      <c r="AU110" s="8">
        <f t="shared" ref="AU110:AU111" si="602">O115/O110</f>
        <v>30.972580829279583</v>
      </c>
      <c r="AV110" s="8">
        <f t="shared" ref="AV110:AV111" si="603">P115/P110</f>
        <v>39.050613866265508</v>
      </c>
      <c r="AW110" s="8">
        <f t="shared" ref="AW110:AW111" si="604">Q115/Q110</f>
        <v>48.198606298894767</v>
      </c>
      <c r="AX110" s="8">
        <f t="shared" ref="AX110:AX111" si="605">R115/R110</f>
        <v>58.517118830785471</v>
      </c>
      <c r="AY110" s="8">
        <f t="shared" ref="AY110:AY111" si="606">S115/S110</f>
        <v>70.138710621524993</v>
      </c>
      <c r="AZ110" s="8">
        <f t="shared" ref="AZ110:AZ111" si="607">T115/T110</f>
        <v>83.236207914209061</v>
      </c>
      <c r="BA110" s="8">
        <f t="shared" ref="BA110:BA111" si="608">U115/U110</f>
        <v>98.034192127146866</v>
      </c>
      <c r="BB110" s="8">
        <f t="shared" ref="BB110:BB111" si="609">V115/V110</f>
        <v>114.82519493102544</v>
      </c>
      <c r="BC110" s="8">
        <f t="shared" ref="BC110:BC111" si="610">W115/W110</f>
        <v>133.99294346816265</v>
      </c>
      <c r="BD110" s="8">
        <f t="shared" ref="BD110:BD111" si="611">X115/X110</f>
        <v>156.04644333229538</v>
      </c>
      <c r="BE110" s="8">
        <f t="shared" ref="BE110:BE111" si="612">Y115/Y110</f>
        <v>181.67121301368198</v>
      </c>
      <c r="BF110" s="8">
        <f t="shared" ref="BF110:BF111" si="613">Z115/Z110</f>
        <v>211.80857563058848</v>
      </c>
      <c r="BG110" s="8">
        <f t="shared" ref="BG110:BG111" si="614">AA115/AA110</f>
        <v>247.78263852564314</v>
      </c>
      <c r="BH110" s="8">
        <f t="shared" ref="BH110:BH111" si="615">AB115/AB110</f>
        <v>291.51204081762882</v>
      </c>
      <c r="BI110" s="8">
        <f t="shared" ref="BI110:BI111" si="616">AC115/AC110</f>
        <v>345.88062933546047</v>
      </c>
      <c r="BJ110" s="8">
        <f t="shared" ref="BJ110:BJ111" si="617">AD115/AD110</f>
        <v>415.42597858867896</v>
      </c>
      <c r="BK110" s="8">
        <f t="shared" ref="BK110:BK111" si="618">AE115/AE110</f>
        <v>507.7165586788019</v>
      </c>
      <c r="BL110" s="8">
        <f t="shared" ref="BL110:BL111" si="619">AF115/AF110</f>
        <v>636.38164232094925</v>
      </c>
      <c r="BM110" s="8">
        <f t="shared" ref="BM110:BM111" si="620">AG115/AG110</f>
        <v>828.68622589037841</v>
      </c>
      <c r="BN110" s="8">
        <f t="shared" ref="BN110:BN111" si="621">AH115/AH110</f>
        <v>1148.2559744808025</v>
      </c>
      <c r="BO110" s="8">
        <f t="shared" ref="BO110:BO111" si="622">AI115/AI110</f>
        <v>1785.9772438853267</v>
      </c>
      <c r="BP110" s="8">
        <f t="shared" ref="BP110:BP111" si="623">AJ115/AJ110</f>
        <v>3696.2976615386915</v>
      </c>
      <c r="BQ110" s="8">
        <f t="shared" ref="BQ110:BQ111" si="624">AK115/AK110</f>
        <v>2.7575058570581891E+17</v>
      </c>
      <c r="BR110" s="8"/>
      <c r="BS110" s="8">
        <v>1E-4</v>
      </c>
      <c r="BT110" s="8">
        <f t="shared" ref="BT110:BT111" si="625">2*BS110</f>
        <v>2.0000000000000001E-4</v>
      </c>
      <c r="BU110" s="8">
        <f t="shared" ref="BU110:BU111" si="626">BT110/(1.6*10^-3)</f>
        <v>0.125</v>
      </c>
      <c r="BV110" s="8">
        <f t="shared" ref="BV110:BV111" si="627">AR15</f>
        <v>0.11363636363636363</v>
      </c>
      <c r="BW110" s="8">
        <f t="shared" ref="BW110:BW111" si="628">BV110-BU110</f>
        <v>-1.1363636363636367E-2</v>
      </c>
      <c r="BX110" s="8"/>
      <c r="BY110" s="8"/>
      <c r="BZ110" s="8"/>
      <c r="CA110" s="8"/>
      <c r="CB110" s="8"/>
      <c r="CC110" s="8"/>
      <c r="CD110" s="8"/>
      <c r="CE110" s="8"/>
      <c r="CF110" s="8"/>
      <c r="CG110" s="8"/>
      <c r="CH110" s="8"/>
      <c r="CI110" s="8"/>
      <c r="CJ110" s="8"/>
      <c r="CK110" s="8"/>
      <c r="CL110" s="8"/>
      <c r="CM110" s="8"/>
      <c r="CN110" s="8"/>
      <c r="CO110" s="8"/>
      <c r="CP110" s="8"/>
      <c r="CQ110" s="8"/>
      <c r="CR110" s="8"/>
      <c r="CS110" s="8"/>
      <c r="CT110" s="8"/>
      <c r="CU110" s="8"/>
      <c r="CV110" s="8"/>
      <c r="CW110" s="8"/>
      <c r="CX110" s="8"/>
      <c r="CY110" s="8"/>
      <c r="CZ110" s="8"/>
      <c r="DA110" s="8"/>
      <c r="DB110" s="8"/>
      <c r="DC110" s="8"/>
      <c r="DD110" s="8"/>
      <c r="DE110" s="8"/>
      <c r="DF110" s="8"/>
      <c r="DG110" s="8"/>
      <c r="DH110" s="8"/>
      <c r="DI110" s="8"/>
      <c r="DJ110" s="8"/>
      <c r="DK110" s="8"/>
      <c r="DL110" s="8"/>
      <c r="DM110" s="8"/>
      <c r="DN110" s="8"/>
      <c r="DO110" s="8"/>
      <c r="DP110" s="8"/>
      <c r="DQ110" s="8"/>
      <c r="DR110" s="8"/>
      <c r="DS110" s="8"/>
      <c r="DT110" s="8"/>
      <c r="DU110" s="8"/>
      <c r="DV110" s="8"/>
      <c r="DW110" s="8"/>
      <c r="DX110" s="8"/>
      <c r="DY110" s="8"/>
      <c r="DZ110" s="8"/>
      <c r="EA110" s="8"/>
      <c r="EB110" s="8"/>
      <c r="EC110" s="8"/>
      <c r="ED110" s="8"/>
      <c r="EE110" s="8"/>
      <c r="EF110" s="8"/>
      <c r="EG110" s="8"/>
      <c r="EH110" s="8"/>
      <c r="EI110" s="8"/>
      <c r="EJ110" s="8"/>
      <c r="EK110" s="8"/>
      <c r="EL110" s="8"/>
      <c r="EM110" s="8"/>
      <c r="EN110" s="8"/>
      <c r="EO110" s="8"/>
      <c r="EP110" s="8"/>
      <c r="EQ110" s="8"/>
      <c r="ER110" s="8"/>
      <c r="ES110" s="8"/>
      <c r="ET110" s="8"/>
      <c r="EU110" s="8"/>
      <c r="EV110" s="8"/>
      <c r="EW110" s="8"/>
      <c r="EX110" s="8"/>
      <c r="EY110" s="8"/>
      <c r="EZ110" s="8"/>
      <c r="FA110" s="8"/>
      <c r="FB110" s="8"/>
      <c r="FC110" s="8"/>
      <c r="FD110" s="8"/>
      <c r="FE110" s="8"/>
      <c r="FF110" s="8"/>
      <c r="FG110" s="8"/>
      <c r="FH110" s="8"/>
      <c r="FI110" s="8"/>
      <c r="FJ110" s="8"/>
      <c r="FK110" s="8"/>
      <c r="FL110" s="8"/>
      <c r="FM110" s="8"/>
    </row>
    <row r="111" spans="1:169" x14ac:dyDescent="0.25">
      <c r="G111" s="8">
        <f t="shared" si="564"/>
        <v>0.20239206366495041</v>
      </c>
      <c r="H111" s="8">
        <f t="shared" si="565"/>
        <v>0.20238104697851006</v>
      </c>
      <c r="I111" s="8">
        <f t="shared" si="566"/>
        <v>0.20231058158468246</v>
      </c>
      <c r="J111" s="8">
        <f t="shared" si="567"/>
        <v>0.20212939937938809</v>
      </c>
      <c r="K111" s="8">
        <f t="shared" si="568"/>
        <v>0.20178940247088509</v>
      </c>
      <c r="L111" s="8">
        <f t="shared" si="569"/>
        <v>0.20124435325211498</v>
      </c>
      <c r="M111" s="8">
        <f t="shared" si="570"/>
        <v>0.20044933501277601</v>
      </c>
      <c r="N111" s="8">
        <f t="shared" si="571"/>
        <v>0.19936045156048204</v>
      </c>
      <c r="O111" s="8">
        <f t="shared" si="572"/>
        <v>0.19793463555759339</v>
      </c>
      <c r="P111" s="8">
        <f t="shared" si="573"/>
        <v>0.19612951573064574</v>
      </c>
      <c r="Q111" s="8">
        <f t="shared" si="574"/>
        <v>0.19390331956850454</v>
      </c>
      <c r="R111" s="8">
        <f t="shared" si="575"/>
        <v>0.19121479905391087</v>
      </c>
      <c r="S111" s="8">
        <f t="shared" si="576"/>
        <v>0.18802317218090472</v>
      </c>
      <c r="T111" s="8">
        <f t="shared" si="577"/>
        <v>0.18428807575452155</v>
      </c>
      <c r="U111" s="8">
        <f t="shared" si="578"/>
        <v>0.17996952652778014</v>
      </c>
      <c r="V111" s="8">
        <f t="shared" si="579"/>
        <v>0.17502788866987981</v>
      </c>
      <c r="W111" s="8">
        <f t="shared" si="580"/>
        <v>0.16942384615250361</v>
      </c>
      <c r="X111" s="8">
        <f t="shared" si="581"/>
        <v>0.16311837903052262</v>
      </c>
      <c r="Y111" s="8">
        <f t="shared" si="582"/>
        <v>0.15607274285762035</v>
      </c>
      <c r="Z111" s="8">
        <f t="shared" si="583"/>
        <v>0.14824845066171533</v>
      </c>
      <c r="AA111" s="8">
        <f t="shared" si="584"/>
        <v>0.13960725703683766</v>
      </c>
      <c r="AB111" s="8">
        <f t="shared" ref="AB111" si="629">ABS(SQRT(2)*($A$99*2*$D$98/($F$2*$G4^2))*(1-(W$103*2/($F$2))^$E$98))</f>
        <v>0.1301111440043034</v>
      </c>
      <c r="AC111" s="8">
        <f t="shared" si="585"/>
        <v>0.11972230836755778</v>
      </c>
      <c r="AD111" s="8">
        <f t="shared" si="586"/>
        <v>0.10840315033912531</v>
      </c>
      <c r="AE111" s="8">
        <f t="shared" si="587"/>
        <v>9.6116263259580365E-2</v>
      </c>
      <c r="AF111" s="8">
        <f t="shared" si="588"/>
        <v>8.2824424260688492E-2</v>
      </c>
      <c r="AG111" s="8">
        <f t="shared" si="589"/>
        <v>6.8490585750229177E-2</v>
      </c>
      <c r="AH111" s="8">
        <f t="shared" si="590"/>
        <v>5.307786761617609E-2</v>
      </c>
      <c r="AI111" s="8">
        <f t="shared" si="591"/>
        <v>3.654955006410588E-2</v>
      </c>
      <c r="AJ111" s="8">
        <f t="shared" si="592"/>
        <v>1.8869067014833749E-2</v>
      </c>
      <c r="AK111" s="8">
        <f t="shared" si="593"/>
        <v>2.6964039489867418E-16</v>
      </c>
      <c r="AL111" s="8"/>
      <c r="AM111" s="8">
        <f t="shared" si="594"/>
        <v>8.573336180952365E-2</v>
      </c>
      <c r="AN111" s="8">
        <f t="shared" si="595"/>
        <v>0.84764736345770342</v>
      </c>
      <c r="AO111" s="8">
        <f t="shared" si="596"/>
        <v>3.367206546997624</v>
      </c>
      <c r="AP111" s="8">
        <f t="shared" si="597"/>
        <v>7.3414410163568187</v>
      </c>
      <c r="AQ111" s="8">
        <f t="shared" si="598"/>
        <v>12.716509026368605</v>
      </c>
      <c r="AR111" s="8">
        <f t="shared" si="599"/>
        <v>19.471508480620734</v>
      </c>
      <c r="AS111" s="8">
        <f t="shared" si="600"/>
        <v>27.610652148645112</v>
      </c>
      <c r="AT111" s="8">
        <f t="shared" si="601"/>
        <v>37.162118603060733</v>
      </c>
      <c r="AU111" s="8">
        <f t="shared" si="602"/>
        <v>48.179570178879345</v>
      </c>
      <c r="AV111" s="8">
        <f t="shared" si="603"/>
        <v>60.745399347524113</v>
      </c>
      <c r="AW111" s="8">
        <f t="shared" si="604"/>
        <v>74.975609798280743</v>
      </c>
      <c r="AX111" s="8">
        <f t="shared" si="605"/>
        <v>91.026629292332942</v>
      </c>
      <c r="AY111" s="8">
        <f t="shared" si="606"/>
        <v>109.10466096681665</v>
      </c>
      <c r="AZ111" s="8">
        <f t="shared" si="607"/>
        <v>129.47854564432521</v>
      </c>
      <c r="BA111" s="8">
        <f t="shared" si="608"/>
        <v>152.49763219778399</v>
      </c>
      <c r="BB111" s="8">
        <f t="shared" si="609"/>
        <v>178.61696989270624</v>
      </c>
      <c r="BC111" s="8">
        <f t="shared" si="610"/>
        <v>208.43346761714187</v>
      </c>
      <c r="BD111" s="8">
        <f t="shared" si="611"/>
        <v>242.73891185023723</v>
      </c>
      <c r="BE111" s="8">
        <f t="shared" si="612"/>
        <v>282.59966468794971</v>
      </c>
      <c r="BF111" s="8">
        <f t="shared" si="613"/>
        <v>329.48000653647085</v>
      </c>
      <c r="BG111" s="8">
        <f t="shared" si="614"/>
        <v>385.43965992877816</v>
      </c>
      <c r="BH111" s="8">
        <f t="shared" si="615"/>
        <v>453.46317460520032</v>
      </c>
      <c r="BI111" s="8">
        <f t="shared" si="616"/>
        <v>538.03653452182721</v>
      </c>
      <c r="BJ111" s="8">
        <f t="shared" si="617"/>
        <v>646.21818891572264</v>
      </c>
      <c r="BK111" s="8">
        <f t="shared" si="618"/>
        <v>789.78131350035846</v>
      </c>
      <c r="BL111" s="8">
        <f t="shared" si="619"/>
        <v>989.92699916592085</v>
      </c>
      <c r="BM111" s="8">
        <f t="shared" si="620"/>
        <v>1289.0674624961441</v>
      </c>
      <c r="BN111" s="8">
        <f t="shared" si="621"/>
        <v>1786.17596030347</v>
      </c>
      <c r="BO111" s="8">
        <f t="shared" si="622"/>
        <v>2778.1868238216198</v>
      </c>
      <c r="BP111" s="8">
        <f t="shared" si="623"/>
        <v>5749.7963623935193</v>
      </c>
      <c r="BQ111" s="8">
        <f t="shared" si="624"/>
        <v>4.2894535554238496E+17</v>
      </c>
      <c r="BR111" s="8"/>
      <c r="BS111" s="8">
        <v>9.5000000000000005E-5</v>
      </c>
      <c r="BT111" s="8">
        <f t="shared" si="625"/>
        <v>1.9000000000000001E-4</v>
      </c>
      <c r="BU111" s="8">
        <f t="shared" si="626"/>
        <v>0.11874999999999999</v>
      </c>
      <c r="BV111" s="8">
        <f t="shared" si="627"/>
        <v>0</v>
      </c>
      <c r="BW111" s="8">
        <f t="shared" si="628"/>
        <v>-0.11874999999999999</v>
      </c>
      <c r="BX111" s="8"/>
      <c r="BY111" s="8"/>
      <c r="BZ111" s="8"/>
      <c r="CA111" s="8"/>
      <c r="CB111" s="8"/>
      <c r="CC111" s="8"/>
      <c r="CD111" s="8"/>
      <c r="CE111" s="8"/>
      <c r="CF111" s="8"/>
      <c r="CG111" s="8"/>
      <c r="CH111" s="8"/>
      <c r="CI111" s="8"/>
      <c r="CJ111" s="8"/>
      <c r="CK111" s="8"/>
      <c r="CL111" s="8"/>
      <c r="CM111" s="8"/>
      <c r="CN111" s="8"/>
      <c r="CO111" s="8"/>
      <c r="CP111" s="8"/>
      <c r="CQ111" s="8"/>
      <c r="CR111" s="8"/>
      <c r="CS111" s="8"/>
      <c r="CT111" s="8"/>
      <c r="CU111" s="8"/>
      <c r="CV111" s="8"/>
      <c r="CW111" s="8"/>
      <c r="CX111" s="8"/>
      <c r="CY111" s="8"/>
      <c r="CZ111" s="8"/>
      <c r="DA111" s="8"/>
      <c r="DB111" s="8"/>
      <c r="DC111" s="8"/>
      <c r="DD111" s="8"/>
      <c r="DE111" s="8"/>
      <c r="DF111" s="8"/>
      <c r="DG111" s="8"/>
      <c r="DH111" s="8"/>
      <c r="DI111" s="8"/>
      <c r="DJ111" s="8"/>
      <c r="DK111" s="8"/>
      <c r="DL111" s="8"/>
      <c r="DM111" s="8"/>
      <c r="DN111" s="8"/>
      <c r="DO111" s="8"/>
      <c r="DP111" s="8"/>
      <c r="DQ111" s="8"/>
      <c r="DR111" s="8"/>
      <c r="DS111" s="8"/>
      <c r="DT111" s="8"/>
      <c r="DU111" s="8"/>
      <c r="DV111" s="8"/>
      <c r="DW111" s="8"/>
      <c r="DX111" s="8"/>
      <c r="DY111" s="8"/>
      <c r="DZ111" s="8"/>
      <c r="EA111" s="8"/>
      <c r="EB111" s="8"/>
      <c r="EC111" s="8"/>
      <c r="ED111" s="8"/>
      <c r="EE111" s="8"/>
      <c r="EF111" s="8"/>
      <c r="EG111" s="8"/>
      <c r="EH111" s="8"/>
      <c r="EI111" s="8"/>
      <c r="EJ111" s="8"/>
      <c r="EK111" s="8"/>
      <c r="EL111" s="8"/>
      <c r="EM111" s="8"/>
      <c r="EN111" s="8"/>
      <c r="EO111" s="8"/>
      <c r="EP111" s="8"/>
      <c r="EQ111" s="8"/>
      <c r="ER111" s="8"/>
      <c r="ES111" s="8"/>
      <c r="ET111" s="8"/>
      <c r="EU111" s="8"/>
      <c r="EV111" s="8"/>
      <c r="EW111" s="8"/>
      <c r="EX111" s="8"/>
      <c r="EY111" s="8"/>
      <c r="EZ111" s="8"/>
      <c r="FA111" s="8"/>
      <c r="FB111" s="8"/>
      <c r="FC111" s="8"/>
      <c r="FD111" s="8"/>
      <c r="FE111" s="8"/>
      <c r="FF111" s="8"/>
      <c r="FG111" s="8"/>
      <c r="FH111" s="8"/>
      <c r="FI111" s="8"/>
      <c r="FJ111" s="8"/>
      <c r="FK111" s="8"/>
      <c r="FL111" s="8"/>
      <c r="FM111" s="8"/>
    </row>
    <row r="112" spans="1:169" x14ac:dyDescent="0.25">
      <c r="G112" s="8"/>
      <c r="H112" s="8"/>
      <c r="I112" s="8"/>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8"/>
      <c r="AQ112" s="8"/>
      <c r="AR112" s="8"/>
      <c r="AS112" s="8"/>
      <c r="AT112" s="8"/>
      <c r="AU112" s="8"/>
      <c r="AV112" s="8"/>
      <c r="AW112" s="8"/>
      <c r="AX112" s="8"/>
      <c r="AY112" s="8"/>
      <c r="AZ112" s="8"/>
      <c r="BA112" s="8"/>
      <c r="BB112" s="8"/>
      <c r="BC112" s="8"/>
      <c r="BD112" s="8"/>
      <c r="BE112" s="8"/>
      <c r="BF112" s="8"/>
      <c r="BG112" s="8"/>
      <c r="BH112" s="8"/>
      <c r="BI112" s="8"/>
      <c r="BJ112" s="8"/>
      <c r="BK112" s="8"/>
      <c r="BL112" s="8"/>
      <c r="BM112" s="8"/>
      <c r="BN112" s="8"/>
      <c r="BO112" s="8"/>
      <c r="BP112" s="8"/>
      <c r="BQ112" s="8"/>
      <c r="BR112" s="8"/>
      <c r="BS112" s="8"/>
      <c r="BT112" s="8"/>
      <c r="BU112" s="8"/>
      <c r="BV112" s="8"/>
      <c r="BW112" s="8"/>
      <c r="BX112" s="8"/>
      <c r="BY112" s="8"/>
      <c r="BZ112" s="8"/>
      <c r="CA112" s="8"/>
      <c r="CB112" s="8"/>
      <c r="CC112" s="8"/>
      <c r="CD112" s="8"/>
      <c r="CE112" s="8"/>
      <c r="CF112" s="8"/>
      <c r="CG112" s="8"/>
      <c r="CH112" s="8"/>
      <c r="CI112" s="8"/>
      <c r="CJ112" s="8"/>
      <c r="CK112" s="8"/>
      <c r="CL112" s="8"/>
      <c r="CM112" s="8"/>
      <c r="CN112" s="8"/>
      <c r="CO112" s="8"/>
      <c r="CP112" s="8"/>
      <c r="CQ112" s="8"/>
      <c r="CR112" s="8"/>
      <c r="CS112" s="8"/>
      <c r="CT112" s="8"/>
      <c r="CU112" s="8"/>
      <c r="CV112" s="8"/>
      <c r="CW112" s="8"/>
      <c r="CX112" s="8"/>
      <c r="CY112" s="8"/>
      <c r="CZ112" s="8"/>
      <c r="DA112" s="8"/>
      <c r="DB112" s="8"/>
      <c r="DC112" s="8"/>
      <c r="DD112" s="8"/>
      <c r="DE112" s="8"/>
      <c r="DF112" s="8"/>
      <c r="DG112" s="8"/>
      <c r="DH112" s="8"/>
      <c r="DI112" s="8"/>
      <c r="DJ112" s="8"/>
      <c r="DK112" s="8"/>
      <c r="DL112" s="8"/>
      <c r="DM112" s="8"/>
      <c r="DN112" s="8"/>
      <c r="DO112" s="8"/>
      <c r="DP112" s="8"/>
      <c r="DQ112" s="8"/>
      <c r="DR112" s="8"/>
      <c r="DS112" s="8"/>
      <c r="DT112" s="8"/>
      <c r="DU112" s="8"/>
      <c r="DV112" s="8"/>
      <c r="DW112" s="8"/>
      <c r="DX112" s="8"/>
      <c r="DY112" s="8"/>
      <c r="DZ112" s="8"/>
      <c r="EA112" s="8"/>
      <c r="EB112" s="8"/>
      <c r="EC112" s="8"/>
      <c r="ED112" s="8"/>
      <c r="EE112" s="8"/>
      <c r="EF112" s="8"/>
      <c r="EG112" s="8"/>
      <c r="EH112" s="8"/>
      <c r="EI112" s="8"/>
      <c r="EJ112" s="8"/>
      <c r="EK112" s="8"/>
      <c r="EL112" s="8"/>
      <c r="EM112" s="8"/>
      <c r="EN112" s="8"/>
      <c r="EO112" s="8"/>
      <c r="EP112" s="8"/>
      <c r="EQ112" s="8"/>
      <c r="ER112" s="8"/>
      <c r="ES112" s="8"/>
      <c r="ET112" s="8"/>
      <c r="EU112" s="8"/>
      <c r="EV112" s="8"/>
      <c r="EW112" s="8"/>
      <c r="EX112" s="8"/>
      <c r="EY112" s="8"/>
      <c r="EZ112" s="8"/>
      <c r="FA112" s="8"/>
      <c r="FB112" s="8"/>
      <c r="FC112" s="8"/>
      <c r="FD112" s="8"/>
      <c r="FE112" s="8"/>
      <c r="FF112" s="8"/>
      <c r="FG112" s="8"/>
      <c r="FH112" s="8"/>
      <c r="FI112" s="8"/>
      <c r="FJ112" s="8"/>
      <c r="FK112" s="8"/>
      <c r="FL112" s="8"/>
      <c r="FM112" s="8"/>
    </row>
    <row r="113" spans="7:169" x14ac:dyDescent="0.25">
      <c r="G113" s="10" t="s">
        <v>136</v>
      </c>
      <c r="H113" s="8"/>
      <c r="I113" s="8"/>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c r="BC113" s="8"/>
      <c r="BD113" s="8"/>
      <c r="BE113" s="8"/>
      <c r="BF113" s="8"/>
      <c r="BG113" s="8"/>
      <c r="BH113" s="8"/>
      <c r="BI113" s="8"/>
      <c r="BJ113" s="8"/>
      <c r="BK113" s="8"/>
      <c r="BL113" s="8"/>
      <c r="BM113" s="8"/>
      <c r="BN113" s="8"/>
      <c r="BO113" s="8"/>
      <c r="BP113" s="8"/>
      <c r="BQ113" s="8"/>
      <c r="BR113" s="8"/>
      <c r="BS113" s="8"/>
      <c r="BT113" s="8"/>
      <c r="BU113" s="8"/>
      <c r="BV113" s="8"/>
      <c r="BW113" s="8"/>
      <c r="BX113" s="8"/>
      <c r="BY113" s="8"/>
      <c r="BZ113" s="8"/>
      <c r="CA113" s="8"/>
      <c r="CB113" s="8"/>
      <c r="CC113" s="8"/>
      <c r="CD113" s="8"/>
      <c r="CE113" s="8"/>
      <c r="CF113" s="8"/>
      <c r="CG113" s="8"/>
      <c r="CH113" s="8"/>
      <c r="CI113" s="8"/>
      <c r="CJ113" s="8"/>
      <c r="CK113" s="8"/>
      <c r="CL113" s="8"/>
      <c r="CM113" s="8"/>
      <c r="CN113" s="8"/>
      <c r="CO113" s="8"/>
      <c r="CP113" s="8"/>
      <c r="CQ113" s="8"/>
      <c r="CR113" s="8"/>
      <c r="CS113" s="8"/>
      <c r="CT113" s="8"/>
      <c r="CU113" s="8"/>
      <c r="CV113" s="8"/>
      <c r="CW113" s="8"/>
      <c r="CX113" s="8"/>
      <c r="CY113" s="8"/>
      <c r="CZ113" s="8"/>
      <c r="DA113" s="8"/>
      <c r="DB113" s="8"/>
      <c r="DC113" s="8"/>
      <c r="DD113" s="8"/>
      <c r="DE113" s="8"/>
      <c r="DF113" s="8"/>
      <c r="DG113" s="8"/>
      <c r="DH113" s="8"/>
      <c r="DI113" s="8"/>
      <c r="DJ113" s="8"/>
      <c r="DK113" s="8"/>
      <c r="DL113" s="8"/>
      <c r="DM113" s="8"/>
      <c r="DN113" s="8"/>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row>
    <row r="114" spans="7:169" x14ac:dyDescent="0.25">
      <c r="G114" s="8">
        <f>ABS(($A$99*2/($G2*$F$2))*$B$98*$F$98*(1-(B$103^$F$98)/(($F$2/2)^$E$98)))</f>
        <v>6.0731132075471692E-2</v>
      </c>
      <c r="H114" s="8">
        <f t="shared" ref="H114:AK114" si="630">ABS(($A$99*2/($G2*$F$2))*$B$98*$F$98*(1-(C$103^$F$98)/(($F$2/2)^$E$98)))</f>
        <v>0.60041716309800286</v>
      </c>
      <c r="I114" s="8">
        <f t="shared" si="630"/>
        <v>2.3842753019359391</v>
      </c>
      <c r="J114" s="8">
        <f t="shared" si="630"/>
        <v>5.1937237212539289</v>
      </c>
      <c r="K114" s="8">
        <f t="shared" si="630"/>
        <v>8.981198652812882</v>
      </c>
      <c r="L114" s="8">
        <f t="shared" si="630"/>
        <v>13.714858958589572</v>
      </c>
      <c r="M114" s="8">
        <f t="shared" si="630"/>
        <v>19.370879018627459</v>
      </c>
      <c r="N114" s="8">
        <f t="shared" si="630"/>
        <v>25.930298609776322</v>
      </c>
      <c r="O114" s="8">
        <f t="shared" si="630"/>
        <v>33.377419826372922</v>
      </c>
      <c r="P114" s="8">
        <f t="shared" si="630"/>
        <v>41.698880149131064</v>
      </c>
      <c r="Q114" s="8">
        <f t="shared" si="630"/>
        <v>50.883068692958368</v>
      </c>
      <c r="R114" s="8">
        <f t="shared" si="630"/>
        <v>60.919735200408979</v>
      </c>
      <c r="S114" s="8">
        <f t="shared" si="630"/>
        <v>71.799715591460512</v>
      </c>
      <c r="T114" s="8">
        <f t="shared" si="630"/>
        <v>83.514732099003382</v>
      </c>
      <c r="U114" s="8">
        <f t="shared" si="630"/>
        <v>96.057243321349617</v>
      </c>
      <c r="V114" s="8">
        <f t="shared" si="630"/>
        <v>109.42032892326151</v>
      </c>
      <c r="W114" s="8">
        <f t="shared" si="630"/>
        <v>123.59759912709821</v>
      </c>
      <c r="X114" s="8">
        <f t="shared" si="630"/>
        <v>138.58312240025268</v>
      </c>
      <c r="Y114" s="8">
        <f t="shared" si="630"/>
        <v>154.37136679472241</v>
      </c>
      <c r="Z114" s="8">
        <f t="shared" si="630"/>
        <v>170.95715172565278</v>
      </c>
      <c r="AA114" s="8">
        <f t="shared" si="630"/>
        <v>188.33560786553883</v>
      </c>
      <c r="AB114" s="8">
        <f t="shared" si="630"/>
        <v>206.50214344097031</v>
      </c>
      <c r="AC114" s="8">
        <f t="shared" si="630"/>
        <v>225.45241564662024</v>
      </c>
      <c r="AD114" s="8">
        <f t="shared" si="630"/>
        <v>245.18230619717934</v>
      </c>
      <c r="AE114" s="8">
        <f t="shared" si="630"/>
        <v>265.6879002606417</v>
      </c>
      <c r="AF114" s="8">
        <f t="shared" si="630"/>
        <v>286.9654681810996</v>
      </c>
      <c r="AG114" s="8">
        <f t="shared" si="630"/>
        <v>309.0114495227287</v>
      </c>
      <c r="AH114" s="8">
        <f t="shared" si="630"/>
        <v>331.82243906064326</v>
      </c>
      <c r="AI114" s="8">
        <f t="shared" si="630"/>
        <v>355.39517441647655</v>
      </c>
      <c r="AJ114" s="8">
        <f t="shared" si="630"/>
        <v>379.72652509277719</v>
      </c>
      <c r="AK114" s="8">
        <f t="shared" si="630"/>
        <v>404.8134827044031</v>
      </c>
      <c r="AL114" s="8"/>
      <c r="AM114" s="8">
        <f>AM111/AM110</f>
        <v>1.5555555555555554</v>
      </c>
      <c r="AN114" s="8">
        <f t="shared" ref="AN114:AZ114" si="631">AN111/AN110</f>
        <v>1.5555555555555556</v>
      </c>
      <c r="AO114" s="8">
        <f t="shared" si="631"/>
        <v>1.5555555555555554</v>
      </c>
      <c r="AP114" s="8">
        <f t="shared" si="631"/>
        <v>1.5555555555555554</v>
      </c>
      <c r="AQ114" s="8">
        <f t="shared" si="631"/>
        <v>1.5555555555555554</v>
      </c>
      <c r="AR114" s="8">
        <f t="shared" si="631"/>
        <v>1.5555555555555554</v>
      </c>
      <c r="AS114" s="8">
        <f t="shared" si="631"/>
        <v>1.5555555555555556</v>
      </c>
      <c r="AT114" s="8">
        <f t="shared" si="631"/>
        <v>1.5555555555555556</v>
      </c>
      <c r="AU114" s="8">
        <f t="shared" si="631"/>
        <v>1.5555555555555554</v>
      </c>
      <c r="AV114" s="8">
        <f t="shared" si="631"/>
        <v>1.5555555555555554</v>
      </c>
      <c r="AW114" s="8">
        <f t="shared" si="631"/>
        <v>1.5555555555555554</v>
      </c>
      <c r="AX114" s="8">
        <f t="shared" si="631"/>
        <v>1.5555555555555554</v>
      </c>
      <c r="AY114" s="8">
        <f t="shared" si="631"/>
        <v>1.5555555555555556</v>
      </c>
      <c r="AZ114" s="8">
        <f t="shared" si="631"/>
        <v>1.5555555555555556</v>
      </c>
      <c r="BA114" s="8"/>
      <c r="BB114" s="8"/>
      <c r="BC114" s="8"/>
      <c r="BD114" s="8"/>
      <c r="BE114" s="8"/>
      <c r="BF114" s="8"/>
      <c r="BG114" s="8"/>
      <c r="BH114" s="8"/>
      <c r="BI114" s="8"/>
      <c r="BJ114" s="8"/>
      <c r="BK114" s="8"/>
      <c r="BL114" s="8"/>
      <c r="BM114" s="8"/>
      <c r="BN114" s="8"/>
      <c r="BO114" s="8"/>
      <c r="BP114" s="8"/>
      <c r="BQ114" s="8"/>
      <c r="BR114" s="8"/>
      <c r="BS114" s="8"/>
      <c r="BT114" s="8"/>
      <c r="BU114" s="8"/>
      <c r="BV114" s="8"/>
      <c r="BW114" s="8"/>
      <c r="BX114" s="8"/>
      <c r="BY114" s="8"/>
      <c r="BZ114" s="8"/>
      <c r="CA114" s="8"/>
      <c r="CB114" s="8"/>
      <c r="CC114" s="8"/>
      <c r="CD114" s="8"/>
      <c r="CE114" s="8"/>
      <c r="CF114" s="8"/>
      <c r="CG114" s="8"/>
      <c r="CH114" s="8"/>
      <c r="CI114" s="8"/>
      <c r="CJ114" s="8"/>
      <c r="CK114" s="8"/>
      <c r="CL114" s="8"/>
      <c r="CM114" s="8"/>
      <c r="CN114" s="8"/>
      <c r="CO114" s="8"/>
      <c r="CP114" s="8"/>
      <c r="CQ114" s="8"/>
      <c r="CR114" s="8"/>
      <c r="CS114" s="8"/>
      <c r="CT114" s="8"/>
      <c r="CU114" s="8"/>
      <c r="CV114" s="8"/>
      <c r="CW114" s="8"/>
      <c r="CX114" s="8"/>
      <c r="CY114" s="8"/>
      <c r="CZ114" s="8"/>
      <c r="DA114" s="8"/>
      <c r="DB114" s="8"/>
      <c r="DC114" s="8"/>
      <c r="DD114" s="8"/>
      <c r="DE114" s="8"/>
      <c r="DF114" s="8"/>
      <c r="DG114" s="8"/>
      <c r="DH114" s="8"/>
      <c r="DI114" s="8"/>
      <c r="DJ114" s="8"/>
      <c r="DK114" s="8"/>
      <c r="DL114" s="8"/>
      <c r="DM114" s="8"/>
      <c r="DN114" s="8"/>
      <c r="DO114" s="8"/>
      <c r="DP114" s="8"/>
      <c r="DQ114" s="8"/>
      <c r="DR114" s="8"/>
      <c r="DS114" s="8"/>
      <c r="DT114" s="8"/>
      <c r="DU114" s="8"/>
      <c r="DV114" s="8"/>
      <c r="DW114" s="8"/>
      <c r="DX114" s="8"/>
      <c r="DY114" s="8"/>
      <c r="DZ114" s="8"/>
      <c r="EA114" s="8"/>
      <c r="EB114" s="8"/>
      <c r="EC114" s="8"/>
      <c r="ED114" s="8"/>
      <c r="EE114" s="8"/>
      <c r="EF114" s="8"/>
      <c r="EG114" s="8"/>
      <c r="EH114" s="8"/>
      <c r="EI114" s="8"/>
      <c r="EJ114" s="8"/>
      <c r="EK114" s="8"/>
      <c r="EL114" s="8"/>
      <c r="EM114" s="8"/>
      <c r="EN114" s="8"/>
      <c r="EO114" s="8"/>
      <c r="EP114" s="8"/>
      <c r="EQ114" s="8"/>
      <c r="ER114" s="8"/>
      <c r="ES114" s="8"/>
      <c r="ET114" s="8"/>
      <c r="EU114" s="8"/>
      <c r="EV114" s="8"/>
      <c r="EW114" s="8"/>
      <c r="EX114" s="8"/>
      <c r="EY114" s="8"/>
      <c r="EZ114" s="8"/>
      <c r="FA114" s="8"/>
      <c r="FB114" s="8"/>
      <c r="FC114" s="8"/>
      <c r="FD114" s="8"/>
      <c r="FE114" s="8"/>
      <c r="FF114" s="8"/>
      <c r="FG114" s="8"/>
      <c r="FH114" s="8"/>
      <c r="FI114" s="8"/>
      <c r="FJ114" s="8"/>
      <c r="FK114" s="8"/>
      <c r="FL114" s="8"/>
      <c r="FM114" s="8"/>
    </row>
    <row r="115" spans="7:169" x14ac:dyDescent="0.25">
      <c r="G115" s="8">
        <f t="shared" ref="G115:G116" si="632">ABS(($A$99*2/($G3*$F$2))*$B$98*$F$98*(1-(B$103^$F$98)/(($F$2/2)^$E$98)))</f>
        <v>2.6991614255765201E-2</v>
      </c>
      <c r="H115" s="8">
        <f t="shared" ref="H115:H116" si="633">ABS(($A$99*2/($G3*$F$2))*$B$98*$F$98*(1-(C$103^$F$98)/(($F$2/2)^$E$98)))</f>
        <v>0.2668520724880013</v>
      </c>
      <c r="I115" s="8">
        <f t="shared" ref="I115:I116" si="634">ABS(($A$99*2/($G3*$F$2))*$B$98*$F$98*(1-(D$103^$F$98)/(($F$2/2)^$E$98)))</f>
        <v>1.0596779119715287</v>
      </c>
      <c r="J115" s="8">
        <f t="shared" ref="J115:J116" si="635">ABS(($A$99*2/($G3*$F$2))*$B$98*$F$98*(1-(E$103^$F$98)/(($F$2/2)^$E$98)))</f>
        <v>2.3083216538906357</v>
      </c>
      <c r="K115" s="8">
        <f t="shared" ref="K115:K116" si="636">ABS(($A$99*2/($G3*$F$2))*$B$98*$F$98*(1-(F$103^$F$98)/(($F$2/2)^$E$98)))</f>
        <v>3.9916438456946151</v>
      </c>
      <c r="L115" s="8">
        <f t="shared" ref="L115:L116" si="637">ABS(($A$99*2/($G3*$F$2))*$B$98*$F$98*(1-(G$103^$F$98)/(($F$2/2)^$E$98)))</f>
        <v>6.0954928704842555</v>
      </c>
      <c r="M115" s="8">
        <f t="shared" ref="M115:M116" si="638">ABS(($A$99*2/($G3*$F$2))*$B$98*$F$98*(1-(H$103^$F$98)/(($F$2/2)^$E$98)))</f>
        <v>8.6092795638344271</v>
      </c>
      <c r="N115" s="8">
        <f t="shared" ref="N115:N116" si="639">ABS(($A$99*2/($G3*$F$2))*$B$98*$F$98*(1-(I$103^$F$98)/(($F$2/2)^$E$98)))</f>
        <v>11.52457715990059</v>
      </c>
      <c r="O115" s="8">
        <f t="shared" ref="O115:O116" si="640">ABS(($A$99*2/($G3*$F$2))*$B$98*$F$98*(1-(J$103^$F$98)/(($F$2/2)^$E$98)))</f>
        <v>14.834408811721302</v>
      </c>
      <c r="P115" s="8">
        <f t="shared" ref="P115:P116" si="641">ABS(($A$99*2/($G3*$F$2))*$B$98*$F$98*(1-(K$103^$F$98)/(($F$2/2)^$E$98)))</f>
        <v>18.532835621836032</v>
      </c>
      <c r="Q115" s="8">
        <f t="shared" ref="Q115:Q116" si="642">ABS(($A$99*2/($G3*$F$2))*$B$98*$F$98*(1-(L$103^$F$98)/(($F$2/2)^$E$98)))</f>
        <v>22.614697196870388</v>
      </c>
      <c r="R115" s="8">
        <f t="shared" ref="R115:R116" si="643">ABS(($A$99*2/($G3*$F$2))*$B$98*$F$98*(1-(M$103^$F$98)/(($F$2/2)^$E$98)))</f>
        <v>27.075437866848439</v>
      </c>
      <c r="S115" s="8">
        <f t="shared" ref="S115:S116" si="644">ABS(($A$99*2/($G3*$F$2))*$B$98*$F$98*(1-(N$103^$F$98)/(($F$2/2)^$E$98)))</f>
        <v>31.910984707315787</v>
      </c>
      <c r="T115" s="8">
        <f t="shared" ref="T115:T116" si="645">ABS(($A$99*2/($G3*$F$2))*$B$98*$F$98*(1-(O$103^$F$98)/(($F$2/2)^$E$98)))</f>
        <v>37.117658710668174</v>
      </c>
      <c r="U115" s="8">
        <f t="shared" ref="U115:U116" si="646">ABS(($A$99*2/($G3*$F$2))*$B$98*$F$98*(1-(P$103^$F$98)/(($F$2/2)^$E$98)))</f>
        <v>42.692108142822065</v>
      </c>
      <c r="V115" s="8">
        <f t="shared" ref="V115:V116" si="647">ABS(($A$99*2/($G3*$F$2))*$B$98*$F$98*(1-(Q$103^$F$98)/(($F$2/2)^$E$98)))</f>
        <v>48.63125729922735</v>
      </c>
      <c r="W115" s="8">
        <f t="shared" ref="W115:W116" si="648">ABS(($A$99*2/($G3*$F$2))*$B$98*$F$98*(1-(R$103^$F$98)/(($F$2/2)^$E$98)))</f>
        <v>54.932266278710323</v>
      </c>
      <c r="X115" s="8">
        <f t="shared" ref="X115:X116" si="649">ABS(($A$99*2/($G3*$F$2))*$B$98*$F$98*(1-(S$103^$F$98)/(($F$2/2)^$E$98)))</f>
        <v>61.592498844556751</v>
      </c>
      <c r="Y115" s="8">
        <f t="shared" ref="Y115:Y116" si="650">ABS(($A$99*2/($G3*$F$2))*$B$98*$F$98*(1-(T$103^$F$98)/(($F$2/2)^$E$98)))</f>
        <v>68.609496353209963</v>
      </c>
      <c r="Z115" s="8">
        <f t="shared" ref="Z115:Z116" si="651">ABS(($A$99*2/($G3*$F$2))*$B$98*$F$98*(1-(U$103^$F$98)/(($F$2/2)^$E$98)))</f>
        <v>75.980956322512355</v>
      </c>
      <c r="AA115" s="8">
        <f t="shared" ref="AA115:AA116" si="652">ABS(($A$99*2/($G3*$F$2))*$B$98*$F$98*(1-(V$103^$F$98)/(($F$2/2)^$E$98)))</f>
        <v>83.704714606906151</v>
      </c>
      <c r="AB115" s="8">
        <f t="shared" ref="AB115:AB116" si="653">ABS(($A$99*2/($G3*$F$2))*$B$98*$F$98*(1-(W$103^$F$98)/(($F$2/2)^$E$98)))</f>
        <v>91.778730418209037</v>
      </c>
      <c r="AC115" s="8">
        <f t="shared" ref="AC115:AC116" si="654">ABS(($A$99*2/($G3*$F$2))*$B$98*$F$98*(1-(X$103^$F$98)/(($F$2/2)^$E$98)))</f>
        <v>100.20107362072012</v>
      </c>
      <c r="AD115" s="8">
        <f t="shared" ref="AD115:AD116" si="655">ABS(($A$99*2/($G3*$F$2))*$B$98*$F$98*(1-(Y$103^$F$98)/(($F$2/2)^$E$98)))</f>
        <v>108.96991386541306</v>
      </c>
      <c r="AE115" s="8">
        <f t="shared" ref="AE115:AE116" si="656">ABS(($A$99*2/($G3*$F$2))*$B$98*$F$98*(1-(Z$103^$F$98)/(($F$2/2)^$E$98)))</f>
        <v>118.08351122695188</v>
      </c>
      <c r="AF115" s="8">
        <f t="shared" ref="AF115:AF116" si="657">ABS(($A$99*2/($G3*$F$2))*$B$98*$F$98*(1-(AA$103^$F$98)/(($F$2/2)^$E$98)))</f>
        <v>127.54020808048872</v>
      </c>
      <c r="AG115" s="8">
        <f t="shared" ref="AG115:AG116" si="658">ABS(($A$99*2/($G3*$F$2))*$B$98*$F$98*(1-(AB$103^$F$98)/(($F$2/2)^$E$98)))</f>
        <v>137.33842201010168</v>
      </c>
      <c r="AH115" s="8">
        <f t="shared" ref="AH115:AH116" si="659">ABS(($A$99*2/($G3*$F$2))*$B$98*$F$98*(1-(AC$103^$F$98)/(($F$2/2)^$E$98)))</f>
        <v>147.47663958250814</v>
      </c>
      <c r="AI115" s="8">
        <f t="shared" ref="AI115:AI116" si="660">ABS(($A$99*2/($G3*$F$2))*$B$98*$F$98*(1-(AD$103^$F$98)/(($F$2/2)^$E$98)))</f>
        <v>157.95341085176739</v>
      </c>
      <c r="AJ115" s="8">
        <f t="shared" ref="AJ115:AJ116" si="661">ABS(($A$99*2/($G3*$F$2))*$B$98*$F$98*(1-(AE$103^$F$98)/(($F$2/2)^$E$98)))</f>
        <v>168.76734448567879</v>
      </c>
      <c r="AK115" s="8">
        <f t="shared" ref="AK115:AK116" si="662">ABS(($A$99*2/($G3*$F$2))*$B$98*$F$98*(1-(AF$103^$F$98)/(($F$2/2)^$E$98)))</f>
        <v>179.91710342417917</v>
      </c>
      <c r="AL115" s="8"/>
      <c r="AM115" s="8">
        <f>AM110/AM109</f>
        <v>2.2500000000000004</v>
      </c>
      <c r="AN115" s="8">
        <f t="shared" ref="AN115:AQ115" si="663">AN110/AN109</f>
        <v>2.25</v>
      </c>
      <c r="AO115" s="8">
        <f t="shared" si="663"/>
        <v>2.2500000000000004</v>
      </c>
      <c r="AP115" s="8">
        <f t="shared" si="663"/>
        <v>2.2500000000000004</v>
      </c>
      <c r="AQ115" s="8">
        <f t="shared" si="663"/>
        <v>2.25</v>
      </c>
      <c r="AR115" s="8"/>
      <c r="AS115" s="8"/>
      <c r="AT115" s="8"/>
      <c r="AU115" s="8"/>
      <c r="AV115" s="8"/>
      <c r="AW115" s="8"/>
      <c r="AX115" s="8"/>
      <c r="AY115" s="8"/>
      <c r="AZ115" s="8"/>
      <c r="BA115" s="8"/>
      <c r="BB115" s="8"/>
      <c r="BC115" s="8"/>
      <c r="BD115" s="8"/>
      <c r="BE115" s="8"/>
      <c r="BF115" s="8"/>
      <c r="BG115" s="8"/>
      <c r="BH115" s="8"/>
      <c r="BI115" s="8"/>
      <c r="BJ115" s="8"/>
      <c r="BK115" s="8"/>
      <c r="BL115" s="8"/>
      <c r="BM115" s="8"/>
      <c r="BN115" s="8"/>
      <c r="BO115" s="8"/>
      <c r="BP115" s="8"/>
      <c r="BQ115" s="8"/>
      <c r="BR115" s="8"/>
      <c r="BS115" s="8"/>
      <c r="BT115" s="8"/>
      <c r="BU115" s="8"/>
      <c r="BV115" s="8"/>
      <c r="BW115" s="8"/>
      <c r="BX115" s="8"/>
      <c r="BY115" s="8"/>
      <c r="BZ115" s="8"/>
      <c r="CA115" s="8"/>
      <c r="CB115" s="8"/>
      <c r="CC115" s="8"/>
      <c r="CD115" s="8"/>
      <c r="CE115" s="8"/>
      <c r="CF115" s="8"/>
      <c r="CG115" s="8"/>
      <c r="CH115" s="8"/>
      <c r="CI115" s="8"/>
      <c r="CJ115" s="8"/>
      <c r="CK115" s="8"/>
      <c r="CL115" s="8"/>
      <c r="CM115" s="8"/>
      <c r="CN115" s="8"/>
      <c r="CO115" s="8"/>
      <c r="CP115" s="8"/>
      <c r="CQ115" s="8"/>
      <c r="CR115" s="8"/>
      <c r="CS115" s="8"/>
      <c r="CT115" s="8"/>
      <c r="CU115" s="8"/>
      <c r="CV115" s="8"/>
      <c r="CW115" s="8"/>
      <c r="CX115" s="8"/>
      <c r="CY115" s="8"/>
      <c r="CZ115" s="8"/>
      <c r="DA115" s="8"/>
      <c r="DB115" s="8"/>
      <c r="DC115" s="8"/>
      <c r="DD115" s="8"/>
      <c r="DE115" s="8"/>
      <c r="DF115" s="8"/>
      <c r="DG115" s="8"/>
      <c r="DH115" s="8"/>
      <c r="DI115" s="8"/>
      <c r="DJ115" s="8"/>
      <c r="DK115" s="8"/>
      <c r="DL115" s="8"/>
      <c r="DM115" s="8"/>
      <c r="DN115" s="8"/>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row>
    <row r="116" spans="7:169" x14ac:dyDescent="0.25">
      <c r="G116" s="8">
        <f t="shared" si="632"/>
        <v>1.7351752021563339E-2</v>
      </c>
      <c r="H116" s="8">
        <f t="shared" si="633"/>
        <v>0.17154776088514367</v>
      </c>
      <c r="I116" s="8">
        <f t="shared" si="634"/>
        <v>0.68122151483883975</v>
      </c>
      <c r="J116" s="8">
        <f t="shared" si="635"/>
        <v>1.4839210632154083</v>
      </c>
      <c r="K116" s="8">
        <f t="shared" si="636"/>
        <v>2.5660567579465376</v>
      </c>
      <c r="L116" s="8">
        <f t="shared" si="637"/>
        <v>3.9185311310255919</v>
      </c>
      <c r="M116" s="8">
        <f t="shared" si="638"/>
        <v>5.5345368624649875</v>
      </c>
      <c r="N116" s="8">
        <f t="shared" si="639"/>
        <v>7.4086567456503776</v>
      </c>
      <c r="O116" s="8">
        <f t="shared" si="640"/>
        <v>9.5364056646779769</v>
      </c>
      <c r="P116" s="8">
        <f t="shared" si="641"/>
        <v>11.913965756894589</v>
      </c>
      <c r="Q116" s="8">
        <f t="shared" si="642"/>
        <v>14.538019626559532</v>
      </c>
      <c r="R116" s="8">
        <f t="shared" si="643"/>
        <v>17.40563862868828</v>
      </c>
      <c r="S116" s="8">
        <f t="shared" si="644"/>
        <v>20.514204454703002</v>
      </c>
      <c r="T116" s="8">
        <f t="shared" si="645"/>
        <v>23.861352028286678</v>
      </c>
      <c r="U116" s="8">
        <f t="shared" si="646"/>
        <v>27.444926663242747</v>
      </c>
      <c r="V116" s="8">
        <f t="shared" si="647"/>
        <v>31.262951120931859</v>
      </c>
      <c r="W116" s="8">
        <f t="shared" si="648"/>
        <v>35.313599750599487</v>
      </c>
      <c r="X116" s="8">
        <f t="shared" si="649"/>
        <v>39.595177828643614</v>
      </c>
      <c r="Y116" s="8">
        <f t="shared" si="650"/>
        <v>44.106104798492112</v>
      </c>
      <c r="Z116" s="8">
        <f t="shared" si="651"/>
        <v>48.844900493043646</v>
      </c>
      <c r="AA116" s="8">
        <f t="shared" si="652"/>
        <v>53.810173675868228</v>
      </c>
      <c r="AB116" s="8">
        <f t="shared" si="653"/>
        <v>59.000612411705795</v>
      </c>
      <c r="AC116" s="8">
        <f t="shared" si="654"/>
        <v>64.414975899034346</v>
      </c>
      <c r="AD116" s="8">
        <f t="shared" si="655"/>
        <v>70.05208748490837</v>
      </c>
      <c r="AE116" s="8">
        <f t="shared" si="656"/>
        <v>75.910828645897624</v>
      </c>
      <c r="AF116" s="8">
        <f t="shared" si="657"/>
        <v>81.99013376602845</v>
      </c>
      <c r="AG116" s="8">
        <f t="shared" si="658"/>
        <v>88.288985577922489</v>
      </c>
      <c r="AH116" s="8">
        <f t="shared" si="659"/>
        <v>94.806411160183785</v>
      </c>
      <c r="AI116" s="8">
        <f t="shared" si="660"/>
        <v>101.54147840470759</v>
      </c>
      <c r="AJ116" s="8">
        <f t="shared" si="661"/>
        <v>108.49329288365062</v>
      </c>
      <c r="AK116" s="8">
        <f t="shared" si="662"/>
        <v>115.66099505840087</v>
      </c>
      <c r="AL116" s="8"/>
      <c r="AM116" s="8">
        <f>AM111/AM109</f>
        <v>3.5000000000000004</v>
      </c>
      <c r="AN116" s="8">
        <f t="shared" ref="AN116:AQ116" si="664">AN111/AN109</f>
        <v>3.4999999999999996</v>
      </c>
      <c r="AO116" s="8">
        <f t="shared" si="664"/>
        <v>3.5000000000000004</v>
      </c>
      <c r="AP116" s="8">
        <f t="shared" si="664"/>
        <v>3.5</v>
      </c>
      <c r="AQ116" s="8">
        <f t="shared" si="664"/>
        <v>3.5</v>
      </c>
      <c r="AR116" s="8"/>
      <c r="AS116" s="8"/>
      <c r="AT116" s="8"/>
      <c r="AU116" s="8"/>
      <c r="AV116" s="8"/>
      <c r="AW116" s="8"/>
      <c r="AX116" s="8"/>
      <c r="AY116" s="8"/>
      <c r="AZ116" s="8"/>
      <c r="BA116" s="8"/>
      <c r="BB116" s="8"/>
      <c r="BC116" s="8"/>
      <c r="BD116" s="8"/>
      <c r="BE116" s="8"/>
      <c r="BF116" s="8"/>
      <c r="BG116" s="8"/>
      <c r="BH116" s="8"/>
      <c r="BI116" s="8"/>
      <c r="BJ116" s="8"/>
      <c r="BK116" s="8"/>
      <c r="BL116" s="8"/>
      <c r="BM116" s="8"/>
      <c r="BN116" s="8"/>
      <c r="BO116" s="8"/>
      <c r="BP116" s="8"/>
      <c r="BQ116" s="8"/>
      <c r="BR116" s="8"/>
      <c r="BS116" s="8"/>
      <c r="BT116" s="8"/>
      <c r="BU116" s="8"/>
      <c r="BV116" s="8"/>
      <c r="BW116" s="8"/>
      <c r="BX116" s="8"/>
      <c r="BY116" s="8"/>
      <c r="BZ116" s="8"/>
      <c r="CA116" s="8"/>
      <c r="CB116" s="8"/>
      <c r="CC116" s="8"/>
      <c r="CD116" s="8"/>
      <c r="CE116" s="8"/>
      <c r="CF116" s="8"/>
      <c r="CG116" s="8"/>
      <c r="CH116" s="8"/>
      <c r="CI116" s="8"/>
      <c r="CJ116" s="8"/>
      <c r="CK116" s="8"/>
      <c r="CL116" s="8"/>
      <c r="CM116" s="8"/>
      <c r="CN116" s="8"/>
      <c r="CO116" s="8"/>
      <c r="CP116" s="8"/>
      <c r="CQ116" s="8"/>
      <c r="CR116" s="8"/>
      <c r="CS116" s="8"/>
      <c r="CT116" s="8"/>
      <c r="CU116" s="8"/>
      <c r="CV116" s="8"/>
      <c r="CW116" s="8"/>
      <c r="CX116" s="8"/>
      <c r="CY116" s="8"/>
      <c r="CZ116" s="8"/>
      <c r="DA116" s="8"/>
      <c r="DB116" s="8"/>
      <c r="DC116" s="8"/>
      <c r="DD116" s="8"/>
      <c r="DE116" s="8"/>
      <c r="DF116" s="8"/>
      <c r="DG116" s="8"/>
      <c r="DH116" s="8"/>
      <c r="DI116" s="8"/>
      <c r="DJ116" s="8"/>
      <c r="DK116" s="8"/>
      <c r="DL116" s="8"/>
      <c r="DM116" s="8"/>
      <c r="DN116" s="8"/>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row>
    <row r="117" spans="7:169" x14ac:dyDescent="0.25">
      <c r="G117" s="8"/>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8"/>
      <c r="BT117" s="8"/>
      <c r="BU117" s="8"/>
      <c r="BV117" s="8"/>
      <c r="BW117" s="8"/>
      <c r="BX117" s="8"/>
      <c r="BY117" s="8"/>
      <c r="BZ117" s="8"/>
      <c r="CA117" s="8"/>
      <c r="CB117" s="8"/>
      <c r="CC117" s="8"/>
      <c r="CD117" s="8"/>
      <c r="CE117" s="8"/>
      <c r="CF117" s="8"/>
      <c r="CG117" s="8"/>
      <c r="CH117" s="8"/>
      <c r="CI117" s="8"/>
      <c r="CJ117" s="8"/>
      <c r="CK117" s="8"/>
      <c r="CL117" s="8"/>
      <c r="CM117" s="8"/>
      <c r="CN117" s="8"/>
      <c r="CO117" s="8"/>
      <c r="CP117" s="8"/>
      <c r="CQ117" s="8"/>
      <c r="CR117" s="8"/>
      <c r="CS117" s="8"/>
      <c r="CT117" s="8"/>
      <c r="CU117" s="8"/>
      <c r="CV117" s="8"/>
      <c r="CW117" s="8"/>
      <c r="CX117" s="8"/>
      <c r="CY117" s="8"/>
      <c r="CZ117" s="8"/>
      <c r="DA117" s="8"/>
      <c r="DB117" s="8"/>
      <c r="DC117" s="8"/>
      <c r="DD117" s="8"/>
      <c r="DE117" s="8"/>
      <c r="DF117" s="8"/>
      <c r="DG117" s="8"/>
      <c r="DH117" s="8"/>
      <c r="DI117" s="8"/>
      <c r="DJ117" s="8"/>
      <c r="DK117" s="8"/>
      <c r="DL117" s="8"/>
      <c r="DM117" s="8"/>
      <c r="DN117" s="8"/>
      <c r="DO117" s="8"/>
      <c r="DP117" s="8"/>
      <c r="DQ117" s="8"/>
      <c r="DR117" s="8"/>
      <c r="DS117" s="8"/>
      <c r="DT117" s="8"/>
      <c r="DU117" s="8"/>
      <c r="DV117" s="8"/>
      <c r="DW117" s="8"/>
      <c r="DX117" s="8"/>
      <c r="DY117" s="8"/>
      <c r="DZ117" s="8"/>
      <c r="EA117" s="8"/>
      <c r="EB117" s="8"/>
      <c r="EC117" s="8"/>
      <c r="ED117" s="8"/>
      <c r="EE117" s="8"/>
      <c r="EF117" s="8"/>
      <c r="EG117" s="8"/>
      <c r="EH117" s="8"/>
      <c r="EI117" s="8"/>
      <c r="EJ117" s="8"/>
      <c r="EK117" s="8"/>
      <c r="EL117" s="8"/>
      <c r="EM117" s="8"/>
      <c r="EN117" s="8"/>
      <c r="EO117" s="8"/>
      <c r="EP117" s="8"/>
      <c r="EQ117" s="8"/>
      <c r="ER117" s="8"/>
      <c r="ES117" s="8"/>
      <c r="ET117" s="8"/>
      <c r="EU117" s="8"/>
      <c r="EV117" s="8"/>
      <c r="EW117" s="8"/>
      <c r="EX117" s="8"/>
      <c r="EY117" s="8"/>
      <c r="EZ117" s="8"/>
      <c r="FA117" s="8"/>
      <c r="FB117" s="8"/>
      <c r="FC117" s="8"/>
      <c r="FD117" s="8"/>
      <c r="FE117" s="8"/>
      <c r="FF117" s="8"/>
      <c r="FG117" s="8"/>
      <c r="FH117" s="8"/>
      <c r="FI117" s="8"/>
      <c r="FJ117" s="8"/>
      <c r="FK117" s="8"/>
      <c r="FL117" s="8"/>
      <c r="FM117" s="8"/>
    </row>
    <row r="118" spans="7:169" x14ac:dyDescent="0.25">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8"/>
      <c r="AQ118" s="8"/>
      <c r="AR118" s="8"/>
      <c r="AS118" s="8"/>
      <c r="AT118" s="8"/>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8"/>
      <c r="BS118" s="8"/>
      <c r="BT118" s="8"/>
      <c r="BU118" s="8"/>
      <c r="BV118" s="8"/>
      <c r="BW118" s="8"/>
      <c r="BX118" s="8"/>
      <c r="BY118" s="8"/>
      <c r="BZ118" s="8"/>
      <c r="CA118" s="8"/>
      <c r="CB118" s="8"/>
      <c r="CC118" s="8"/>
      <c r="CD118" s="8"/>
      <c r="CE118" s="8"/>
      <c r="CF118" s="8"/>
      <c r="CG118" s="8"/>
      <c r="CH118" s="8"/>
      <c r="CI118" s="8"/>
      <c r="CJ118" s="8"/>
      <c r="CK118" s="8"/>
      <c r="CL118" s="8"/>
      <c r="CM118" s="8"/>
      <c r="CN118" s="8"/>
      <c r="CO118" s="8"/>
      <c r="CP118" s="8"/>
      <c r="CQ118" s="8"/>
      <c r="CR118" s="8"/>
      <c r="CS118" s="8"/>
      <c r="CT118" s="8"/>
      <c r="CU118" s="8"/>
      <c r="CV118" s="8"/>
      <c r="CW118" s="8"/>
      <c r="CX118" s="8"/>
      <c r="CY118" s="8"/>
      <c r="CZ118" s="8"/>
      <c r="DA118" s="8"/>
      <c r="DB118" s="8"/>
      <c r="DC118" s="8"/>
      <c r="DD118" s="8"/>
      <c r="DE118" s="8"/>
      <c r="DF118" s="8"/>
      <c r="DG118" s="8"/>
      <c r="DH118" s="8"/>
      <c r="DI118" s="8"/>
      <c r="DJ118" s="8"/>
      <c r="DK118" s="8"/>
      <c r="DL118" s="8"/>
      <c r="DM118" s="8"/>
      <c r="DN118" s="8"/>
      <c r="DO118" s="8"/>
      <c r="DP118" s="8"/>
      <c r="DQ118" s="8"/>
      <c r="DR118" s="8"/>
      <c r="DS118" s="8"/>
      <c r="DT118" s="8"/>
      <c r="DU118" s="8"/>
      <c r="DV118" s="8"/>
      <c r="DW118" s="8"/>
      <c r="DX118" s="8"/>
      <c r="DY118" s="8"/>
      <c r="DZ118" s="8"/>
      <c r="EA118" s="8"/>
      <c r="EB118" s="8"/>
      <c r="EC118" s="8"/>
      <c r="ED118" s="8"/>
      <c r="EE118" s="8"/>
      <c r="EF118" s="8"/>
      <c r="EG118" s="8"/>
      <c r="EH118" s="8"/>
      <c r="EI118" s="8"/>
      <c r="EJ118" s="8"/>
      <c r="EK118" s="8"/>
      <c r="EL118" s="8"/>
      <c r="EM118" s="8"/>
      <c r="EN118" s="8"/>
      <c r="EO118" s="8"/>
      <c r="EP118" s="8"/>
      <c r="EQ118" s="8"/>
      <c r="ER118" s="8"/>
      <c r="ES118" s="8"/>
      <c r="ET118" s="8"/>
      <c r="EU118" s="8"/>
      <c r="EV118" s="8"/>
      <c r="EW118" s="8"/>
      <c r="EX118" s="8"/>
      <c r="EY118" s="8"/>
      <c r="EZ118" s="8"/>
      <c r="FA118" s="8"/>
      <c r="FB118" s="8"/>
      <c r="FC118" s="8"/>
      <c r="FD118" s="8"/>
      <c r="FE118" s="8"/>
      <c r="FF118" s="8"/>
      <c r="FG118" s="8"/>
      <c r="FH118" s="8"/>
      <c r="FI118" s="8"/>
      <c r="FJ118" s="8"/>
      <c r="FK118" s="8"/>
      <c r="FL118" s="8"/>
      <c r="FM118" s="8"/>
    </row>
    <row r="119" spans="7:169" x14ac:dyDescent="0.25">
      <c r="G119" s="10" t="s">
        <v>152</v>
      </c>
      <c r="H119" s="10"/>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8"/>
      <c r="BR119" s="8"/>
      <c r="BS119" s="8"/>
      <c r="BT119" s="8"/>
      <c r="BU119" s="8"/>
      <c r="BV119" s="8"/>
      <c r="BW119" s="8"/>
      <c r="BX119" s="8"/>
      <c r="BY119" s="8"/>
      <c r="BZ119" s="8"/>
      <c r="CA119" s="8"/>
      <c r="CB119" s="8"/>
      <c r="CC119" s="8"/>
      <c r="CD119" s="8"/>
      <c r="CE119" s="8"/>
      <c r="CF119" s="8"/>
      <c r="CG119" s="8"/>
      <c r="CH119" s="8"/>
      <c r="CI119" s="8"/>
      <c r="CJ119" s="8"/>
      <c r="CK119" s="8"/>
      <c r="CL119" s="8"/>
      <c r="CM119" s="8"/>
      <c r="CN119" s="8"/>
      <c r="CO119" s="8"/>
      <c r="CP119" s="8"/>
      <c r="CQ119" s="8"/>
      <c r="CR119" s="8"/>
      <c r="CS119" s="8"/>
      <c r="CT119" s="8"/>
      <c r="CU119" s="8"/>
      <c r="CV119" s="8"/>
      <c r="CW119" s="8"/>
      <c r="CX119" s="8"/>
      <c r="CY119" s="8"/>
      <c r="CZ119" s="8"/>
      <c r="DA119" s="8"/>
      <c r="DB119" s="8"/>
      <c r="DC119" s="8"/>
      <c r="DD119" s="8"/>
      <c r="DE119" s="8"/>
      <c r="DF119" s="8"/>
      <c r="DG119" s="8"/>
      <c r="DH119" s="8"/>
      <c r="DI119" s="8"/>
      <c r="DJ119" s="8"/>
      <c r="DK119" s="8"/>
      <c r="DL119" s="8"/>
      <c r="DM119" s="8"/>
      <c r="DN119" s="8"/>
      <c r="DO119" s="8"/>
      <c r="DP119" s="8"/>
      <c r="DQ119" s="8"/>
      <c r="DR119" s="8"/>
      <c r="DS119" s="8"/>
      <c r="DT119" s="8"/>
      <c r="DU119" s="8"/>
      <c r="DV119" s="8"/>
      <c r="DW119" s="8"/>
      <c r="DX119" s="8"/>
      <c r="DY119" s="8"/>
      <c r="DZ119" s="8"/>
      <c r="EA119" s="8"/>
      <c r="EB119" s="8"/>
      <c r="EC119" s="8"/>
      <c r="ED119" s="8"/>
      <c r="EE119" s="8"/>
      <c r="EF119" s="8"/>
      <c r="EG119" s="8"/>
      <c r="EH119" s="8"/>
      <c r="EI119" s="8"/>
      <c r="EJ119" s="8"/>
      <c r="EK119" s="8"/>
      <c r="EL119" s="8"/>
      <c r="EM119" s="8"/>
      <c r="EN119" s="8"/>
      <c r="EO119" s="8"/>
      <c r="EP119" s="8"/>
      <c r="EQ119" s="8"/>
      <c r="ER119" s="8"/>
      <c r="ES119" s="8"/>
      <c r="ET119" s="8"/>
      <c r="EU119" s="8"/>
      <c r="EV119" s="8"/>
      <c r="EW119" s="8"/>
      <c r="EX119" s="8"/>
      <c r="EY119" s="8"/>
      <c r="EZ119" s="8"/>
      <c r="FA119" s="8"/>
      <c r="FB119" s="8"/>
      <c r="FC119" s="8"/>
      <c r="FD119" s="8"/>
      <c r="FE119" s="8"/>
      <c r="FF119" s="8"/>
      <c r="FG119" s="8"/>
      <c r="FH119" s="8"/>
      <c r="FI119" s="8"/>
      <c r="FJ119" s="8"/>
      <c r="FK119" s="8"/>
      <c r="FL119" s="8"/>
      <c r="FM119" s="8"/>
    </row>
    <row r="120" spans="7:169" x14ac:dyDescent="0.25">
      <c r="G120" s="10" t="s">
        <v>140</v>
      </c>
      <c r="H120" s="10"/>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8"/>
      <c r="AQ120" s="8"/>
      <c r="AR120" s="8"/>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c r="BR120" s="8"/>
      <c r="BS120" s="8"/>
      <c r="BT120" s="8"/>
      <c r="BU120" s="8"/>
      <c r="BV120" s="8"/>
      <c r="BW120" s="8"/>
      <c r="BX120" s="8"/>
      <c r="BY120" s="8"/>
      <c r="BZ120" s="8"/>
      <c r="CA120" s="8"/>
      <c r="CB120" s="8"/>
      <c r="CC120" s="8"/>
      <c r="CD120" s="8"/>
      <c r="CE120" s="8"/>
      <c r="CF120" s="8"/>
      <c r="CG120" s="8"/>
      <c r="CH120" s="8"/>
      <c r="CI120" s="8"/>
      <c r="CJ120" s="8"/>
      <c r="CK120" s="8"/>
      <c r="CL120" s="8"/>
      <c r="CM120" s="8"/>
      <c r="CN120" s="8"/>
      <c r="CO120" s="8"/>
      <c r="CP120" s="8"/>
      <c r="CQ120" s="8"/>
      <c r="CR120" s="8"/>
      <c r="CS120" s="8"/>
      <c r="CT120" s="8"/>
      <c r="CU120" s="8"/>
      <c r="CV120" s="8"/>
      <c r="CW120" s="8"/>
      <c r="CX120" s="8"/>
      <c r="CY120" s="8"/>
      <c r="CZ120" s="8"/>
      <c r="DA120" s="8"/>
      <c r="DB120" s="8"/>
      <c r="DC120" s="8"/>
      <c r="DD120" s="8"/>
      <c r="DE120" s="8"/>
      <c r="DF120" s="8"/>
      <c r="DG120" s="8"/>
      <c r="DH120" s="8"/>
      <c r="DI120" s="8"/>
      <c r="DJ120" s="8"/>
      <c r="DK120" s="8"/>
      <c r="DL120" s="8"/>
      <c r="DM120" s="8"/>
      <c r="DN120" s="8"/>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row>
    <row r="121" spans="7:169" x14ac:dyDescent="0.25">
      <c r="G121" s="10" t="s">
        <v>137</v>
      </c>
      <c r="H121" s="10"/>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c r="BC121" s="8"/>
      <c r="BD121" s="8"/>
      <c r="BE121" s="8"/>
      <c r="BF121" s="8"/>
      <c r="BG121" s="8" t="s">
        <v>178</v>
      </c>
      <c r="BH121" s="8"/>
      <c r="BI121" s="8"/>
      <c r="BJ121" s="8"/>
      <c r="BK121" s="8"/>
      <c r="BL121" s="8"/>
      <c r="BM121" s="8"/>
      <c r="BN121" s="8"/>
      <c r="BO121" s="8"/>
      <c r="BP121" s="8"/>
      <c r="BQ121" s="8"/>
      <c r="BR121" s="8"/>
      <c r="BS121" s="8"/>
      <c r="BT121" s="8"/>
      <c r="BU121" s="8"/>
      <c r="BV121" s="8"/>
      <c r="BW121" s="8"/>
      <c r="BX121" s="8"/>
      <c r="BY121" s="8"/>
      <c r="BZ121" s="8"/>
      <c r="CA121" s="8"/>
      <c r="CB121" s="8"/>
      <c r="CC121" s="8"/>
      <c r="CD121" s="8"/>
      <c r="CE121" s="8"/>
      <c r="CF121" s="8"/>
      <c r="CG121" s="8"/>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8"/>
      <c r="DG121" s="8" t="s">
        <v>161</v>
      </c>
      <c r="DH121" s="8" t="s">
        <v>157</v>
      </c>
      <c r="DI121" s="8" t="s">
        <v>162</v>
      </c>
      <c r="DJ121" s="8" t="s">
        <v>160</v>
      </c>
      <c r="DK121" s="8" t="s">
        <v>72</v>
      </c>
      <c r="DL121" s="8"/>
      <c r="DM121" s="8"/>
      <c r="DN121" s="8"/>
      <c r="DO121" s="8"/>
      <c r="DP121" s="8"/>
      <c r="DQ121" s="8"/>
      <c r="DR121" s="8"/>
      <c r="DS121" s="8"/>
      <c r="DT121" s="8"/>
      <c r="DU121" s="8"/>
      <c r="DV121" s="8"/>
      <c r="DW121" s="8"/>
      <c r="DX121" s="8"/>
      <c r="DY121" s="8"/>
      <c r="DZ121" s="8"/>
      <c r="EA121" s="8"/>
      <c r="EB121" s="8"/>
      <c r="EC121" s="8"/>
      <c r="ED121" s="8"/>
      <c r="EE121" s="8"/>
      <c r="EF121" s="8"/>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8"/>
      <c r="FG121" s="8"/>
      <c r="FH121" s="8"/>
      <c r="FI121" s="8"/>
      <c r="FJ121" s="8"/>
      <c r="FK121" s="8"/>
      <c r="FL121" s="8"/>
      <c r="FM121" s="8"/>
    </row>
    <row r="122" spans="7:169" x14ac:dyDescent="0.25">
      <c r="G122" s="8">
        <f>ABS(SQRT(2)*($A$99*2*$D$98/($F$3*$G2^2))*(1-(B$103*2/($F$3))^$E$98))</f>
        <v>1.4875816679373854</v>
      </c>
      <c r="H122" s="8">
        <f t="shared" ref="H122:BD122" si="665">ABS(SQRT(2)*($A$99*2*$D$98/($F$3*$G2^2))*(1-(C$103*2/($F$3))^$E$98))</f>
        <v>1.4875631365885369</v>
      </c>
      <c r="I122" s="8">
        <f t="shared" si="665"/>
        <v>1.4874446055944994</v>
      </c>
      <c r="J122" s="8">
        <f t="shared" si="665"/>
        <v>1.4871398360370061</v>
      </c>
      <c r="K122" s="8">
        <f t="shared" si="665"/>
        <v>1.4865679216639296</v>
      </c>
      <c r="L122" s="8">
        <f t="shared" si="665"/>
        <v>1.4856510854385023</v>
      </c>
      <c r="M122" s="8">
        <f t="shared" si="665"/>
        <v>1.4843137722260442</v>
      </c>
      <c r="N122" s="8">
        <f t="shared" si="665"/>
        <v>1.482482143521789</v>
      </c>
      <c r="O122" s="8">
        <f t="shared" si="665"/>
        <v>1.4800837550511261</v>
      </c>
      <c r="P122" s="8">
        <f t="shared" si="665"/>
        <v>1.4770473334004048</v>
      </c>
      <c r="Q122" s="8">
        <f t="shared" si="665"/>
        <v>1.4733026123439037</v>
      </c>
      <c r="R122" s="8">
        <f t="shared" si="665"/>
        <v>1.4687802079156476</v>
      </c>
      <c r="S122" s="8">
        <f t="shared" si="665"/>
        <v>1.463411520034906</v>
      </c>
      <c r="T122" s="8">
        <f t="shared" si="665"/>
        <v>1.4571286531097891</v>
      </c>
      <c r="U122" s="8">
        <f t="shared" si="665"/>
        <v>1.4498643506651381</v>
      </c>
      <c r="V122" s="8">
        <f t="shared" si="665"/>
        <v>1.4415519406202462</v>
      </c>
      <c r="W122" s="8">
        <f t="shared" si="665"/>
        <v>1.4321252888394069</v>
      </c>
      <c r="X122" s="8">
        <f t="shared" si="665"/>
        <v>1.4215187592332976</v>
      </c>
      <c r="Y122" s="8">
        <f t="shared" si="665"/>
        <v>1.4096671791336641</v>
      </c>
      <c r="Z122" s="8">
        <f t="shared" si="665"/>
        <v>1.3965058089738838</v>
      </c>
      <c r="AA122" s="8">
        <f t="shared" si="665"/>
        <v>1.3819703155296497</v>
      </c>
      <c r="AB122" s="8">
        <f t="shared" si="665"/>
        <v>1.3659967481358211</v>
      </c>
      <c r="AC122" s="8">
        <f t="shared" si="665"/>
        <v>1.3485215174157967</v>
      </c>
      <c r="AD122" s="8">
        <f t="shared" si="665"/>
        <v>1.3294813761507225</v>
      </c>
      <c r="AE122" s="8">
        <f t="shared" si="665"/>
        <v>1.3088134019856026</v>
      </c>
      <c r="AF122" s="8">
        <f t="shared" si="665"/>
        <v>1.2864549817236168</v>
      </c>
      <c r="AG122" s="8">
        <f t="shared" si="665"/>
        <v>1.2623437970026008</v>
      </c>
      <c r="AH122" s="8">
        <f t="shared" si="665"/>
        <v>1.2364178111815707</v>
      </c>
      <c r="AI122" s="8">
        <f t="shared" si="665"/>
        <v>1.2086152572924098</v>
      </c>
      <c r="AJ122" s="8">
        <f t="shared" si="665"/>
        <v>1.1788746269339248</v>
      </c>
      <c r="AK122" s="8">
        <f t="shared" si="665"/>
        <v>1.1471346600035091</v>
      </c>
      <c r="AL122" s="8">
        <f t="shared" si="665"/>
        <v>1.1133343351765279</v>
      </c>
      <c r="AM122" s="8">
        <f t="shared" si="665"/>
        <v>1.0774128610558464</v>
      </c>
      <c r="AN122" s="8">
        <f t="shared" si="665"/>
        <v>1.0393096679242344</v>
      </c>
      <c r="AO122" s="8">
        <f t="shared" si="665"/>
        <v>0.99896440004101361</v>
      </c>
      <c r="AP122" s="8">
        <f t="shared" si="665"/>
        <v>0.95631690843162909</v>
      </c>
      <c r="AQ122" s="8">
        <f t="shared" si="665"/>
        <v>0.91130724412502584</v>
      </c>
      <c r="AR122" s="8">
        <f t="shared" si="665"/>
        <v>0.86387565179902459</v>
      </c>
      <c r="AS122" s="8">
        <f t="shared" si="665"/>
        <v>0.8139625637984268</v>
      </c>
      <c r="AT122" s="8">
        <f>ABS(SQRT(2)*($A$99*2*$D$98/($F$3*$G2^2))*(1-(AO$103*2/($F$3))^$E$98))</f>
        <v>0.76150859449450281</v>
      </c>
      <c r="AU122" s="8">
        <f t="shared" si="665"/>
        <v>0.70645453495791344</v>
      </c>
      <c r="AV122" s="8">
        <f t="shared" si="665"/>
        <v>0.64874134792005611</v>
      </c>
      <c r="AW122" s="8">
        <f t="shared" si="665"/>
        <v>0.5883101630003974</v>
      </c>
      <c r="AX122" s="8">
        <f t="shared" si="665"/>
        <v>0.52510227217961047</v>
      </c>
      <c r="AY122" s="8">
        <f t="shared" si="665"/>
        <v>0.45905912550030714</v>
      </c>
      <c r="AZ122" s="8">
        <f t="shared" si="665"/>
        <v>0.39012232697889143</v>
      </c>
      <c r="BA122" s="8">
        <f t="shared" si="665"/>
        <v>0.31823363071361105</v>
      </c>
      <c r="BB122" s="8">
        <f t="shared" si="665"/>
        <v>0.24333493717523783</v>
      </c>
      <c r="BC122" s="8">
        <f t="shared" si="665"/>
        <v>0.16536828966802711</v>
      </c>
      <c r="BD122" s="8">
        <f t="shared" si="665"/>
        <v>8.427587094967802E-2</v>
      </c>
      <c r="BE122" s="8">
        <f>ABS(SQRT(2)*($A$99*2*$D$98/($F$3*$G2^2))*(1-(AZ$103*2/($F$3))^$E$98))</f>
        <v>5.6152612237648894E-15</v>
      </c>
      <c r="BF122" s="8"/>
      <c r="BG122" s="8">
        <f>G127/G122</f>
        <v>2.4495246231292477E-2</v>
      </c>
      <c r="BH122" s="8">
        <f t="shared" ref="BH122:DE122" si="666">H127/H122</f>
        <v>3.6534456942997479E-2</v>
      </c>
      <c r="BI122" s="8">
        <f t="shared" si="666"/>
        <v>0.20121684090420822</v>
      </c>
      <c r="BJ122" s="8">
        <f t="shared" si="666"/>
        <v>0.46066956874466009</v>
      </c>
      <c r="BK122" s="8">
        <f t="shared" si="666"/>
        <v>0.81069928417644277</v>
      </c>
      <c r="BL122" s="8">
        <f t="shared" si="666"/>
        <v>1.2487219146787285</v>
      </c>
      <c r="BM122" s="8">
        <f t="shared" si="666"/>
        <v>1.7730920781374382</v>
      </c>
      <c r="BN122" s="8">
        <f t="shared" si="666"/>
        <v>2.3828521643191594</v>
      </c>
      <c r="BO122" s="8">
        <f t="shared" si="666"/>
        <v>3.0776244009515419</v>
      </c>
      <c r="BP122" s="8">
        <f t="shared" si="666"/>
        <v>3.8575665564087287</v>
      </c>
      <c r="BQ122" s="8">
        <f t="shared" si="666"/>
        <v>4.7233615936760485</v>
      </c>
      <c r="BR122" s="8">
        <f t="shared" si="666"/>
        <v>5.6762285145997895</v>
      </c>
      <c r="BS122" s="8">
        <f t="shared" si="666"/>
        <v>6.717948613993947</v>
      </c>
      <c r="BT122" s="8">
        <f t="shared" si="666"/>
        <v>7.8509047011397293</v>
      </c>
      <c r="BU122" s="8">
        <f t="shared" si="666"/>
        <v>9.0781326818376016</v>
      </c>
      <c r="BV122" s="8">
        <f t="shared" si="666"/>
        <v>10.403386072607546</v>
      </c>
      <c r="BW122" s="8">
        <f t="shared" si="666"/>
        <v>11.831214919923015</v>
      </c>
      <c r="BX122" s="8">
        <f t="shared" si="666"/>
        <v>13.367061417981622</v>
      </c>
      <c r="BY122" s="8">
        <f t="shared" si="666"/>
        <v>15.017375380062466</v>
      </c>
      <c r="BZ122" s="8">
        <f t="shared" si="666"/>
        <v>16.789753715425856</v>
      </c>
      <c r="CA122" s="8">
        <f t="shared" si="666"/>
        <v>18.693109288188168</v>
      </c>
      <c r="CB122" s="8">
        <f t="shared" si="666"/>
        <v>20.737876093494673</v>
      </c>
      <c r="CC122" s="8">
        <f t="shared" si="666"/>
        <v>22.936259716694266</v>
      </c>
      <c r="CD122" s="8">
        <f t="shared" si="666"/>
        <v>25.302544729008442</v>
      </c>
      <c r="CE122" s="8">
        <f t="shared" si="666"/>
        <v>27.853474278584098</v>
      </c>
      <c r="CF122" s="8">
        <f t="shared" si="666"/>
        <v>30.608722030768817</v>
      </c>
      <c r="CG122" s="8">
        <f t="shared" si="666"/>
        <v>33.591483336528107</v>
      </c>
      <c r="CH122" s="8">
        <f t="shared" si="666"/>
        <v>36.82922186109225</v>
      </c>
      <c r="CI122" s="8">
        <f t="shared" si="666"/>
        <v>40.354621082235901</v>
      </c>
      <c r="CJ122" s="8">
        <f t="shared" si="666"/>
        <v>44.206808891128453</v>
      </c>
      <c r="CK122" s="8">
        <f t="shared" si="666"/>
        <v>48.432950822209413</v>
      </c>
      <c r="CL122" s="8">
        <f t="shared" si="666"/>
        <v>53.09034766038485</v>
      </c>
      <c r="CM122" s="8">
        <f t="shared" si="666"/>
        <v>58.249233506684426</v>
      </c>
      <c r="CN122" s="8">
        <f t="shared" si="666"/>
        <v>63.996562657522823</v>
      </c>
      <c r="CO122" s="8">
        <f t="shared" si="666"/>
        <v>70.441217831186989</v>
      </c>
      <c r="CP122" s="8">
        <f t="shared" si="666"/>
        <v>77.72130296111456</v>
      </c>
      <c r="CQ122" s="8">
        <f t="shared" si="666"/>
        <v>86.014562759984983</v>
      </c>
      <c r="CR122" s="8">
        <f t="shared" si="666"/>
        <v>95.553612617335972</v>
      </c>
      <c r="CS122" s="8">
        <f t="shared" si="666"/>
        <v>106.64878477147698</v>
      </c>
      <c r="CT122" s="8">
        <f>AT127/AT122</f>
        <v>119.72343738417155</v>
      </c>
      <c r="CU122" s="8">
        <f t="shared" si="666"/>
        <v>135.37045045344689</v>
      </c>
      <c r="CV122" s="8">
        <f t="shared" si="666"/>
        <v>154.44638711387154</v>
      </c>
      <c r="CW122" s="8">
        <f t="shared" si="666"/>
        <v>178.23627742850437</v>
      </c>
      <c r="CX122" s="8">
        <f t="shared" si="666"/>
        <v>208.75964704504233</v>
      </c>
      <c r="CY122" s="8">
        <f t="shared" si="666"/>
        <v>249.38257625953258</v>
      </c>
      <c r="CZ122" s="8">
        <f t="shared" si="666"/>
        <v>306.16423190922978</v>
      </c>
      <c r="DA122" s="8">
        <f t="shared" si="666"/>
        <v>391.22319937026242</v>
      </c>
      <c r="DB122" s="8">
        <f t="shared" si="666"/>
        <v>532.83648135161195</v>
      </c>
      <c r="DC122" s="8">
        <f t="shared" si="666"/>
        <v>815.83549696353862</v>
      </c>
      <c r="DD122" s="8">
        <f t="shared" si="666"/>
        <v>1664.3780824031121</v>
      </c>
      <c r="DE122" s="8">
        <f t="shared" si="666"/>
        <v>2.5950400612740668E+16</v>
      </c>
      <c r="DF122" s="8"/>
      <c r="DG122" s="8">
        <f>0.000195</f>
        <v>1.95E-4</v>
      </c>
      <c r="DH122" s="8">
        <f>2*DG122</f>
        <v>3.8999999999999999E-4</v>
      </c>
      <c r="DI122" s="8">
        <f>DH122/(1.6*10^-3)</f>
        <v>0.24374999999999999</v>
      </c>
      <c r="DJ122" s="8">
        <f>BL27</f>
        <v>0.36666666666666664</v>
      </c>
      <c r="DK122" s="8">
        <f>DJ122-DI122</f>
        <v>0.12291666666666665</v>
      </c>
      <c r="DL122" s="8"/>
      <c r="DM122" s="8"/>
      <c r="DN122" s="8"/>
      <c r="DO122" s="8"/>
      <c r="DP122" s="8"/>
      <c r="DQ122" s="8"/>
      <c r="DR122" s="8"/>
      <c r="DS122" s="8"/>
      <c r="DT122" s="8"/>
      <c r="DU122" s="8"/>
      <c r="DV122" s="8"/>
      <c r="DW122" s="8"/>
      <c r="DX122" s="8"/>
      <c r="DY122" s="8"/>
      <c r="DZ122" s="8"/>
      <c r="EA122" s="8"/>
      <c r="EB122" s="8"/>
      <c r="EC122" s="8"/>
      <c r="ED122" s="8"/>
      <c r="EE122" s="8"/>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8"/>
      <c r="FG122" s="8"/>
      <c r="FH122" s="8"/>
      <c r="FI122" s="8"/>
      <c r="FJ122" s="8"/>
      <c r="FK122" s="8"/>
      <c r="FL122" s="8"/>
      <c r="FM122" s="8"/>
    </row>
    <row r="123" spans="7:169" x14ac:dyDescent="0.25">
      <c r="G123" s="8">
        <f t="shared" ref="G123:G124" si="667">ABS(SQRT(2)*($A$99*2*$D$98/($F$3*$G3^2))*(1-(B$103*2/($F$3))^$E$98))</f>
        <v>0.29384329243207619</v>
      </c>
      <c r="H123" s="8">
        <f t="shared" ref="H123:H124" si="668">ABS(SQRT(2)*($A$99*2*$D$98/($F$3*$G3^2))*(1-(C$103*2/($F$3))^$E$98))</f>
        <v>0.29383963191872337</v>
      </c>
      <c r="I123" s="8">
        <f t="shared" ref="I123:I124" si="669">ABS(SQRT(2)*($A$99*2*$D$98/($F$3*$G3^2))*(1-(D$103*2/($F$3))^$E$98))</f>
        <v>0.29381621838903699</v>
      </c>
      <c r="J123" s="8">
        <f t="shared" ref="J123:J124" si="670">ABS(SQRT(2)*($A$99*2*$D$98/($F$3*$G3^2))*(1-(E$103*2/($F$3))^$E$98))</f>
        <v>0.29375601699496423</v>
      </c>
      <c r="K123" s="8">
        <f t="shared" ref="K123:K124" si="671">ABS(SQRT(2)*($A$99*2*$D$98/($F$3*$G3^2))*(1-(F$103*2/($F$3))^$E$98))</f>
        <v>0.29364304625460341</v>
      </c>
      <c r="L123" s="8">
        <f t="shared" ref="L123:L124" si="672">ABS(SQRT(2)*($A$99*2*$D$98/($F$3*$G3^2))*(1-(G$103*2/($F$3))^$E$98))</f>
        <v>0.29346194280266719</v>
      </c>
      <c r="M123" s="8">
        <f t="shared" ref="M123:M124" si="673">ABS(SQRT(2)*($A$99*2*$D$98/($F$3*$G3^2))*(1-(H$103*2/($F$3))^$E$98))</f>
        <v>0.29319778216810755</v>
      </c>
      <c r="N123" s="8">
        <f t="shared" ref="N123:N124" si="674">ABS(SQRT(2)*($A$99*2*$D$98/($F$3*$G3^2))*(1-(I$103*2/($F$3))^$E$98))</f>
        <v>0.29283597896726699</v>
      </c>
      <c r="O123" s="8">
        <f t="shared" ref="O123:O124" si="675">ABS(SQRT(2)*($A$99*2*$D$98/($F$3*$G3^2))*(1-(J$103*2/($F$3))^$E$98))</f>
        <v>0.29236222321997557</v>
      </c>
      <c r="P123" s="8">
        <f t="shared" ref="P123:P124" si="676">ABS(SQRT(2)*($A$99*2*$D$98/($F$3*$G3^2))*(1-(K$103*2/($F$3))^$E$98))</f>
        <v>0.29176243622724052</v>
      </c>
      <c r="Q123" s="8">
        <f t="shared" ref="Q123:Q124" si="677">ABS(SQRT(2)*($A$99*2*$D$98/($F$3*$G3^2))*(1-(L$103*2/($F$3))^$E$98))</f>
        <v>0.29102273824077113</v>
      </c>
      <c r="R123" s="8">
        <f t="shared" ref="R123:R124" si="678">ABS(SQRT(2)*($A$99*2*$D$98/($F$3*$G3^2))*(1-(M$103*2/($F$3))^$E$98))</f>
        <v>0.29012942378580697</v>
      </c>
      <c r="S123" s="8">
        <f t="shared" ref="S123:S124" si="679">ABS(SQRT(2)*($A$99*2*$D$98/($F$3*$G3^2))*(1-(N$103*2/($F$3))^$E$98))</f>
        <v>0.28906894222911728</v>
      </c>
      <c r="T123" s="8">
        <f t="shared" ref="T123:T124" si="680">ABS(SQRT(2)*($A$99*2*$D$98/($F$3*$G3^2))*(1-(O$103*2/($F$3))^$E$98))</f>
        <v>0.28782788209576088</v>
      </c>
      <c r="U123" s="8">
        <f t="shared" ref="U123:U124" si="681">ABS(SQRT(2)*($A$99*2*$D$98/($F$3*$G3^2))*(1-(P$103*2/($F$3))^$E$98))</f>
        <v>0.28639295815607668</v>
      </c>
      <c r="V123" s="8">
        <f t="shared" ref="V123:V124" si="682">ABS(SQRT(2)*($A$99*2*$D$98/($F$3*$G3^2))*(1-(Q$103*2/($F$3))^$E$98))</f>
        <v>0.28475100061634495</v>
      </c>
      <c r="W123" s="8">
        <f t="shared" ref="W123:W124" si="683">ABS(SQRT(2)*($A$99*2*$D$98/($F$3*$G3^2))*(1-(R$103*2/($F$3))^$E$98))</f>
        <v>0.2828889459435866</v>
      </c>
      <c r="X123" s="8">
        <f t="shared" ref="X123:X124" si="684">ABS(SQRT(2)*($A$99*2*$D$98/($F$3*$G3^2))*(1-(S$103*2/($F$3))^$E$98))</f>
        <v>0.28079382898435512</v>
      </c>
      <c r="Y123" s="8">
        <f t="shared" ref="Y123:Y124" si="685">ABS(SQRT(2)*($A$99*2*$D$98/($F$3*$G3^2))*(1-(T$103*2/($F$3))^$E$98))</f>
        <v>0.27845277612516828</v>
      </c>
      <c r="Z123" s="8">
        <f t="shared" ref="Z123:Z124" si="686">ABS(SQRT(2)*($A$99*2*$D$98/($F$3*$G3^2))*(1-(U$103*2/($F$3))^$E$98))</f>
        <v>0.27585299930348328</v>
      </c>
      <c r="AA123" s="8">
        <f t="shared" ref="AA123:AA124" si="687">ABS(SQRT(2)*($A$99*2*$D$98/($F$3*$G3^2))*(1-(V$103*2/($F$3))^$E$98))</f>
        <v>0.27298179072190615</v>
      </c>
      <c r="AB123" s="8">
        <f t="shared" ref="AB123:AB124" si="688">ABS(SQRT(2)*($A$99*2*$D$98/($F$3*$G3^2))*(1-(W$103*2/($F$3))^$E$98))</f>
        <v>0.26982651815028569</v>
      </c>
      <c r="AC123" s="8">
        <f t="shared" ref="AC123:AC124" si="689">ABS(SQRT(2)*($A$99*2*$D$98/($F$3*$G3^2))*(1-(X$103*2/($F$3))^$E$98))</f>
        <v>0.266374620724108</v>
      </c>
      <c r="AD123" s="8">
        <f t="shared" ref="AD123:AD124" si="690">ABS(SQRT(2)*($A$99*2*$D$98/($F$3*$G3^2))*(1-(Y$103*2/($F$3))^$E$98))</f>
        <v>0.26261360516557486</v>
      </c>
      <c r="AE123" s="8">
        <f t="shared" ref="AE123:AE124" si="691">ABS(SQRT(2)*($A$99*2*$D$98/($F$3*$G3^2))*(1-(Z$103*2/($F$3))^$E$98))</f>
        <v>0.2585310423675265</v>
      </c>
      <c r="AF123" s="8">
        <f t="shared" ref="AF123:AF124" si="692">ABS(SQRT(2)*($A$99*2*$D$98/($F$3*$G3^2))*(1-(AA$103*2/($F$3))^$E$98))</f>
        <v>0.25411456429108487</v>
      </c>
      <c r="AG123" s="8">
        <f t="shared" ref="AG123:AG124" si="693">ABS(SQRT(2)*($A$99*2*$D$98/($F$3*$G3^2))*(1-(AB$103*2/($F$3))^$E$98))</f>
        <v>0.24935186113631627</v>
      </c>
      <c r="AH123" s="8">
        <f t="shared" ref="AH123:AH124" si="694">ABS(SQRT(2)*($A$99*2*$D$98/($F$3*$G3^2))*(1-(AC$103*2/($F$3))^$E$98))</f>
        <v>0.24423067875191523</v>
      </c>
      <c r="AI123" s="8">
        <f t="shared" ref="AI123:AI124" si="695">ABS(SQRT(2)*($A$99*2*$D$98/($F$3*$G3^2))*(1-(AD$103*2/($F$3))^$E$98))</f>
        <v>0.23873881625529084</v>
      </c>
      <c r="AJ123" s="8">
        <f t="shared" ref="AJ123:AJ124" si="696">ABS(SQRT(2)*($A$99*2*$D$98/($F$3*$G3^2))*(1-(AE$103*2/($F$3))^$E$98))</f>
        <v>0.23286412383879998</v>
      </c>
      <c r="AK123" s="8">
        <f t="shared" ref="AK123:AK124" si="697">ABS(SQRT(2)*($A$99*2*$D$98/($F$3*$G3^2))*(1-(AF$103*2/($F$3))^$E$98))</f>
        <v>0.22659450074143395</v>
      </c>
      <c r="AL123" s="8">
        <f t="shared" ref="AL123:AL124" si="698">ABS(SQRT(2)*($A$99*2*$D$98/($F$3*$G3^2))*(1-(AG$103*2/($F$3))^$E$98))</f>
        <v>0.21991789336820311</v>
      </c>
      <c r="AM123" s="8">
        <f t="shared" ref="AM123:AM124" si="699">ABS(SQRT(2)*($A$99*2*$D$98/($F$3*$G3^2))*(1-(AH$103*2/($F$3))^$E$98))</f>
        <v>0.21282229354189564</v>
      </c>
      <c r="AN123" s="8">
        <f t="shared" ref="AN123:AN124" si="700">ABS(SQRT(2)*($A$99*2*$D$98/($F$3*$G3^2))*(1-(AI$103*2/($F$3))^$E$98))</f>
        <v>0.20529573687392288</v>
      </c>
      <c r="AO123" s="8">
        <f t="shared" ref="AO123:AO124" si="701">ABS(SQRT(2)*($A$99*2*$D$98/($F$3*$G3^2))*(1-(AJ$103*2/($F$3))^$E$98))</f>
        <v>0.19732630124266937</v>
      </c>
      <c r="AP123" s="8">
        <f t="shared" ref="AP123" si="702">ABS(SQRT(2)*($A$99*2*$D$98/($F$3*$G3^2))*(1-(AK$103*2/($F$3))^$E$98))</f>
        <v>0.1889021053692107</v>
      </c>
      <c r="AQ123" s="8">
        <f t="shared" ref="AQ123:AQ124" si="703">ABS(SQRT(2)*($A$99*2*$D$98/($F$3*$G3^2))*(1-(AL$103*2/($F$3))^$E$98))</f>
        <v>0.18001130748148661</v>
      </c>
      <c r="AR123" s="8">
        <f t="shared" ref="AR123:AR124" si="704">ABS(SQRT(2)*($A$99*2*$D$98/($F$3*$G3^2))*(1-(AM$103*2/($F$3))^$E$98))</f>
        <v>0.17064210405906663</v>
      </c>
      <c r="AS123" s="8">
        <f t="shared" ref="AS123:AS124" si="705">ABS(SQRT(2)*($A$99*2*$D$98/($F$3*$G3^2))*(1-(AN$103*2/($F$3))^$E$98))</f>
        <v>0.16078272865154114</v>
      </c>
      <c r="AT123" s="8">
        <f t="shared" ref="AT123:AT124" si="706">ABS(SQRT(2)*($A$99*2*$D$98/($F$3*$G3^2))*(1-(AO$103*2/($F$3))^$E$98))</f>
        <v>0.15042145076434627</v>
      </c>
      <c r="AU123" s="8">
        <f t="shared" ref="AU123:AU124" si="707">ABS(SQRT(2)*($A$99*2*$D$98/($F$3*$G3^2))*(1-(AP$103*2/($F$3))^$E$98))</f>
        <v>0.13954657480650146</v>
      </c>
      <c r="AV123" s="8">
        <f t="shared" ref="AV123:AV124" si="708">ABS(SQRT(2)*($A$99*2*$D$98/($F$3*$G3^2))*(1-(AQ$103*2/($F$3))^$E$98))</f>
        <v>0.12814643909531975</v>
      </c>
      <c r="AW123" s="8">
        <f t="shared" ref="AW123:AW124" si="709">ABS(SQRT(2)*($A$99*2*$D$98/($F$3*$G3^2))*(1-(AR$103*2/($F$3))^$E$98))</f>
        <v>0.11620941491365877</v>
      </c>
      <c r="AX123" s="8">
        <f t="shared" ref="AX123:AX124" si="710">ABS(SQRT(2)*($A$99*2*$D$98/($F$3*$G3^2))*(1-(AS$103*2/($F$3))^$E$98))</f>
        <v>0.10372390561572555</v>
      </c>
      <c r="AY123" s="8">
        <f t="shared" ref="AY123:AY124" si="711">ABS(SQRT(2)*($A$99*2*$D$98/($F$3*$G3^2))*(1-(AT$103*2/($F$3))^$E$98))</f>
        <v>9.0678345777838468E-2</v>
      </c>
      <c r="AZ123" s="8">
        <f t="shared" ref="AZ123:AZ124" si="712">ABS(SQRT(2)*($A$99*2*$D$98/($F$3*$G3^2))*(1-(AU$103*2/($F$3))^$E$98))</f>
        <v>7.7061200390892148E-2</v>
      </c>
      <c r="BA123" s="8">
        <f t="shared" ref="BA123:BA124" si="713">ABS(SQRT(2)*($A$99*2*$D$98/($F$3*$G3^2))*(1-(AV$103*2/($F$3))^$E$98))</f>
        <v>6.2860964091577501E-2</v>
      </c>
      <c r="BB123" s="8">
        <f t="shared" ref="BB123:BB124" si="714">ABS(SQRT(2)*($A$99*2*$D$98/($F$3*$G3^2))*(1-(AW$103*2/($F$3))^$E$98))</f>
        <v>4.8066160429676617E-2</v>
      </c>
      <c r="BC123" s="8">
        <f t="shared" ref="BC123:BC124" si="715">ABS(SQRT(2)*($A$99*2*$D$98/($F$3*$G3^2))*(1-(AX$103*2/($F$3))^$E$98))</f>
        <v>3.2665341168993015E-2</v>
      </c>
      <c r="BD123" s="8">
        <f t="shared" ref="BD123:BD124" si="716">ABS(SQRT(2)*($A$99*2*$D$98/($F$3*$G3^2))*(1-(AY$103*2/($F$3))^$E$98))</f>
        <v>1.6647085619689486E-2</v>
      </c>
      <c r="BE123" s="8">
        <f t="shared" ref="BE123:BE124" si="717">ABS(SQRT(2)*($A$99*2*$D$98/($F$3*$G3^2))*(1-(AZ$103*2/($F$3))^$E$98))</f>
        <v>1.1091874022251635E-15</v>
      </c>
      <c r="BF123" s="8"/>
      <c r="BG123" s="8">
        <f t="shared" ref="BG123:BG124" si="718">G128/G123</f>
        <v>5.5114304020408067E-2</v>
      </c>
      <c r="BH123" s="8">
        <f t="shared" ref="BH123:BH124" si="719">H128/H123</f>
        <v>8.220252812174432E-2</v>
      </c>
      <c r="BI123" s="8">
        <f t="shared" ref="BI123:BI124" si="720">I128/I123</f>
        <v>0.4527378920344684</v>
      </c>
      <c r="BJ123" s="8">
        <f t="shared" ref="BJ123:BJ124" si="721">J128/J123</f>
        <v>1.036506529675485</v>
      </c>
      <c r="BK123" s="8">
        <f t="shared" ref="BK123:BK124" si="722">K128/K123</f>
        <v>1.8240733893969965</v>
      </c>
      <c r="BL123" s="8">
        <f t="shared" ref="BL123:BL124" si="723">L128/L123</f>
        <v>2.8096243080271393</v>
      </c>
      <c r="BM123" s="8">
        <f t="shared" ref="BM123:BM124" si="724">M128/M123</f>
        <v>3.989457175809235</v>
      </c>
      <c r="BN123" s="8">
        <f t="shared" ref="BN123:BN124" si="725">N128/N123</f>
        <v>5.3614173697181089</v>
      </c>
      <c r="BO123" s="8">
        <f t="shared" ref="BO123:BO124" si="726">O128/O123</f>
        <v>6.9246549021409693</v>
      </c>
      <c r="BP123" s="8">
        <f t="shared" ref="BP123:BP124" si="727">P128/P123</f>
        <v>8.6795247519196383</v>
      </c>
      <c r="BQ123" s="8">
        <f t="shared" ref="BQ123:BQ124" si="728">Q128/Q123</f>
        <v>10.627563585771108</v>
      </c>
      <c r="BR123" s="8">
        <f t="shared" ref="BR123:BR124" si="729">R128/R123</f>
        <v>12.771514157849523</v>
      </c>
      <c r="BS123" s="8">
        <f t="shared" ref="BS123:BS124" si="730">S128/S123</f>
        <v>15.115384381486377</v>
      </c>
      <c r="BT123" s="8">
        <f t="shared" ref="BT123:BT124" si="731">T128/T123</f>
        <v>17.664535577564386</v>
      </c>
      <c r="BU123" s="8">
        <f t="shared" ref="BU123:BU124" si="732">U128/U123</f>
        <v>20.425798534134604</v>
      </c>
      <c r="BV123" s="8">
        <f t="shared" ref="BV123:BV124" si="733">V128/V123</f>
        <v>23.407618663366975</v>
      </c>
      <c r="BW123" s="8">
        <f t="shared" ref="BW123:BW124" si="734">W128/W123</f>
        <v>26.62023356982678</v>
      </c>
      <c r="BX123" s="8">
        <f t="shared" ref="BX123:BX124" si="735">X128/X123</f>
        <v>30.075888190458645</v>
      </c>
      <c r="BY123" s="8">
        <f t="shared" ref="BY123:BY124" si="736">Y128/Y123</f>
        <v>33.789094605140548</v>
      </c>
      <c r="BZ123" s="8">
        <f t="shared" ref="BZ123:BZ124" si="737">Z128/Z123</f>
        <v>37.776945859708164</v>
      </c>
      <c r="CA123" s="8">
        <f t="shared" ref="CA123:CA124" si="738">AA128/AA123</f>
        <v>42.059495898423378</v>
      </c>
      <c r="CB123" s="8">
        <f t="shared" ref="CB123:CB124" si="739">AB128/AB123</f>
        <v>46.660221210363005</v>
      </c>
      <c r="CC123" s="8">
        <f t="shared" ref="CC123:CC124" si="740">AC128/AC123</f>
        <v>51.606584362562096</v>
      </c>
      <c r="CD123" s="8">
        <f t="shared" ref="CD123:CD124" si="741">AD128/AD123</f>
        <v>56.930725640268989</v>
      </c>
      <c r="CE123" s="8">
        <f t="shared" ref="CE123:CE124" si="742">AE128/AE123</f>
        <v>62.670317126814204</v>
      </c>
      <c r="CF123" s="8">
        <f t="shared" ref="CF123:CF124" si="743">AF128/AF123</f>
        <v>68.869624569229828</v>
      </c>
      <c r="CG123" s="8">
        <f t="shared" ref="CG123:CG124" si="744">AG128/AG123</f>
        <v>75.580837507188221</v>
      </c>
      <c r="CH123" s="8">
        <f t="shared" ref="CH123:CH124" si="745">AH128/AH123</f>
        <v>82.865749187457553</v>
      </c>
      <c r="CI123" s="8">
        <f t="shared" ref="CI123:CI124" si="746">AI128/AI123</f>
        <v>90.797897435030791</v>
      </c>
      <c r="CJ123" s="8">
        <f t="shared" ref="CJ123:CJ124" si="747">AJ128/AJ123</f>
        <v>99.465320005039004</v>
      </c>
      <c r="CK123" s="8">
        <f t="shared" ref="CK123:CK124" si="748">AK128/AK123</f>
        <v>108.97413934997114</v>
      </c>
      <c r="CL123" s="8">
        <f t="shared" ref="CL123:CL124" si="749">AL128/AL123</f>
        <v>119.45328223586588</v>
      </c>
      <c r="CM123" s="8">
        <f t="shared" ref="CM123:CM124" si="750">AM128/AM123</f>
        <v>131.06077539003994</v>
      </c>
      <c r="CN123" s="8">
        <f t="shared" ref="CN123:CN124" si="751">AN128/AN123</f>
        <v>143.99226597942632</v>
      </c>
      <c r="CO123" s="8">
        <f t="shared" ref="CO123:CO124" si="752">AO128/AO123</f>
        <v>158.49274012017071</v>
      </c>
      <c r="CP123" s="8">
        <f t="shared" ref="CP123:CP124" si="753">AP128/AP123</f>
        <v>174.87293166250771</v>
      </c>
      <c r="CQ123" s="8">
        <f t="shared" ref="CQ123:CQ124" si="754">AQ128/AQ123</f>
        <v>193.53276620996618</v>
      </c>
      <c r="CR123" s="8">
        <f t="shared" ref="CR123:CR124" si="755">AR128/AR123</f>
        <v>214.9956283890059</v>
      </c>
      <c r="CS123" s="8">
        <f t="shared" ref="CS123:CS124" si="756">AS128/AS123</f>
        <v>239.9597657358232</v>
      </c>
      <c r="CT123" s="8">
        <f t="shared" ref="CT123:CT124" si="757">AT128/AT123</f>
        <v>269.37773411438593</v>
      </c>
      <c r="CU123" s="8">
        <f t="shared" ref="CU123:CU124" si="758">AU128/AU123</f>
        <v>304.58351352025545</v>
      </c>
      <c r="CV123" s="8">
        <f t="shared" ref="CV123:CV124" si="759">AV128/AV123</f>
        <v>347.50437100621087</v>
      </c>
      <c r="CW123" s="8">
        <f t="shared" ref="CW123:CW124" si="760">AW128/AW123</f>
        <v>401.03162421413469</v>
      </c>
      <c r="CX123" s="8">
        <f t="shared" ref="CX123:CX124" si="761">AX128/AX123</f>
        <v>469.70920585134519</v>
      </c>
      <c r="CY123" s="8">
        <f t="shared" ref="CY123:CY124" si="762">AY128/AY123</f>
        <v>561.11079658394806</v>
      </c>
      <c r="CZ123" s="8">
        <f t="shared" ref="CZ123:CZ124" si="763">AZ128/AZ123</f>
        <v>688.86952179576701</v>
      </c>
      <c r="DA123" s="8">
        <f t="shared" ref="DA123:DA124" si="764">BA128/BA123</f>
        <v>880.25219858309038</v>
      </c>
      <c r="DB123" s="8">
        <f t="shared" ref="DB123:DB124" si="765">BB128/BB123</f>
        <v>1198.8820830411266</v>
      </c>
      <c r="DC123" s="8">
        <f t="shared" ref="DC123:DC124" si="766">BC128/BC123</f>
        <v>1835.6298681679616</v>
      </c>
      <c r="DD123" s="8">
        <f t="shared" ref="DD123:DD124" si="767">BD128/BD123</f>
        <v>3744.8506854070019</v>
      </c>
      <c r="DE123" s="8">
        <f t="shared" ref="DE123:DE124" si="768">BE128/BE123</f>
        <v>5.8388401378666496E+16</v>
      </c>
      <c r="DF123" s="8"/>
      <c r="DG123" s="8">
        <v>1.8000000000000001E-4</v>
      </c>
      <c r="DH123" s="8">
        <f t="shared" ref="DH123:DH124" si="769">2*DG123</f>
        <v>3.6000000000000002E-4</v>
      </c>
      <c r="DI123" s="8">
        <f t="shared" ref="DI123:DI124" si="770">DH123/(1.6*10^-3)</f>
        <v>0.22500000000000001</v>
      </c>
      <c r="DJ123" s="8">
        <f t="shared" ref="DJ123:DJ124" si="771">BL28</f>
        <v>0.31578947368421051</v>
      </c>
      <c r="DK123" s="8">
        <f t="shared" ref="DK123:DK124" si="772">DJ123-DI123</f>
        <v>9.0789473684210503E-2</v>
      </c>
      <c r="DL123" s="8"/>
      <c r="DM123" s="8"/>
      <c r="DN123" s="8"/>
      <c r="DO123" s="8"/>
      <c r="DP123" s="8"/>
      <c r="DQ123" s="8"/>
      <c r="DR123" s="8"/>
      <c r="DS123" s="8"/>
      <c r="DT123" s="8"/>
      <c r="DU123" s="8"/>
      <c r="DV123" s="8"/>
      <c r="DW123" s="8"/>
      <c r="DX123" s="8"/>
      <c r="DY123" s="8"/>
      <c r="DZ123" s="8"/>
      <c r="EA123" s="8"/>
      <c r="EB123" s="8"/>
      <c r="EC123" s="8"/>
      <c r="ED123" s="8"/>
      <c r="EE123" s="8"/>
      <c r="EF123" s="8"/>
      <c r="EG123" s="8"/>
      <c r="EH123" s="8"/>
      <c r="EI123" s="8"/>
      <c r="EJ123" s="8"/>
      <c r="EK123" s="8"/>
      <c r="EL123" s="8"/>
      <c r="EM123" s="8"/>
      <c r="EN123" s="8"/>
      <c r="EO123" s="8"/>
      <c r="EP123" s="8"/>
      <c r="EQ123" s="8"/>
      <c r="ER123" s="8"/>
      <c r="ES123" s="8"/>
      <c r="ET123" s="8"/>
      <c r="EU123" s="8"/>
      <c r="EV123" s="8"/>
      <c r="EW123" s="8"/>
      <c r="EX123" s="8"/>
      <c r="EY123" s="8"/>
      <c r="EZ123" s="8"/>
      <c r="FA123" s="8"/>
      <c r="FB123" s="8"/>
      <c r="FC123" s="8"/>
      <c r="FD123" s="8"/>
      <c r="FE123" s="8"/>
      <c r="FF123" s="8"/>
      <c r="FG123" s="8"/>
      <c r="FH123" s="8"/>
      <c r="FI123" s="8"/>
      <c r="FJ123" s="8"/>
      <c r="FK123" s="8"/>
      <c r="FL123" s="8"/>
      <c r="FM123" s="8"/>
    </row>
    <row r="124" spans="7:169" x14ac:dyDescent="0.25">
      <c r="G124" s="8">
        <f t="shared" si="667"/>
        <v>0.12143523819897023</v>
      </c>
      <c r="H124" s="8">
        <f t="shared" si="668"/>
        <v>0.12143372543579892</v>
      </c>
      <c r="I124" s="8">
        <f t="shared" si="669"/>
        <v>0.12142404943628565</v>
      </c>
      <c r="J124" s="8">
        <f t="shared" si="670"/>
        <v>0.12139917028873518</v>
      </c>
      <c r="K124" s="8">
        <f t="shared" si="671"/>
        <v>0.12135248340113709</v>
      </c>
      <c r="L124" s="8">
        <f t="shared" si="672"/>
        <v>0.12127763962763284</v>
      </c>
      <c r="M124" s="8">
        <f t="shared" si="673"/>
        <v>0.12116847120212605</v>
      </c>
      <c r="N124" s="8">
        <f t="shared" si="674"/>
        <v>0.1210189504915746</v>
      </c>
      <c r="O124" s="8">
        <f t="shared" si="675"/>
        <v>0.12082316367764294</v>
      </c>
      <c r="P124" s="8">
        <f t="shared" si="676"/>
        <v>0.120575292522482</v>
      </c>
      <c r="Q124" s="8">
        <f t="shared" si="677"/>
        <v>0.12026960100766559</v>
      </c>
      <c r="R124" s="8">
        <f t="shared" si="678"/>
        <v>0.11990042513597121</v>
      </c>
      <c r="S124" s="8">
        <f t="shared" si="679"/>
        <v>0.11946216490080865</v>
      </c>
      <c r="T124" s="8">
        <f t="shared" si="680"/>
        <v>0.11894927780488074</v>
      </c>
      <c r="U124" s="8">
        <f t="shared" si="681"/>
        <v>0.11835627352368473</v>
      </c>
      <c r="V124" s="8">
        <f t="shared" si="682"/>
        <v>0.11767770943838743</v>
      </c>
      <c r="W124" s="8">
        <f t="shared" si="683"/>
        <v>0.1169081868440332</v>
      </c>
      <c r="X124" s="8">
        <f t="shared" si="684"/>
        <v>0.11604234769251408</v>
      </c>
      <c r="Y124" s="8">
        <f t="shared" si="685"/>
        <v>0.11507487176601339</v>
      </c>
      <c r="Z124" s="8">
        <f t="shared" si="686"/>
        <v>0.1140004742019497</v>
      </c>
      <c r="AA124" s="8">
        <f t="shared" si="687"/>
        <v>0.11281390330854282</v>
      </c>
      <c r="AB124" s="8">
        <f t="shared" si="688"/>
        <v>0.11150993862333232</v>
      </c>
      <c r="AC124" s="8">
        <f t="shared" si="689"/>
        <v>0.11008338917679972</v>
      </c>
      <c r="AD124" s="8">
        <f t="shared" si="690"/>
        <v>0.10852909193067121</v>
      </c>
      <c r="AE124" s="8">
        <f t="shared" si="691"/>
        <v>0.10684191036617163</v>
      </c>
      <c r="AF124" s="8">
        <f t="shared" si="692"/>
        <v>0.10501673320192789</v>
      </c>
      <c r="AG124" s="8">
        <f t="shared" si="693"/>
        <v>0.10304847322470211</v>
      </c>
      <c r="AH124" s="8">
        <f t="shared" si="694"/>
        <v>0.10093206621890372</v>
      </c>
      <c r="AI124" s="8">
        <f t="shared" si="695"/>
        <v>9.8662469983053849E-2</v>
      </c>
      <c r="AJ124" s="8">
        <f t="shared" si="696"/>
        <v>9.6234663423177519E-2</v>
      </c>
      <c r="AK124" s="8">
        <f t="shared" si="697"/>
        <v>9.3643645714572163E-2</v>
      </c>
      <c r="AL124" s="8">
        <f t="shared" si="698"/>
        <v>9.0884435524614518E-2</v>
      </c>
      <c r="AM124" s="8">
        <f t="shared" si="699"/>
        <v>8.7952070290273174E-2</v>
      </c>
      <c r="AN124" s="8">
        <f t="shared" si="700"/>
        <v>8.4841605544835455E-2</v>
      </c>
      <c r="AO124" s="8">
        <f t="shared" si="701"/>
        <v>8.1548114289062321E-2</v>
      </c>
      <c r="AP124" s="8">
        <f>ABS(SQRT(2)*($A$99*2*$D$98/($F$3*$G4^2))*(1-(AK$103*2/($F$3))^$E$98))</f>
        <v>7.806668640258195E-2</v>
      </c>
      <c r="AQ124" s="8">
        <f t="shared" si="703"/>
        <v>7.4392428091838839E-2</v>
      </c>
      <c r="AR124" s="8">
        <f t="shared" si="704"/>
        <v>7.0520461371348944E-2</v>
      </c>
      <c r="AS124" s="8">
        <f t="shared" si="705"/>
        <v>6.6445923575381774E-2</v>
      </c>
      <c r="AT124" s="8">
        <f t="shared" si="706"/>
        <v>6.2163966897510428E-2</v>
      </c>
      <c r="AU124" s="8">
        <f t="shared" si="707"/>
        <v>5.7669757955748038E-2</v>
      </c>
      <c r="AV124" s="8">
        <f t="shared" si="708"/>
        <v>5.2958477381229066E-2</v>
      </c>
      <c r="AW124" s="8">
        <f t="shared" si="709"/>
        <v>4.8025319428603865E-2</v>
      </c>
      <c r="AX124" s="8">
        <f t="shared" si="710"/>
        <v>4.2865491606498815E-2</v>
      </c>
      <c r="AY124" s="8">
        <f t="shared" si="711"/>
        <v>3.7474214326555684E-2</v>
      </c>
      <c r="AZ124" s="8">
        <f t="shared" si="712"/>
        <v>3.1846720569705417E-2</v>
      </c>
      <c r="BA124" s="8">
        <f t="shared" si="713"/>
        <v>2.5978255568458043E-2</v>
      </c>
      <c r="BB124" s="8">
        <f t="shared" si="714"/>
        <v>1.9864076504101044E-2</v>
      </c>
      <c r="BC124" s="8">
        <f t="shared" si="715"/>
        <v>1.3499452217798131E-2</v>
      </c>
      <c r="BD124" s="8">
        <f t="shared" si="716"/>
        <v>6.8796629346675924E-3</v>
      </c>
      <c r="BE124" s="8">
        <f t="shared" si="717"/>
        <v>4.5838867132774607E-16</v>
      </c>
      <c r="BF124" s="8"/>
      <c r="BG124" s="8">
        <f t="shared" si="718"/>
        <v>8.5733361809523664E-2</v>
      </c>
      <c r="BH124" s="8">
        <f t="shared" si="719"/>
        <v>0.12787059930049116</v>
      </c>
      <c r="BI124" s="8">
        <f t="shared" si="720"/>
        <v>0.7042589431647287</v>
      </c>
      <c r="BJ124" s="8">
        <f t="shared" si="721"/>
        <v>1.6123434906063103</v>
      </c>
      <c r="BK124" s="8">
        <f t="shared" si="722"/>
        <v>2.8374474946175501</v>
      </c>
      <c r="BL124" s="8">
        <f t="shared" si="723"/>
        <v>4.3705267013755495</v>
      </c>
      <c r="BM124" s="8">
        <f t="shared" si="724"/>
        <v>6.2058222734810329</v>
      </c>
      <c r="BN124" s="8">
        <f t="shared" si="725"/>
        <v>8.3399825751170589</v>
      </c>
      <c r="BO124" s="8">
        <f t="shared" si="726"/>
        <v>10.771685403330396</v>
      </c>
      <c r="BP124" s="8">
        <f t="shared" si="727"/>
        <v>13.501482947430549</v>
      </c>
      <c r="BQ124" s="8">
        <f t="shared" si="728"/>
        <v>16.531765577866167</v>
      </c>
      <c r="BR124" s="8">
        <f t="shared" si="729"/>
        <v>19.866799801099265</v>
      </c>
      <c r="BS124" s="8">
        <f t="shared" si="730"/>
        <v>23.512820148978808</v>
      </c>
      <c r="BT124" s="8">
        <f t="shared" si="731"/>
        <v>27.478166453989047</v>
      </c>
      <c r="BU124" s="8">
        <f t="shared" si="732"/>
        <v>31.773464386431602</v>
      </c>
      <c r="BV124" s="8">
        <f t="shared" si="733"/>
        <v>36.411851254126404</v>
      </c>
      <c r="BW124" s="8">
        <f t="shared" si="734"/>
        <v>41.409252219730547</v>
      </c>
      <c r="BX124" s="8">
        <f t="shared" si="735"/>
        <v>46.784714962935674</v>
      </c>
      <c r="BY124" s="8">
        <f t="shared" si="736"/>
        <v>52.560813830218635</v>
      </c>
      <c r="BZ124" s="8">
        <f t="shared" si="737"/>
        <v>58.764138003990482</v>
      </c>
      <c r="CA124" s="8">
        <f t="shared" si="738"/>
        <v>65.425882508658589</v>
      </c>
      <c r="CB124" s="8">
        <f t="shared" si="739"/>
        <v>72.582566327231348</v>
      </c>
      <c r="CC124" s="8">
        <f t="shared" si="740"/>
        <v>80.276909008429939</v>
      </c>
      <c r="CD124" s="8">
        <f t="shared" si="741"/>
        <v>88.558906551529532</v>
      </c>
      <c r="CE124" s="8">
        <f t="shared" si="742"/>
        <v>97.487159975044335</v>
      </c>
      <c r="CF124" s="8">
        <f t="shared" si="743"/>
        <v>107.13052710769087</v>
      </c>
      <c r="CG124" s="8">
        <f t="shared" si="744"/>
        <v>117.57019167784836</v>
      </c>
      <c r="CH124" s="8">
        <f t="shared" si="745"/>
        <v>128.90227651382287</v>
      </c>
      <c r="CI124" s="8">
        <f t="shared" si="746"/>
        <v>141.24117378782566</v>
      </c>
      <c r="CJ124" s="8">
        <f t="shared" si="747"/>
        <v>154.72383111894956</v>
      </c>
      <c r="CK124" s="8">
        <f t="shared" si="748"/>
        <v>169.51532787773291</v>
      </c>
      <c r="CL124" s="8">
        <f t="shared" si="749"/>
        <v>185.81621681134695</v>
      </c>
      <c r="CM124" s="8">
        <f t="shared" si="750"/>
        <v>203.87231727339548</v>
      </c>
      <c r="CN124" s="8">
        <f t="shared" si="751"/>
        <v>223.98796930132988</v>
      </c>
      <c r="CO124" s="8">
        <f t="shared" si="752"/>
        <v>246.5442624091545</v>
      </c>
      <c r="CP124" s="8">
        <f t="shared" si="753"/>
        <v>272.02456036390095</v>
      </c>
      <c r="CQ124" s="8">
        <f t="shared" si="754"/>
        <v>301.05096965994738</v>
      </c>
      <c r="CR124" s="8">
        <f t="shared" si="755"/>
        <v>334.43764416067586</v>
      </c>
      <c r="CS124" s="8">
        <f t="shared" si="756"/>
        <v>373.27074670016947</v>
      </c>
      <c r="CT124" s="8">
        <f t="shared" si="757"/>
        <v>419.0320308446004</v>
      </c>
      <c r="CU124" s="8">
        <f t="shared" si="758"/>
        <v>473.79657658706401</v>
      </c>
      <c r="CV124" s="8">
        <f t="shared" si="759"/>
        <v>540.56235489855032</v>
      </c>
      <c r="CW124" s="8">
        <f t="shared" si="760"/>
        <v>623.82697099976519</v>
      </c>
      <c r="CX124" s="8">
        <f t="shared" si="761"/>
        <v>730.65876465764802</v>
      </c>
      <c r="CY124" s="8">
        <f t="shared" si="762"/>
        <v>872.83901690836376</v>
      </c>
      <c r="CZ124" s="8">
        <f t="shared" si="763"/>
        <v>1071.5748116823042</v>
      </c>
      <c r="DA124" s="8">
        <f t="shared" si="764"/>
        <v>1369.2811977959184</v>
      </c>
      <c r="DB124" s="8">
        <f t="shared" si="765"/>
        <v>1864.9276847306419</v>
      </c>
      <c r="DC124" s="8">
        <f t="shared" si="766"/>
        <v>2855.4242393723848</v>
      </c>
      <c r="DD124" s="8">
        <f t="shared" si="767"/>
        <v>5825.323288410892</v>
      </c>
      <c r="DE124" s="8">
        <f t="shared" si="768"/>
        <v>9.082640214459232E+16</v>
      </c>
      <c r="DF124" s="8"/>
      <c r="DG124" s="8">
        <f>0.000175</f>
        <v>1.75E-4</v>
      </c>
      <c r="DH124" s="8">
        <f t="shared" si="769"/>
        <v>3.5E-4</v>
      </c>
      <c r="DI124" s="8">
        <f t="shared" si="770"/>
        <v>0.21875</v>
      </c>
      <c r="DJ124" s="8">
        <f t="shared" si="771"/>
        <v>5.5555555555555552E-2</v>
      </c>
      <c r="DK124" s="8">
        <f t="shared" si="772"/>
        <v>-0.16319444444444445</v>
      </c>
      <c r="DL124" s="8"/>
      <c r="DM124" s="8"/>
      <c r="DN124" s="8"/>
      <c r="DO124" s="8"/>
      <c r="DP124" s="8"/>
      <c r="DQ124" s="8"/>
      <c r="DR124" s="8"/>
      <c r="DS124" s="8"/>
      <c r="DT124" s="8"/>
      <c r="DU124" s="8"/>
      <c r="DV124" s="8"/>
      <c r="DW124" s="8"/>
      <c r="DX124" s="8"/>
      <c r="DY124" s="8"/>
      <c r="DZ124" s="8"/>
      <c r="EA124" s="8"/>
      <c r="EB124" s="8"/>
      <c r="EC124" s="8"/>
      <c r="ED124" s="8"/>
      <c r="EE124" s="8"/>
      <c r="EF124" s="8"/>
      <c r="EG124" s="8"/>
      <c r="EH124" s="8"/>
      <c r="EI124" s="8"/>
      <c r="EJ124" s="8"/>
      <c r="EK124" s="8"/>
      <c r="EL124" s="8"/>
      <c r="EM124" s="8"/>
      <c r="EN124" s="8"/>
      <c r="EO124" s="8"/>
      <c r="EP124" s="8"/>
      <c r="EQ124" s="8"/>
      <c r="ER124" s="8"/>
      <c r="ES124" s="8"/>
      <c r="ET124" s="8"/>
      <c r="EU124" s="8"/>
      <c r="EV124" s="8"/>
      <c r="EW124" s="8"/>
      <c r="EX124" s="8"/>
      <c r="EY124" s="8"/>
      <c r="EZ124" s="8"/>
      <c r="FA124" s="8"/>
      <c r="FB124" s="8"/>
      <c r="FC124" s="8"/>
      <c r="FD124" s="8"/>
      <c r="FE124" s="8"/>
      <c r="FF124" s="8"/>
      <c r="FG124" s="8"/>
      <c r="FH124" s="8"/>
      <c r="FI124" s="8"/>
      <c r="FJ124" s="8"/>
      <c r="FK124" s="8"/>
      <c r="FL124" s="8"/>
      <c r="FM124" s="8"/>
    </row>
    <row r="125" spans="7:169" x14ac:dyDescent="0.25">
      <c r="G125" s="8"/>
      <c r="H125" s="8"/>
      <c r="I125" s="8"/>
      <c r="J125" s="8"/>
      <c r="K125" s="8"/>
      <c r="L125" s="8"/>
      <c r="M125" s="8"/>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c r="BC125" s="8"/>
      <c r="BD125" s="8"/>
      <c r="BE125" s="8"/>
      <c r="BF125" s="8"/>
      <c r="BG125" s="8"/>
      <c r="BH125" s="8"/>
      <c r="BI125" s="8"/>
      <c r="BJ125" s="8"/>
      <c r="BK125" s="8"/>
      <c r="BL125" s="8"/>
      <c r="BM125" s="8"/>
      <c r="BN125" s="8"/>
      <c r="BO125" s="8"/>
      <c r="BP125" s="8"/>
      <c r="BQ125" s="8"/>
      <c r="BR125" s="8"/>
      <c r="BS125" s="8"/>
      <c r="BT125" s="8"/>
      <c r="BU125" s="8"/>
      <c r="BV125" s="8"/>
      <c r="BW125" s="8"/>
      <c r="BX125" s="8"/>
      <c r="BY125" s="8"/>
      <c r="BZ125" s="8"/>
      <c r="CA125" s="8"/>
      <c r="CB125" s="8"/>
      <c r="CC125" s="8"/>
      <c r="CD125" s="8"/>
      <c r="CE125" s="8"/>
      <c r="CF125" s="8"/>
      <c r="CG125" s="8"/>
      <c r="CH125" s="8"/>
      <c r="CI125" s="8"/>
      <c r="CJ125" s="8"/>
      <c r="CK125" s="8"/>
      <c r="CL125" s="8"/>
      <c r="CM125" s="8"/>
      <c r="CN125" s="8"/>
      <c r="CO125" s="8"/>
      <c r="CP125" s="8"/>
      <c r="CQ125" s="8"/>
      <c r="CR125" s="8"/>
      <c r="CS125" s="8"/>
      <c r="CT125" s="8"/>
      <c r="CU125" s="8"/>
      <c r="CV125" s="8"/>
      <c r="CW125" s="8"/>
      <c r="CX125" s="8"/>
      <c r="CY125" s="8"/>
      <c r="CZ125" s="8"/>
      <c r="DA125" s="8"/>
      <c r="DB125" s="8"/>
      <c r="DC125" s="8"/>
      <c r="DD125" s="8"/>
      <c r="DE125" s="8"/>
      <c r="DF125" s="8"/>
      <c r="DG125" s="8"/>
      <c r="DH125" s="8"/>
      <c r="DI125" s="8"/>
      <c r="DJ125" s="8"/>
      <c r="DK125" s="8"/>
      <c r="DL125" s="8"/>
      <c r="DM125" s="8"/>
      <c r="DN125" s="8"/>
      <c r="DO125" s="8"/>
      <c r="DP125" s="8"/>
      <c r="DQ125" s="8"/>
      <c r="DR125" s="8"/>
      <c r="DS125" s="8"/>
      <c r="DT125" s="8"/>
      <c r="DU125" s="8"/>
      <c r="DV125" s="8"/>
      <c r="DW125" s="8"/>
      <c r="DX125" s="8"/>
      <c r="DY125" s="8"/>
      <c r="DZ125" s="8"/>
      <c r="EA125" s="8"/>
      <c r="EB125" s="8"/>
      <c r="EC125" s="8"/>
      <c r="ED125" s="8"/>
      <c r="EE125" s="8"/>
      <c r="EF125" s="8"/>
      <c r="EG125" s="8"/>
      <c r="EH125" s="8"/>
      <c r="EI125" s="8"/>
      <c r="EJ125" s="8"/>
      <c r="EK125" s="8"/>
      <c r="EL125" s="8"/>
      <c r="EM125" s="8"/>
      <c r="EN125" s="8"/>
      <c r="EO125" s="8"/>
      <c r="EP125" s="8"/>
      <c r="EQ125" s="8"/>
      <c r="ER125" s="8"/>
      <c r="ES125" s="8"/>
      <c r="ET125" s="8"/>
      <c r="EU125" s="8"/>
      <c r="EV125" s="8"/>
      <c r="EW125" s="8"/>
      <c r="EX125" s="8"/>
      <c r="EY125" s="8"/>
      <c r="EZ125" s="8"/>
      <c r="FA125" s="8"/>
      <c r="FB125" s="8"/>
      <c r="FC125" s="8"/>
      <c r="FD125" s="8"/>
      <c r="FE125" s="8"/>
      <c r="FF125" s="8"/>
      <c r="FG125" s="8"/>
      <c r="FH125" s="8"/>
      <c r="FI125" s="8"/>
      <c r="FJ125" s="8"/>
      <c r="FK125" s="8"/>
      <c r="FL125" s="8"/>
      <c r="FM125" s="8"/>
    </row>
    <row r="126" spans="7:169" x14ac:dyDescent="0.25">
      <c r="G126" s="10" t="s">
        <v>136</v>
      </c>
      <c r="H126" s="8"/>
      <c r="I126" s="8"/>
      <c r="J126" s="8"/>
      <c r="K126" s="8"/>
      <c r="L126" s="8"/>
      <c r="M126" s="8"/>
      <c r="N126" s="8"/>
      <c r="O126" s="8"/>
      <c r="P126" s="8"/>
      <c r="Q126" s="8"/>
      <c r="R126" s="8"/>
      <c r="S126" s="8"/>
      <c r="T126" s="8"/>
      <c r="U126" s="8"/>
      <c r="V126" s="8"/>
      <c r="W126" s="8"/>
      <c r="X126" s="8"/>
      <c r="Y126" s="8"/>
      <c r="Z126" s="8"/>
      <c r="AA126" s="8"/>
      <c r="AB126" s="8"/>
      <c r="AC126" s="8"/>
      <c r="AD126" s="8"/>
      <c r="AE126" s="8"/>
      <c r="AF126" s="8"/>
      <c r="AG126" s="8"/>
      <c r="AH126" s="8"/>
      <c r="AI126" s="8"/>
      <c r="AJ126" s="8"/>
      <c r="AK126" s="8"/>
      <c r="AL126" s="8"/>
      <c r="AM126" s="8"/>
      <c r="AN126" s="8"/>
      <c r="AO126" s="8"/>
      <c r="AP126" s="8"/>
      <c r="AQ126" s="8"/>
      <c r="AR126" s="8"/>
      <c r="AS126" s="8"/>
      <c r="AT126" s="8"/>
      <c r="AU126" s="8"/>
      <c r="AV126" s="8"/>
      <c r="AW126" s="8"/>
      <c r="AX126" s="8"/>
      <c r="AY126" s="8"/>
      <c r="AZ126" s="8"/>
      <c r="BA126" s="8"/>
      <c r="BB126" s="8"/>
      <c r="BC126" s="8"/>
      <c r="BD126" s="8"/>
      <c r="BE126" s="8"/>
      <c r="BF126" s="8"/>
      <c r="BG126" s="8">
        <f>BG123/BG122</f>
        <v>2.25</v>
      </c>
      <c r="BH126" s="8"/>
      <c r="BI126" s="8"/>
      <c r="BJ126" s="8"/>
      <c r="BK126" s="8"/>
      <c r="BL126" s="8"/>
      <c r="BM126" s="8"/>
      <c r="BN126" s="8"/>
      <c r="BO126" s="8"/>
      <c r="BP126" s="8"/>
      <c r="BQ126" s="8"/>
      <c r="BR126" s="8"/>
      <c r="BS126" s="8"/>
      <c r="BT126" s="8"/>
      <c r="BU126" s="8"/>
      <c r="BV126" s="8"/>
      <c r="BW126" s="8"/>
      <c r="BX126" s="8"/>
      <c r="BY126" s="8"/>
      <c r="BZ126" s="8"/>
      <c r="CA126" s="8"/>
      <c r="CB126" s="8"/>
      <c r="CC126" s="8"/>
      <c r="CD126" s="8"/>
      <c r="CE126" s="8"/>
      <c r="CF126" s="8"/>
      <c r="CG126" s="8"/>
      <c r="CH126" s="8"/>
      <c r="CI126" s="8"/>
      <c r="CJ126" s="8"/>
      <c r="CK126" s="8"/>
      <c r="CL126" s="8"/>
      <c r="CM126" s="8"/>
      <c r="CN126" s="8"/>
      <c r="CO126" s="8"/>
      <c r="CP126" s="8"/>
      <c r="CQ126" s="8"/>
      <c r="CR126" s="8"/>
      <c r="CS126" s="8"/>
      <c r="CT126" s="8"/>
      <c r="CU126" s="8"/>
      <c r="CV126" s="8"/>
      <c r="CW126" s="8"/>
      <c r="CX126" s="8"/>
      <c r="CY126" s="8"/>
      <c r="CZ126" s="8"/>
      <c r="DA126" s="8"/>
      <c r="DB126" s="8"/>
      <c r="DC126" s="8"/>
      <c r="DD126" s="8"/>
      <c r="DE126" s="8"/>
      <c r="DF126" s="8"/>
      <c r="DG126" s="8"/>
      <c r="DH126" s="8"/>
      <c r="DI126" s="8"/>
      <c r="DJ126" s="8"/>
      <c r="DK126" s="8"/>
      <c r="DL126" s="8"/>
      <c r="DM126" s="8"/>
      <c r="DN126" s="8"/>
      <c r="DO126" s="8"/>
      <c r="DP126" s="8"/>
      <c r="DQ126" s="8"/>
      <c r="DR126" s="8"/>
      <c r="DS126" s="8"/>
      <c r="DT126" s="8"/>
      <c r="DU126" s="8"/>
      <c r="DV126" s="8"/>
      <c r="DW126" s="8"/>
      <c r="DX126" s="8"/>
      <c r="DY126" s="8"/>
      <c r="DZ126" s="8"/>
      <c r="EA126" s="8"/>
      <c r="EB126" s="8"/>
      <c r="EC126" s="8"/>
      <c r="ED126" s="8"/>
      <c r="EE126" s="8"/>
      <c r="EF126" s="8"/>
      <c r="EG126" s="8"/>
      <c r="EH126" s="8"/>
      <c r="EI126" s="8"/>
      <c r="EJ126" s="8"/>
      <c r="EK126" s="8"/>
      <c r="EL126" s="8"/>
      <c r="EM126" s="8"/>
      <c r="EN126" s="8"/>
      <c r="EO126" s="8"/>
      <c r="EP126" s="8"/>
      <c r="EQ126" s="8"/>
      <c r="ER126" s="8"/>
      <c r="ES126" s="8"/>
      <c r="ET126" s="8"/>
      <c r="EU126" s="8"/>
      <c r="EV126" s="8"/>
      <c r="EW126" s="8"/>
      <c r="EX126" s="8"/>
      <c r="EY126" s="8"/>
      <c r="EZ126" s="8"/>
      <c r="FA126" s="8"/>
      <c r="FB126" s="8"/>
      <c r="FC126" s="8"/>
      <c r="FD126" s="8"/>
      <c r="FE126" s="8"/>
      <c r="FF126" s="8"/>
      <c r="FG126" s="8"/>
      <c r="FH126" s="8"/>
      <c r="FI126" s="8"/>
      <c r="FJ126" s="8"/>
      <c r="FK126" s="8"/>
      <c r="FL126" s="8"/>
      <c r="FM126" s="8"/>
    </row>
    <row r="127" spans="7:169" x14ac:dyDescent="0.25">
      <c r="G127" s="8">
        <f>ABS(($A$99*2/($G2*$F$3))*$B$98*$F$98*(1-(B$103^$F$98)/(($F$3/2)^$E$98)))</f>
        <v>3.6438679245283018E-2</v>
      </c>
      <c r="H127" s="8">
        <f t="shared" ref="H127:BE127" si="773">ABS(($A$99*2/($G2*$F$3))*$B$98*$F$98*(1-(C$103^$F$98)/(($F$3/2)^$E$98)))</f>
        <v>5.4347311363684175E-2</v>
      </c>
      <c r="I127" s="8">
        <f t="shared" si="773"/>
        <v>0.29929890455773112</v>
      </c>
      <c r="J127" s="8">
        <f t="shared" si="773"/>
        <v>0.68508006693017209</v>
      </c>
      <c r="K127" s="8">
        <f t="shared" si="773"/>
        <v>1.20515954997261</v>
      </c>
      <c r="L127" s="8">
        <f t="shared" si="773"/>
        <v>1.8551650679532981</v>
      </c>
      <c r="M127" s="8">
        <f t="shared" si="773"/>
        <v>2.6318249910042968</v>
      </c>
      <c r="N127" s="8">
        <f t="shared" si="773"/>
        <v>3.5325357842554017</v>
      </c>
      <c r="O127" s="8">
        <f t="shared" si="773"/>
        <v>4.5551418799973309</v>
      </c>
      <c r="P127" s="8">
        <f t="shared" si="773"/>
        <v>5.6978083955580949</v>
      </c>
      <c r="Q127" s="8">
        <f t="shared" si="773"/>
        <v>6.9589409750077866</v>
      </c>
      <c r="R127" s="8">
        <f t="shared" si="773"/>
        <v>8.3371320978506063</v>
      </c>
      <c r="S127" s="8">
        <f t="shared" si="773"/>
        <v>9.8311233927212722</v>
      </c>
      <c r="T127" s="8">
        <f t="shared" si="773"/>
        <v>11.439778192865045</v>
      </c>
      <c r="U127" s="8">
        <f t="shared" si="773"/>
        <v>13.162060946004443</v>
      </c>
      <c r="V127" s="8">
        <f t="shared" si="773"/>
        <v>14.997021381989049</v>
      </c>
      <c r="W127" s="8">
        <f t="shared" si="773"/>
        <v>16.943782084515849</v>
      </c>
      <c r="X127" s="8">
        <f t="shared" si="773"/>
        <v>19.00152856148452</v>
      </c>
      <c r="Y127" s="8">
        <f t="shared" si="773"/>
        <v>21.169501190003995</v>
      </c>
      <c r="Z127" s="8">
        <f t="shared" si="773"/>
        <v>23.446988594833055</v>
      </c>
      <c r="AA127" s="8">
        <f t="shared" si="773"/>
        <v>25.833322141227629</v>
      </c>
      <c r="AB127" s="8">
        <f t="shared" si="773"/>
        <v>28.327871306957306</v>
      </c>
      <c r="AC127" s="8">
        <f t="shared" si="773"/>
        <v>30.930039756999363</v>
      </c>
      <c r="AD127" s="8">
        <f t="shared" si="773"/>
        <v>33.639261986437354</v>
      </c>
      <c r="AE127" s="8">
        <f t="shared" si="773"/>
        <v>36.455000427672132</v>
      </c>
      <c r="AF127" s="8">
        <f t="shared" si="773"/>
        <v>39.376742940675967</v>
      </c>
      <c r="AG127" s="8">
        <f t="shared" si="773"/>
        <v>42.404000621982483</v>
      </c>
      <c r="AH127" s="8">
        <f t="shared" si="773"/>
        <v>45.536305881012133</v>
      </c>
      <c r="AI127" s="8">
        <f t="shared" si="773"/>
        <v>48.773210742244252</v>
      </c>
      <c r="AJ127" s="8">
        <f t="shared" si="773"/>
        <v>52.11428533946836</v>
      </c>
      <c r="AK127" s="8">
        <f t="shared" si="773"/>
        <v>55.55911657440187</v>
      </c>
      <c r="AL127" s="8">
        <f t="shared" si="773"/>
        <v>59.107306916765303</v>
      </c>
      <c r="AM127" s="8">
        <f t="shared" si="773"/>
        <v>62.758473326746945</v>
      </c>
      <c r="AN127" s="8">
        <f t="shared" si="773"/>
        <v>66.512246283882504</v>
      </c>
      <c r="AO127" s="8">
        <f t="shared" si="773"/>
        <v>70.368268908890059</v>
      </c>
      <c r="AP127" s="8">
        <f t="shared" si="773"/>
        <v>74.326196167051094</v>
      </c>
      <c r="AQ127" s="8">
        <f t="shared" si="773"/>
        <v>78.385694143420992</v>
      </c>
      <c r="AR127" s="8">
        <f t="shared" si="773"/>
        <v>82.546439381552617</v>
      </c>
      <c r="AS127" s="8">
        <f t="shared" si="773"/>
        <v>86.808118278578021</v>
      </c>
      <c r="AT127" s="8">
        <f t="shared" si="773"/>
        <v>91.17042653047109</v>
      </c>
      <c r="AU127" s="8">
        <f t="shared" si="773"/>
        <v>95.633068622133081</v>
      </c>
      <c r="AV127" s="8">
        <f t="shared" si="773"/>
        <v>100.1957573576358</v>
      </c>
      <c r="AW127" s="8">
        <f t="shared" si="773"/>
        <v>104.85821342654745</v>
      </c>
      <c r="AX127" s="8">
        <f t="shared" si="773"/>
        <v>109.62016500276523</v>
      </c>
      <c r="AY127" s="8">
        <f t="shared" si="773"/>
        <v>114.48134737271468</v>
      </c>
      <c r="AZ127" s="8">
        <f t="shared" si="773"/>
        <v>119.44150259013369</v>
      </c>
      <c r="BA127" s="8">
        <f t="shared" si="773"/>
        <v>124.50037915499352</v>
      </c>
      <c r="BB127" s="8">
        <f t="shared" si="773"/>
        <v>129.65773171436928</v>
      </c>
      <c r="BC127" s="8">
        <f t="shared" si="773"/>
        <v>134.9133207833253</v>
      </c>
      <c r="BD127" s="8">
        <f t="shared" si="773"/>
        <v>140.26691248407724</v>
      </c>
      <c r="BE127" s="8">
        <f t="shared" si="773"/>
        <v>145.7182783018873</v>
      </c>
      <c r="BF127" s="8"/>
      <c r="BG127" s="8">
        <f>BG124/BG123</f>
        <v>1.5555555555555556</v>
      </c>
      <c r="BH127" s="8"/>
      <c r="BI127" s="8"/>
      <c r="BJ127" s="8"/>
      <c r="BK127" s="8"/>
      <c r="BL127" s="8"/>
      <c r="BM127" s="8"/>
      <c r="BN127" s="8"/>
      <c r="BO127" s="8"/>
      <c r="BP127" s="8"/>
      <c r="BQ127" s="8"/>
      <c r="BR127" s="8"/>
      <c r="BS127" s="8"/>
      <c r="BT127" s="8"/>
      <c r="BU127" s="8"/>
      <c r="BV127" s="8"/>
      <c r="BW127" s="8"/>
      <c r="BX127" s="8"/>
      <c r="BY127" s="8"/>
      <c r="BZ127" s="8"/>
      <c r="CA127" s="8"/>
      <c r="CB127" s="8"/>
      <c r="CC127" s="8"/>
      <c r="CD127" s="8"/>
      <c r="CE127" s="8"/>
      <c r="CF127" s="8"/>
      <c r="CG127" s="8"/>
      <c r="CH127" s="8"/>
      <c r="CI127" s="8"/>
      <c r="CJ127" s="8"/>
      <c r="CK127" s="8"/>
      <c r="CL127" s="8"/>
      <c r="CM127" s="8"/>
      <c r="CN127" s="8"/>
      <c r="CO127" s="8"/>
      <c r="CP127" s="8"/>
      <c r="CQ127" s="8"/>
      <c r="CR127" s="8"/>
      <c r="CS127" s="8"/>
      <c r="CT127" s="8"/>
      <c r="CU127" s="8"/>
      <c r="CV127" s="8"/>
      <c r="CW127" s="8"/>
      <c r="CX127" s="8"/>
      <c r="CY127" s="8"/>
      <c r="CZ127" s="8"/>
      <c r="DA127" s="8"/>
      <c r="DB127" s="8"/>
      <c r="DC127" s="8"/>
      <c r="DD127" s="8"/>
      <c r="DE127" s="8"/>
      <c r="DF127" s="8"/>
      <c r="DG127" s="8"/>
      <c r="DH127" s="8"/>
      <c r="DI127" s="8"/>
      <c r="DJ127" s="8"/>
      <c r="DK127" s="8"/>
      <c r="DL127" s="8"/>
      <c r="DM127" s="8"/>
      <c r="DN127" s="8"/>
      <c r="DO127" s="8"/>
      <c r="DP127" s="8"/>
      <c r="DQ127" s="8"/>
      <c r="DR127" s="8"/>
      <c r="DS127" s="8"/>
      <c r="DT127" s="8"/>
      <c r="DU127" s="8"/>
      <c r="DV127" s="8"/>
      <c r="DW127" s="8"/>
      <c r="DX127" s="8"/>
      <c r="DY127" s="8"/>
      <c r="DZ127" s="8"/>
      <c r="EA127" s="8"/>
      <c r="EB127" s="8"/>
      <c r="EC127" s="8"/>
      <c r="ED127" s="8"/>
      <c r="EE127" s="8"/>
      <c r="EF127" s="8"/>
      <c r="EG127" s="8"/>
      <c r="EH127" s="8"/>
      <c r="EI127" s="8"/>
      <c r="EJ127" s="8"/>
      <c r="EK127" s="8"/>
      <c r="EL127" s="8"/>
      <c r="EM127" s="8"/>
      <c r="EN127" s="8"/>
      <c r="EO127" s="8"/>
      <c r="EP127" s="8"/>
      <c r="EQ127" s="8"/>
      <c r="ER127" s="8"/>
      <c r="ES127" s="8"/>
      <c r="ET127" s="8"/>
      <c r="EU127" s="8"/>
      <c r="EV127" s="8"/>
      <c r="EW127" s="8"/>
      <c r="EX127" s="8"/>
      <c r="EY127" s="8"/>
      <c r="EZ127" s="8"/>
      <c r="FA127" s="8"/>
      <c r="FB127" s="8"/>
      <c r="FC127" s="8"/>
      <c r="FD127" s="8"/>
      <c r="FE127" s="8"/>
      <c r="FF127" s="8"/>
      <c r="FG127" s="8"/>
      <c r="FH127" s="8"/>
      <c r="FI127" s="8"/>
      <c r="FJ127" s="8"/>
      <c r="FK127" s="8"/>
      <c r="FL127" s="8"/>
      <c r="FM127" s="8"/>
    </row>
    <row r="128" spans="7:169" x14ac:dyDescent="0.25">
      <c r="G128" s="8">
        <f t="shared" ref="G128:G129" si="774">ABS(($A$99*2/($G3*$F$3))*$B$98*$F$98*(1-(B$103^$F$98)/(($F$3/2)^$E$98)))</f>
        <v>1.6194968553459119E-2</v>
      </c>
      <c r="H128" s="8">
        <f t="shared" ref="H128:H129" si="775">ABS(($A$99*2/($G3*$F$3))*$B$98*$F$98*(1-(C$103^$F$98)/(($F$3/2)^$E$98)))</f>
        <v>2.4154360606081858E-2</v>
      </c>
      <c r="I128" s="8">
        <f t="shared" ref="I128:I129" si="776">ABS(($A$99*2/($G3*$F$3))*$B$98*$F$98*(1-(D$103^$F$98)/(($F$3/2)^$E$98)))</f>
        <v>0.13302173535899162</v>
      </c>
      <c r="J128" s="8">
        <f t="shared" ref="J128:J129" si="777">ABS(($A$99*2/($G3*$F$3))*$B$98*$F$98*(1-(E$103^$F$98)/(($F$3/2)^$E$98)))</f>
        <v>0.30448002974674315</v>
      </c>
      <c r="K128" s="8">
        <f t="shared" ref="K128:K129" si="778">ABS(($A$99*2/($G3*$F$3))*$B$98*$F$98*(1-(F$103^$F$98)/(($F$3/2)^$E$98)))</f>
        <v>0.53562646665449343</v>
      </c>
      <c r="L128" s="8">
        <f t="shared" ref="L128:L129" si="779">ABS(($A$99*2/($G3*$F$3))*$B$98*$F$98*(1-(G$103^$F$98)/(($F$3/2)^$E$98)))</f>
        <v>0.82451780797924368</v>
      </c>
      <c r="M128" s="8">
        <f t="shared" ref="M128:M129" si="780">ABS(($A$99*2/($G3*$F$3))*$B$98*$F$98*(1-(H$103^$F$98)/(($F$3/2)^$E$98)))</f>
        <v>1.1696999960019097</v>
      </c>
      <c r="N128" s="8">
        <f t="shared" ref="N128:N129" si="781">ABS(($A$99*2/($G3*$F$3))*$B$98*$F$98*(1-(I$103^$F$98)/(($F$3/2)^$E$98)))</f>
        <v>1.570015904113512</v>
      </c>
      <c r="O128" s="8">
        <f t="shared" ref="O128:O129" si="782">ABS(($A$99*2/($G3*$F$3))*$B$98*$F$98*(1-(J$103^$F$98)/(($F$3/2)^$E$98)))</f>
        <v>2.0245075022210361</v>
      </c>
      <c r="P128" s="8">
        <f t="shared" ref="P128:P129" si="783">ABS(($A$99*2/($G3*$F$3))*$B$98*$F$98*(1-(K$103^$F$98)/(($F$3/2)^$E$98)))</f>
        <v>2.5323592869147089</v>
      </c>
      <c r="Q128" s="8">
        <f t="shared" ref="Q128:Q129" si="784">ABS(($A$99*2/($G3*$F$3))*$B$98*$F$98*(1-(L$103^$F$98)/(($F$3/2)^$E$98)))</f>
        <v>3.0928626555590162</v>
      </c>
      <c r="R128" s="8">
        <f t="shared" ref="R128:R129" si="785">ABS(($A$99*2/($G3*$F$3))*$B$98*$F$98*(1-(M$103^$F$98)/(($F$3/2)^$E$98)))</f>
        <v>3.7053920434891583</v>
      </c>
      <c r="S128" s="8">
        <f t="shared" ref="S128:S129" si="786">ABS(($A$99*2/($G3*$F$3))*$B$98*$F$98*(1-(N$103^$F$98)/(($F$3/2)^$E$98)))</f>
        <v>4.3693881745427872</v>
      </c>
      <c r="T128" s="8">
        <f t="shared" ref="T128:T129" si="787">ABS(($A$99*2/($G3*$F$3))*$B$98*$F$98*(1-(O$103^$F$98)/(($F$3/2)^$E$98)))</f>
        <v>5.0843458634955754</v>
      </c>
      <c r="U128" s="8">
        <f t="shared" ref="U128:U129" si="788">ABS(($A$99*2/($G3*$F$3))*$B$98*$F$98*(1-(P$103^$F$98)/(($F$3/2)^$E$98)))</f>
        <v>5.8498048648908636</v>
      </c>
      <c r="V128" s="8">
        <f t="shared" ref="V128:V129" si="789">ABS(($A$99*2/($G3*$F$3))*$B$98*$F$98*(1-(Q$103^$F$98)/(($F$3/2)^$E$98)))</f>
        <v>6.665342836439577</v>
      </c>
      <c r="W128" s="8">
        <f t="shared" ref="W128:W129" si="790">ABS(($A$99*2/($G3*$F$3))*$B$98*$F$98*(1-(R$103^$F$98)/(($F$3/2)^$E$98)))</f>
        <v>7.5305698153403773</v>
      </c>
      <c r="X128" s="8">
        <f t="shared" ref="X128:X129" si="791">ABS(($A$99*2/($G3*$F$3))*$B$98*$F$98*(1-(S$103^$F$98)/(($F$3/2)^$E$98)))</f>
        <v>8.445123805104231</v>
      </c>
      <c r="Y128" s="8">
        <f t="shared" ref="Y128:Y129" si="792">ABS(($A$99*2/($G3*$F$3))*$B$98*$F$98*(1-(T$103^$F$98)/(($F$3/2)^$E$98)))</f>
        <v>9.4086671955573316</v>
      </c>
      <c r="Z128" s="8">
        <f t="shared" ref="Z128:Z129" si="793">ABS(($A$99*2/($G3*$F$3))*$B$98*$F$98*(1-(U$103^$F$98)/(($F$3/2)^$E$98)))</f>
        <v>10.420883819925802</v>
      </c>
      <c r="AA128" s="8">
        <f t="shared" ref="AA128:AA129" si="794">ABS(($A$99*2/($G3*$F$3))*$B$98*$F$98*(1-(V$103^$F$98)/(($F$3/2)^$E$98)))</f>
        <v>11.48147650721228</v>
      </c>
      <c r="AB128" s="8">
        <f t="shared" ref="AB128:AB129" si="795">ABS(($A$99*2/($G3*$F$3))*$B$98*$F$98*(1-(W$103^$F$98)/(($F$3/2)^$E$98)))</f>
        <v>12.590165025314359</v>
      </c>
      <c r="AC128" s="8">
        <f t="shared" ref="AC128:AC129" si="796">ABS(($A$99*2/($G3*$F$3))*$B$98*$F$98*(1-(X$103^$F$98)/(($F$3/2)^$E$98)))</f>
        <v>13.746684336444162</v>
      </c>
      <c r="AD128" s="8">
        <f t="shared" ref="AD128:AD129" si="797">ABS(($A$99*2/($G3*$F$3))*$B$98*$F$98*(1-(Y$103^$F$98)/(($F$3/2)^$E$98)))</f>
        <v>14.95078310508327</v>
      </c>
      <c r="AE128" s="8">
        <f t="shared" ref="AE128:AE129" si="798">ABS(($A$99*2/($G3*$F$3))*$B$98*$F$98*(1-(Z$103^$F$98)/(($F$3/2)^$E$98)))</f>
        <v>16.202222412298724</v>
      </c>
      <c r="AF128" s="8">
        <f t="shared" ref="AF128:AF129" si="799">ABS(($A$99*2/($G3*$F$3))*$B$98*$F$98*(1-(AA$103^$F$98)/(($F$3/2)^$E$98)))</f>
        <v>17.500774640300431</v>
      </c>
      <c r="AG128" s="8">
        <f t="shared" ref="AG128:AG129" si="800">ABS(($A$99*2/($G3*$F$3))*$B$98*$F$98*(1-(AB$103^$F$98)/(($F$3/2)^$E$98)))</f>
        <v>18.846222498658882</v>
      </c>
      <c r="AH128" s="8">
        <f t="shared" ref="AH128:AH129" si="801">ABS(($A$99*2/($G3*$F$3))*$B$98*$F$98*(1-(AC$103^$F$98)/(($F$3/2)^$E$98)))</f>
        <v>20.238358169338728</v>
      </c>
      <c r="AI128" s="8">
        <f t="shared" ref="AI128:AI129" si="802">ABS(($A$99*2/($G3*$F$3))*$B$98*$F$98*(1-(AD$103^$F$98)/(($F$3/2)^$E$98)))</f>
        <v>21.676982552108559</v>
      </c>
      <c r="AJ128" s="8">
        <f t="shared" ref="AJ128:AJ129" si="803">ABS(($A$99*2/($G3*$F$3))*$B$98*$F$98*(1-(AE$103^$F$98)/(($F$3/2)^$E$98)))</f>
        <v>23.161904595319271</v>
      </c>
      <c r="AK128" s="8">
        <f t="shared" ref="AK128:AK129" si="804">ABS(($A$99*2/($G3*$F$3))*$B$98*$F$98*(1-(AF$103^$F$98)/(($F$3/2)^$E$98)))</f>
        <v>24.692940699734162</v>
      </c>
      <c r="AL128" s="8">
        <f t="shared" ref="AL128:AL129" si="805">ABS(($A$99*2/($G3*$F$3))*$B$98*$F$98*(1-(AG$103^$F$98)/(($F$3/2)^$E$98)))</f>
        <v>26.269914185229023</v>
      </c>
      <c r="AM128" s="8">
        <f t="shared" ref="AM128:AM129" si="806">ABS(($A$99*2/($G3*$F$3))*$B$98*$F$98*(1-(AH$103^$F$98)/(($F$3/2)^$E$98)))</f>
        <v>27.892654811887532</v>
      </c>
      <c r="AN128" s="8">
        <f t="shared" ref="AN128:AN129" si="807">ABS(($A$99*2/($G3*$F$3))*$B$98*$F$98*(1-(AI$103^$F$98)/(($F$3/2)^$E$98)))</f>
        <v>29.560998348392225</v>
      </c>
      <c r="AO128" s="8">
        <f t="shared" ref="AO128:AO129" si="808">ABS(($A$99*2/($G3*$F$3))*$B$98*$F$98*(1-(AJ$103^$F$98)/(($F$3/2)^$E$98)))</f>
        <v>31.274786181728917</v>
      </c>
      <c r="AP128" s="8">
        <f t="shared" ref="AP128:AP129" si="809">ABS(($A$99*2/($G3*$F$3))*$B$98*$F$98*(1-(AK$103^$F$98)/(($F$3/2)^$E$98)))</f>
        <v>33.033864963133816</v>
      </c>
      <c r="AQ128" s="8">
        <f t="shared" ref="AQ128:AQ129" si="810">ABS(($A$99*2/($G3*$F$3))*$B$98*$F$98*(1-(AL$103^$F$98)/(($F$3/2)^$E$98)))</f>
        <v>34.838086285964884</v>
      </c>
      <c r="AR128" s="8">
        <f t="shared" ref="AR128:AR129" si="811">ABS(($A$99*2/($G3*$F$3))*$B$98*$F$98*(1-(AM$103^$F$98)/(($F$3/2)^$E$98)))</f>
        <v>36.687306391801165</v>
      </c>
      <c r="AS128" s="8">
        <f t="shared" ref="AS128:AS129" si="812">ABS(($A$99*2/($G3*$F$3))*$B$98*$F$98*(1-(AN$103^$F$98)/(($F$3/2)^$E$98)))</f>
        <v>38.581385901590238</v>
      </c>
      <c r="AT128" s="8">
        <f t="shared" ref="AT128:AT129" si="813">ABS(($A$99*2/($G3*$F$3))*$B$98*$F$98*(1-(AO$103^$F$98)/(($F$3/2)^$E$98)))</f>
        <v>40.520189569098264</v>
      </c>
      <c r="AU128" s="8">
        <f t="shared" ref="AU128:AU129" si="814">ABS(($A$99*2/($G3*$F$3))*$B$98*$F$98*(1-(AP$103^$F$98)/(($F$3/2)^$E$98)))</f>
        <v>42.503586054281371</v>
      </c>
      <c r="AV128" s="8">
        <f t="shared" ref="AV128:AV129" si="815">ABS(($A$99*2/($G3*$F$3))*$B$98*$F$98*(1-(AQ$103^$F$98)/(($F$3/2)^$E$98)))</f>
        <v>44.5314477145048</v>
      </c>
      <c r="AW128" s="8">
        <f t="shared" ref="AW128:AW129" si="816">ABS(($A$99*2/($G3*$F$3))*$B$98*$F$98*(1-(AR$103^$F$98)/(($F$3/2)^$E$98)))</f>
        <v>46.603650411798867</v>
      </c>
      <c r="AX128" s="8">
        <f t="shared" ref="AX128:AX129" si="817">ABS(($A$99*2/($G3*$F$3))*$B$98*$F$98*(1-(AS$103^$F$98)/(($F$3/2)^$E$98)))</f>
        <v>48.720073334562329</v>
      </c>
      <c r="AY128" s="8">
        <f t="shared" ref="AY128:AY129" si="818">ABS(($A$99*2/($G3*$F$3))*$B$98*$F$98*(1-(AT$103^$F$98)/(($F$3/2)^$E$98)))</f>
        <v>50.880598832317631</v>
      </c>
      <c r="AZ128" s="8">
        <f t="shared" ref="AZ128:AZ129" si="819">ABS(($A$99*2/($G3*$F$3))*$B$98*$F$98*(1-(AU$103^$F$98)/(($F$3/2)^$E$98)))</f>
        <v>53.085112262281648</v>
      </c>
      <c r="BA128" s="8">
        <f t="shared" ref="BA128:BA129" si="820">ABS(($A$99*2/($G3*$F$3))*$B$98*$F$98*(1-(AV$103^$F$98)/(($F$3/2)^$E$98)))</f>
        <v>55.333501846663793</v>
      </c>
      <c r="BB128" s="8">
        <f t="shared" ref="BB128:BB129" si="821">ABS(($A$99*2/($G3*$F$3))*$B$98*$F$98*(1-(AW$103^$F$98)/(($F$3/2)^$E$98)))</f>
        <v>57.62565853971968</v>
      </c>
      <c r="BC128" s="8">
        <f t="shared" ref="BC128:BC129" si="822">ABS(($A$99*2/($G3*$F$3))*$B$98*$F$98*(1-(AX$103^$F$98)/(($F$3/2)^$E$98)))</f>
        <v>59.961475903700133</v>
      </c>
      <c r="BD128" s="8">
        <f t="shared" ref="BD128:BD129" si="823">ABS(($A$99*2/($G3*$F$3))*$B$98*$F$98*(1-(AY$103^$F$98)/(($F$3/2)^$E$98)))</f>
        <v>62.340849992923218</v>
      </c>
      <c r="BE128" s="8">
        <f t="shared" ref="BE128:BE129" si="824">ABS(($A$99*2/($G3*$F$3))*$B$98*$F$98*(1-(AZ$103^$F$98)/(($F$3/2)^$E$98)))</f>
        <v>64.763679245283242</v>
      </c>
      <c r="BF128" s="8"/>
      <c r="BG128" s="8">
        <f>BG124/BG122</f>
        <v>3.5</v>
      </c>
      <c r="BH128" s="8"/>
      <c r="BI128" s="8"/>
      <c r="BJ128" s="8"/>
      <c r="BK128" s="8"/>
      <c r="BL128" s="8"/>
      <c r="BM128" s="8"/>
      <c r="BN128" s="8"/>
      <c r="BO128" s="8"/>
      <c r="BP128" s="8"/>
      <c r="BQ128" s="8"/>
      <c r="BR128" s="8"/>
      <c r="BS128" s="8"/>
      <c r="BT128" s="8"/>
      <c r="BU128" s="8"/>
      <c r="BV128" s="8"/>
      <c r="BW128" s="8"/>
      <c r="BX128" s="8"/>
      <c r="BY128" s="8"/>
      <c r="BZ128" s="8"/>
      <c r="CA128" s="8"/>
      <c r="CB128" s="8"/>
      <c r="CC128" s="8"/>
      <c r="CD128" s="8"/>
      <c r="CE128" s="8"/>
      <c r="CF128" s="8"/>
      <c r="CG128" s="8"/>
      <c r="CH128" s="8"/>
      <c r="CI128" s="8"/>
      <c r="CJ128" s="8"/>
      <c r="CK128" s="8"/>
      <c r="CL128" s="8"/>
      <c r="CM128" s="8"/>
      <c r="CN128" s="8"/>
      <c r="CO128" s="8"/>
      <c r="CP128" s="8"/>
      <c r="CQ128" s="8"/>
      <c r="CR128" s="8"/>
      <c r="CS128" s="8"/>
      <c r="CT128" s="8"/>
      <c r="CU128" s="8"/>
      <c r="CV128" s="8"/>
      <c r="CW128" s="8"/>
      <c r="CX128" s="8"/>
      <c r="CY128" s="8"/>
      <c r="CZ128" s="8"/>
      <c r="DA128" s="8"/>
      <c r="DB128" s="8"/>
      <c r="DC128" s="8"/>
      <c r="DD128" s="8"/>
      <c r="DE128" s="8"/>
      <c r="DF128" s="8"/>
      <c r="DG128" s="8"/>
      <c r="DH128" s="8"/>
      <c r="DI128" s="8"/>
      <c r="DJ128" s="8"/>
      <c r="DK128" s="8"/>
      <c r="DL128" s="8"/>
      <c r="DM128" s="8"/>
      <c r="DN128" s="8"/>
      <c r="DO128" s="8"/>
      <c r="DP128" s="8"/>
      <c r="DQ128" s="8"/>
      <c r="DR128" s="8"/>
      <c r="DS128" s="8"/>
      <c r="DT128" s="8"/>
      <c r="DU128" s="8"/>
      <c r="DV128" s="8"/>
      <c r="DW128" s="8"/>
      <c r="DX128" s="8"/>
      <c r="DY128" s="8"/>
      <c r="DZ128" s="8"/>
      <c r="EA128" s="8"/>
      <c r="EB128" s="8"/>
      <c r="EC128" s="8"/>
      <c r="ED128" s="8"/>
      <c r="EE128" s="8"/>
      <c r="EF128" s="8"/>
      <c r="EG128" s="8"/>
      <c r="EH128" s="8"/>
      <c r="EI128" s="8"/>
      <c r="EJ128" s="8"/>
      <c r="EK128" s="8"/>
      <c r="EL128" s="8"/>
      <c r="EM128" s="8"/>
      <c r="EN128" s="8"/>
      <c r="EO128" s="8"/>
      <c r="EP128" s="8"/>
      <c r="EQ128" s="8"/>
      <c r="ER128" s="8"/>
      <c r="ES128" s="8"/>
      <c r="ET128" s="8"/>
      <c r="EU128" s="8"/>
      <c r="EV128" s="8"/>
      <c r="EW128" s="8"/>
      <c r="EX128" s="8"/>
      <c r="EY128" s="8"/>
      <c r="EZ128" s="8"/>
      <c r="FA128" s="8"/>
      <c r="FB128" s="8"/>
      <c r="FC128" s="8"/>
      <c r="FD128" s="8"/>
      <c r="FE128" s="8"/>
      <c r="FF128" s="8"/>
      <c r="FG128" s="8"/>
      <c r="FH128" s="8"/>
      <c r="FI128" s="8"/>
      <c r="FJ128" s="8"/>
      <c r="FK128" s="8"/>
      <c r="FL128" s="8"/>
      <c r="FM128" s="8"/>
    </row>
    <row r="129" spans="7:221" x14ac:dyDescent="0.25">
      <c r="G129" s="8">
        <f t="shared" si="774"/>
        <v>1.0411051212938003E-2</v>
      </c>
      <c r="H129" s="8">
        <f t="shared" si="775"/>
        <v>1.5527803246766905E-2</v>
      </c>
      <c r="I129" s="8">
        <f t="shared" si="776"/>
        <v>8.5513972730780305E-2</v>
      </c>
      <c r="J129" s="8">
        <f t="shared" si="777"/>
        <v>0.19573716198004915</v>
      </c>
      <c r="K129" s="8">
        <f t="shared" si="778"/>
        <v>0.34433129999217427</v>
      </c>
      <c r="L129" s="8">
        <f t="shared" si="779"/>
        <v>0.53004716227237081</v>
      </c>
      <c r="M129" s="8">
        <f t="shared" si="780"/>
        <v>0.75194999742979896</v>
      </c>
      <c r="N129" s="8">
        <f t="shared" si="781"/>
        <v>1.0092959383586861</v>
      </c>
      <c r="O129" s="8">
        <f t="shared" si="782"/>
        <v>1.3014691085706658</v>
      </c>
      <c r="P129" s="8">
        <f t="shared" si="783"/>
        <v>1.6279452558737411</v>
      </c>
      <c r="Q129" s="8">
        <f t="shared" si="784"/>
        <v>1.9882688500022243</v>
      </c>
      <c r="R129" s="8">
        <f t="shared" si="785"/>
        <v>2.3820377422430301</v>
      </c>
      <c r="S129" s="8">
        <f t="shared" si="786"/>
        <v>2.8088923979203626</v>
      </c>
      <c r="T129" s="8">
        <f t="shared" si="787"/>
        <v>3.2685080551042978</v>
      </c>
      <c r="U129" s="8">
        <f t="shared" si="788"/>
        <v>3.7605888417155544</v>
      </c>
      <c r="V129" s="8">
        <f t="shared" si="789"/>
        <v>4.2848632519968701</v>
      </c>
      <c r="W129" s="8">
        <f t="shared" si="790"/>
        <v>4.8410805955759555</v>
      </c>
      <c r="X129" s="8">
        <f t="shared" si="791"/>
        <v>5.4290081604241474</v>
      </c>
      <c r="Y129" s="8">
        <f t="shared" si="792"/>
        <v>6.0484289114297125</v>
      </c>
      <c r="Z129" s="8">
        <f t="shared" si="793"/>
        <v>6.699139598523729</v>
      </c>
      <c r="AA129" s="8">
        <f t="shared" si="794"/>
        <v>7.3809491832078926</v>
      </c>
      <c r="AB129" s="8">
        <f t="shared" si="795"/>
        <v>8.0936775162735142</v>
      </c>
      <c r="AC129" s="8">
        <f t="shared" si="796"/>
        <v>8.8371542162855317</v>
      </c>
      <c r="AD129" s="8">
        <f t="shared" si="797"/>
        <v>9.6112177104106706</v>
      </c>
      <c r="AE129" s="8">
        <f t="shared" si="798"/>
        <v>10.415714407906322</v>
      </c>
      <c r="AF129" s="8">
        <f t="shared" si="799"/>
        <v>11.250497983050275</v>
      </c>
      <c r="AG129" s="8">
        <f t="shared" si="800"/>
        <v>12.11542874913785</v>
      </c>
      <c r="AH129" s="8">
        <f t="shared" si="801"/>
        <v>13.010373108860607</v>
      </c>
      <c r="AI129" s="8">
        <f t="shared" si="802"/>
        <v>13.935203069212641</v>
      </c>
      <c r="AJ129" s="8">
        <f t="shared" si="803"/>
        <v>14.889795811276672</v>
      </c>
      <c r="AK129" s="8">
        <f t="shared" si="804"/>
        <v>15.87403330697196</v>
      </c>
      <c r="AL129" s="8">
        <f t="shared" si="805"/>
        <v>16.887801976218654</v>
      </c>
      <c r="AM129" s="8">
        <f t="shared" si="806"/>
        <v>17.930992379070553</v>
      </c>
      <c r="AN129" s="8">
        <f t="shared" si="807"/>
        <v>19.003498938252143</v>
      </c>
      <c r="AO129" s="8">
        <f t="shared" si="808"/>
        <v>20.105219688254302</v>
      </c>
      <c r="AP129" s="8">
        <f t="shared" si="809"/>
        <v>21.23605604772888</v>
      </c>
      <c r="AQ129" s="8">
        <f t="shared" si="810"/>
        <v>22.395912612405994</v>
      </c>
      <c r="AR129" s="8">
        <f t="shared" si="811"/>
        <v>23.584696966157885</v>
      </c>
      <c r="AS129" s="8">
        <f t="shared" si="812"/>
        <v>24.802319508165148</v>
      </c>
      <c r="AT129" s="8">
        <f t="shared" si="813"/>
        <v>26.048693294420307</v>
      </c>
      <c r="AU129" s="8">
        <f t="shared" si="814"/>
        <v>27.323733892038021</v>
      </c>
      <c r="AV129" s="8">
        <f t="shared" si="815"/>
        <v>28.627359245038797</v>
      </c>
      <c r="AW129" s="8">
        <f t="shared" si="816"/>
        <v>29.959489550442122</v>
      </c>
      <c r="AX129" s="8">
        <f t="shared" si="817"/>
        <v>31.320047143647205</v>
      </c>
      <c r="AY129" s="8">
        <f t="shared" si="818"/>
        <v>32.708956392204186</v>
      </c>
      <c r="AZ129" s="8">
        <f t="shared" si="819"/>
        <v>34.126143597181049</v>
      </c>
      <c r="BA129" s="8">
        <f t="shared" si="820"/>
        <v>35.571536901426718</v>
      </c>
      <c r="BB129" s="8">
        <f t="shared" si="821"/>
        <v>37.045066204105503</v>
      </c>
      <c r="BC129" s="8">
        <f t="shared" si="822"/>
        <v>38.546663080950083</v>
      </c>
      <c r="BD129" s="8">
        <f t="shared" si="823"/>
        <v>40.076260709736346</v>
      </c>
      <c r="BE129" s="8">
        <f t="shared" si="824"/>
        <v>41.633793800539223</v>
      </c>
      <c r="BF129" s="8"/>
      <c r="BG129" s="8"/>
      <c r="BH129" s="8"/>
      <c r="BI129" s="8"/>
      <c r="BJ129" s="8"/>
      <c r="BK129" s="8"/>
      <c r="BL129" s="8"/>
      <c r="BM129" s="8"/>
      <c r="BN129" s="8"/>
      <c r="BO129" s="8"/>
      <c r="BP129" s="8"/>
      <c r="BQ129" s="8"/>
      <c r="BR129" s="8"/>
      <c r="BS129" s="8"/>
      <c r="BT129" s="8"/>
      <c r="BU129" s="8"/>
      <c r="BV129" s="8"/>
      <c r="BW129" s="8"/>
      <c r="BX129" s="8"/>
      <c r="BY129" s="8"/>
      <c r="BZ129" s="8"/>
      <c r="CA129" s="8"/>
      <c r="CB129" s="8"/>
      <c r="CC129" s="8"/>
      <c r="CD129" s="8"/>
      <c r="CE129" s="8"/>
      <c r="CF129" s="8"/>
      <c r="CG129" s="8"/>
      <c r="CH129" s="8"/>
      <c r="CI129" s="8"/>
      <c r="CJ129" s="8"/>
      <c r="CK129" s="8"/>
      <c r="CL129" s="8"/>
      <c r="CM129" s="8"/>
      <c r="CN129" s="8"/>
      <c r="CO129" s="8"/>
      <c r="CP129" s="8"/>
      <c r="CQ129" s="8"/>
      <c r="CR129" s="8"/>
      <c r="CS129" s="8"/>
      <c r="CT129" s="8"/>
      <c r="CU129" s="8"/>
      <c r="CV129" s="8"/>
      <c r="CW129" s="8"/>
      <c r="CX129" s="8"/>
      <c r="CY129" s="8"/>
      <c r="CZ129" s="8"/>
      <c r="DA129" s="8"/>
      <c r="DB129" s="8"/>
      <c r="DC129" s="8"/>
      <c r="DD129" s="8"/>
      <c r="DE129" s="8"/>
      <c r="DF129" s="8"/>
      <c r="DG129" s="8"/>
      <c r="DH129" s="8"/>
      <c r="DI129" s="8"/>
      <c r="DJ129" s="8"/>
      <c r="DK129" s="8"/>
      <c r="DL129" s="8"/>
      <c r="DM129" s="8"/>
      <c r="DN129" s="8"/>
      <c r="DO129" s="8"/>
      <c r="DP129" s="8"/>
      <c r="DQ129" s="8"/>
      <c r="DR129" s="8"/>
      <c r="DS129" s="8"/>
      <c r="DT129" s="8"/>
      <c r="DU129" s="8"/>
      <c r="DV129" s="8"/>
      <c r="DW129" s="8"/>
      <c r="DX129" s="8"/>
      <c r="DY129" s="8"/>
      <c r="DZ129" s="8"/>
      <c r="EA129" s="8"/>
      <c r="EB129" s="8"/>
      <c r="EC129" s="8"/>
      <c r="ED129" s="8"/>
      <c r="EE129" s="8"/>
      <c r="EF129" s="8"/>
      <c r="EG129" s="8"/>
      <c r="EH129" s="8"/>
      <c r="EI129" s="8"/>
      <c r="EJ129" s="8"/>
      <c r="EK129" s="8"/>
      <c r="EL129" s="8"/>
      <c r="EM129" s="8"/>
      <c r="EN129" s="8"/>
      <c r="EO129" s="8"/>
      <c r="EP129" s="8"/>
      <c r="EQ129" s="8"/>
      <c r="ER129" s="8"/>
      <c r="ES129" s="8"/>
      <c r="ET129" s="8"/>
      <c r="EU129" s="8"/>
      <c r="EV129" s="8"/>
      <c r="EW129" s="8"/>
      <c r="EX129" s="8"/>
      <c r="EY129" s="8"/>
      <c r="EZ129" s="8"/>
      <c r="FA129" s="8"/>
      <c r="FB129" s="8"/>
      <c r="FC129" s="8"/>
      <c r="FD129" s="8"/>
      <c r="FE129" s="8"/>
      <c r="FF129" s="8"/>
      <c r="FG129" s="8"/>
      <c r="FH129" s="8"/>
      <c r="FI129" s="8"/>
      <c r="FJ129" s="8"/>
      <c r="FK129" s="8"/>
      <c r="FL129" s="8"/>
      <c r="FM129" s="8"/>
    </row>
    <row r="130" spans="7:221" x14ac:dyDescent="0.25">
      <c r="G130" s="8"/>
      <c r="H130" s="8"/>
      <c r="I130" s="8"/>
      <c r="J130" s="8"/>
      <c r="K130" s="8"/>
      <c r="L130" s="8"/>
      <c r="M130" s="8"/>
      <c r="N130" s="8"/>
      <c r="O130" s="8"/>
      <c r="P130" s="8"/>
      <c r="Q130" s="8"/>
      <c r="R130" s="8"/>
      <c r="S130" s="8"/>
      <c r="T130" s="8"/>
      <c r="U130" s="8"/>
      <c r="V130" s="8"/>
      <c r="W130" s="8"/>
      <c r="X130" s="8"/>
      <c r="Y130" s="8"/>
      <c r="Z130" s="8"/>
      <c r="AA130" s="8"/>
      <c r="AB130" s="8"/>
      <c r="AC130" s="8"/>
      <c r="AD130" s="8"/>
      <c r="AE130" s="8"/>
      <c r="AF130" s="8"/>
      <c r="AG130" s="8"/>
      <c r="AH130" s="8"/>
      <c r="AI130" s="8"/>
      <c r="AJ130" s="8"/>
      <c r="AK130" s="8"/>
      <c r="AL130" s="8"/>
      <c r="AM130" s="8"/>
      <c r="AN130" s="8"/>
      <c r="AO130" s="8"/>
      <c r="AP130" s="8"/>
      <c r="AQ130" s="8"/>
      <c r="AR130" s="8"/>
      <c r="AS130" s="8"/>
      <c r="AT130" s="8"/>
      <c r="AU130" s="8"/>
      <c r="AV130" s="8"/>
      <c r="AW130" s="8"/>
      <c r="AX130" s="8"/>
      <c r="AY130" s="8"/>
      <c r="AZ130" s="8"/>
      <c r="BA130" s="8"/>
      <c r="BB130" s="8"/>
      <c r="BC130" s="8"/>
      <c r="BD130" s="8"/>
      <c r="BE130" s="8"/>
      <c r="BF130" s="8"/>
      <c r="BG130" s="8"/>
      <c r="BH130" s="8"/>
      <c r="BI130" s="8"/>
      <c r="BJ130" s="8"/>
      <c r="BK130" s="8"/>
      <c r="BL130" s="8"/>
      <c r="BM130" s="8"/>
      <c r="BN130" s="8"/>
      <c r="BO130" s="8"/>
      <c r="BP130" s="8"/>
      <c r="BQ130" s="8"/>
      <c r="BR130" s="8"/>
      <c r="BS130" s="8"/>
      <c r="BT130" s="8"/>
      <c r="BU130" s="8"/>
      <c r="BV130" s="8"/>
      <c r="BW130" s="8"/>
      <c r="BX130" s="8"/>
      <c r="BY130" s="8"/>
      <c r="BZ130" s="8"/>
      <c r="CA130" s="8"/>
      <c r="CB130" s="8"/>
      <c r="CC130" s="8"/>
      <c r="CD130" s="8"/>
      <c r="CE130" s="8"/>
      <c r="CF130" s="8"/>
      <c r="CG130" s="8"/>
      <c r="CH130" s="8"/>
      <c r="CI130" s="8"/>
      <c r="CJ130" s="8"/>
      <c r="CK130" s="8"/>
      <c r="CL130" s="8"/>
      <c r="CM130" s="8"/>
      <c r="CN130" s="8"/>
      <c r="CO130" s="8"/>
      <c r="CP130" s="8"/>
      <c r="CQ130" s="8"/>
      <c r="CR130" s="8"/>
      <c r="CS130" s="8"/>
      <c r="CT130" s="8"/>
      <c r="CU130" s="8"/>
      <c r="CV130" s="8"/>
      <c r="CW130" s="8"/>
      <c r="CX130" s="8"/>
      <c r="CY130" s="8"/>
      <c r="CZ130" s="8"/>
      <c r="DA130" s="8"/>
      <c r="DB130" s="8"/>
      <c r="DC130" s="8"/>
      <c r="DD130" s="8"/>
      <c r="DE130" s="8"/>
      <c r="DF130" s="8"/>
      <c r="DG130" s="8"/>
      <c r="DH130" s="8"/>
      <c r="DI130" s="8"/>
      <c r="DJ130" s="8"/>
      <c r="DK130" s="8"/>
      <c r="DL130" s="8"/>
      <c r="DM130" s="8"/>
      <c r="DN130" s="8"/>
      <c r="DO130" s="8"/>
      <c r="DP130" s="8"/>
      <c r="DQ130" s="8"/>
      <c r="DR130" s="8"/>
      <c r="DS130" s="8"/>
      <c r="DT130" s="8"/>
      <c r="DU130" s="8"/>
      <c r="DV130" s="8"/>
      <c r="DW130" s="8"/>
      <c r="DX130" s="8"/>
      <c r="DY130" s="8"/>
      <c r="DZ130" s="8"/>
      <c r="EA130" s="8"/>
      <c r="EB130" s="8"/>
      <c r="EC130" s="8"/>
      <c r="ED130" s="8"/>
      <c r="EE130" s="8"/>
      <c r="EF130" s="8"/>
      <c r="EG130" s="8"/>
      <c r="EH130" s="8"/>
      <c r="EI130" s="8"/>
      <c r="EJ130" s="8"/>
      <c r="EK130" s="8"/>
      <c r="EL130" s="8"/>
      <c r="EM130" s="8"/>
      <c r="EN130" s="8"/>
      <c r="EO130" s="8"/>
      <c r="EP130" s="8"/>
      <c r="EQ130" s="8"/>
      <c r="ER130" s="8"/>
      <c r="ES130" s="8"/>
      <c r="ET130" s="8"/>
      <c r="EU130" s="8"/>
      <c r="EV130" s="8"/>
      <c r="EW130" s="8"/>
      <c r="EX130" s="8"/>
      <c r="EY130" s="8"/>
      <c r="EZ130" s="8"/>
      <c r="FA130" s="8"/>
      <c r="FB130" s="8"/>
      <c r="FC130" s="8"/>
      <c r="FD130" s="8"/>
      <c r="FE130" s="8"/>
      <c r="FF130" s="8"/>
      <c r="FG130" s="8"/>
      <c r="FH130" s="8"/>
      <c r="FI130" s="8"/>
      <c r="FJ130" s="8"/>
      <c r="FK130" s="8"/>
      <c r="FL130" s="8"/>
      <c r="FM130" s="8"/>
    </row>
    <row r="131" spans="7:221" x14ac:dyDescent="0.25">
      <c r="G131" s="8"/>
      <c r="H131" s="8"/>
      <c r="I131" s="8"/>
      <c r="J131" s="8"/>
      <c r="K131" s="8"/>
      <c r="L131" s="8"/>
      <c r="M131" s="8"/>
      <c r="N131" s="8"/>
      <c r="O131" s="8"/>
      <c r="P131" s="8"/>
      <c r="Q131" s="8"/>
      <c r="R131" s="8"/>
      <c r="S131" s="8"/>
      <c r="T131" s="8"/>
      <c r="U131" s="8"/>
      <c r="V131" s="8"/>
      <c r="W131" s="8"/>
      <c r="X131" s="8"/>
      <c r="Y131" s="8"/>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c r="BC131" s="8"/>
      <c r="BD131" s="8"/>
      <c r="BE131" s="8"/>
      <c r="BF131" s="8"/>
      <c r="BG131" s="8"/>
      <c r="BH131" s="8"/>
      <c r="BI131" s="8"/>
      <c r="BJ131" s="8"/>
      <c r="BK131" s="8"/>
      <c r="BL131" s="8"/>
      <c r="BM131" s="8"/>
      <c r="BN131" s="8"/>
      <c r="BO131" s="8"/>
      <c r="BP131" s="8"/>
      <c r="BQ131" s="8"/>
      <c r="BR131" s="8"/>
      <c r="BS131" s="8"/>
      <c r="BT131" s="8"/>
      <c r="BU131" s="8"/>
      <c r="BV131" s="8"/>
      <c r="BW131" s="8"/>
      <c r="BX131" s="8"/>
      <c r="BY131" s="8"/>
      <c r="BZ131" s="8"/>
      <c r="CA131" s="8"/>
      <c r="CB131" s="8"/>
      <c r="CC131" s="8"/>
      <c r="CD131" s="8"/>
      <c r="CE131" s="8"/>
      <c r="CF131" s="8"/>
      <c r="CG131" s="8"/>
      <c r="CH131" s="8"/>
      <c r="CI131" s="8"/>
      <c r="CJ131" s="8"/>
      <c r="CK131" s="8"/>
      <c r="CL131" s="8"/>
      <c r="CM131" s="8"/>
      <c r="CN131" s="8"/>
      <c r="CO131" s="8"/>
      <c r="CP131" s="8"/>
      <c r="CQ131" s="8"/>
      <c r="CR131" s="8"/>
      <c r="CS131" s="8"/>
      <c r="CT131" s="8"/>
      <c r="CU131" s="8"/>
      <c r="CV131" s="8"/>
      <c r="CW131" s="8"/>
      <c r="CX131" s="8"/>
      <c r="CY131" s="8"/>
      <c r="CZ131" s="8"/>
      <c r="DA131" s="8"/>
      <c r="DB131" s="8"/>
      <c r="DC131" s="8"/>
      <c r="DD131" s="8"/>
      <c r="DE131" s="8"/>
      <c r="DF131" s="8"/>
      <c r="DG131" s="8"/>
      <c r="DH131" s="8"/>
      <c r="DI131" s="8"/>
      <c r="DJ131" s="8"/>
      <c r="DK131" s="8"/>
      <c r="DL131" s="8"/>
      <c r="DM131" s="8"/>
      <c r="DN131" s="8"/>
      <c r="DO131" s="8"/>
      <c r="DP131" s="8"/>
      <c r="DQ131" s="8"/>
      <c r="DR131" s="8"/>
      <c r="DS131" s="8"/>
      <c r="DT131" s="8"/>
      <c r="DU131" s="8"/>
      <c r="DV131" s="8"/>
      <c r="DW131" s="8"/>
      <c r="DX131" s="8"/>
      <c r="DY131" s="8"/>
      <c r="DZ131" s="8"/>
      <c r="EA131" s="8"/>
      <c r="EB131" s="8"/>
      <c r="EC131" s="8"/>
      <c r="ED131" s="8"/>
      <c r="EE131" s="8"/>
      <c r="EF131" s="8"/>
      <c r="EG131" s="8"/>
      <c r="EH131" s="8"/>
      <c r="EI131" s="8"/>
      <c r="EJ131" s="8"/>
      <c r="EK131" s="8"/>
      <c r="EL131" s="8"/>
      <c r="EM131" s="8"/>
      <c r="EN131" s="8"/>
      <c r="EO131" s="8"/>
      <c r="EP131" s="8"/>
      <c r="EQ131" s="8"/>
      <c r="ER131" s="8"/>
      <c r="ES131" s="8"/>
      <c r="ET131" s="8"/>
      <c r="EU131" s="8"/>
      <c r="EV131" s="8"/>
      <c r="EW131" s="8"/>
      <c r="EX131" s="8"/>
      <c r="EY131" s="8"/>
      <c r="EZ131" s="8"/>
      <c r="FA131" s="8"/>
      <c r="FB131" s="8"/>
      <c r="FC131" s="8"/>
      <c r="FD131" s="8"/>
      <c r="FE131" s="8"/>
      <c r="FF131" s="8"/>
      <c r="FG131" s="8"/>
      <c r="FH131" s="8"/>
      <c r="FI131" s="8"/>
      <c r="FJ131" s="8"/>
      <c r="FK131" s="8"/>
      <c r="FL131" s="8"/>
      <c r="FM131" s="8"/>
    </row>
    <row r="132" spans="7:221" x14ac:dyDescent="0.25">
      <c r="G132" s="10" t="s">
        <v>151</v>
      </c>
      <c r="H132" s="10"/>
      <c r="I132" s="8"/>
      <c r="J132" s="8"/>
      <c r="K132" s="8"/>
      <c r="L132" s="8"/>
      <c r="M132" s="8"/>
      <c r="N132" s="8"/>
      <c r="O132" s="8"/>
      <c r="P132" s="8"/>
      <c r="Q132" s="8"/>
      <c r="R132" s="8"/>
      <c r="S132" s="8"/>
      <c r="T132" s="8"/>
      <c r="U132" s="8"/>
      <c r="V132" s="8"/>
      <c r="W132" s="8"/>
      <c r="X132" s="8"/>
      <c r="Y132" s="8"/>
      <c r="Z132" s="8"/>
      <c r="AA132" s="8"/>
      <c r="AB132" s="8"/>
      <c r="AC132" s="8"/>
      <c r="AD132" s="8"/>
      <c r="AE132" s="8"/>
      <c r="AF132" s="8"/>
      <c r="AG132" s="8"/>
      <c r="AH132" s="8"/>
      <c r="AI132" s="8"/>
      <c r="AJ132" s="8"/>
      <c r="AK132" s="8"/>
      <c r="AL132" s="8"/>
      <c r="AM132" s="8"/>
      <c r="AN132" s="8"/>
      <c r="AO132" s="8"/>
      <c r="AP132" s="8"/>
      <c r="AQ132" s="8"/>
      <c r="AR132" s="8"/>
      <c r="AS132" s="8"/>
      <c r="AT132" s="8"/>
      <c r="AU132" s="8"/>
      <c r="AV132" s="8"/>
      <c r="AW132" s="8"/>
      <c r="AX132" s="8"/>
      <c r="AY132" s="8"/>
      <c r="AZ132" s="8"/>
      <c r="BA132" s="8"/>
      <c r="BB132" s="8"/>
      <c r="BC132" s="8"/>
      <c r="BD132" s="8"/>
      <c r="BE132" s="8"/>
      <c r="BF132" s="8"/>
      <c r="BG132" s="8"/>
      <c r="BH132" s="8"/>
      <c r="BI132" s="8"/>
      <c r="BJ132" s="8"/>
      <c r="BK132" s="8"/>
      <c r="BL132" s="8"/>
      <c r="BM132" s="8"/>
      <c r="BN132" s="8"/>
      <c r="BO132" s="8"/>
      <c r="BP132" s="8"/>
      <c r="BQ132" s="8"/>
      <c r="BR132" s="8"/>
      <c r="BS132" s="8"/>
      <c r="BT132" s="8"/>
      <c r="BU132" s="8"/>
      <c r="BV132" s="8"/>
      <c r="BW132" s="8"/>
      <c r="BX132" s="8"/>
      <c r="BY132" s="8"/>
      <c r="BZ132" s="8"/>
      <c r="CA132" s="8"/>
      <c r="CB132" s="8"/>
      <c r="CC132" s="8"/>
      <c r="CD132" s="8"/>
      <c r="CE132" s="8"/>
      <c r="CF132" s="8"/>
      <c r="CG132" s="8"/>
      <c r="CH132" s="8"/>
      <c r="CI132" s="8"/>
      <c r="CJ132" s="8"/>
      <c r="CK132" s="8"/>
      <c r="CL132" s="8"/>
      <c r="CM132" s="8"/>
      <c r="CN132" s="8"/>
      <c r="CO132" s="8"/>
      <c r="CP132" s="8"/>
      <c r="CQ132" s="8"/>
      <c r="CR132" s="8"/>
      <c r="CS132" s="8"/>
      <c r="CT132" s="8"/>
      <c r="CU132" s="8"/>
      <c r="CV132" s="8"/>
      <c r="CW132" s="8"/>
      <c r="CX132" s="8"/>
      <c r="CY132" s="8"/>
      <c r="CZ132" s="8"/>
      <c r="DA132" s="8"/>
      <c r="DB132" s="8"/>
      <c r="DC132" s="8"/>
      <c r="DD132" s="8"/>
      <c r="DE132" s="8"/>
      <c r="DF132" s="8"/>
      <c r="DG132" s="8"/>
      <c r="DH132" s="8"/>
      <c r="DI132" s="8"/>
      <c r="DJ132" s="8"/>
      <c r="DK132" s="8"/>
      <c r="DL132" s="8"/>
      <c r="DM132" s="8"/>
      <c r="DN132" s="8"/>
      <c r="DO132" s="8"/>
      <c r="DP132" s="8"/>
      <c r="DQ132" s="8"/>
      <c r="DR132" s="8"/>
      <c r="DS132" s="8"/>
      <c r="DT132" s="8"/>
      <c r="DU132" s="8"/>
      <c r="DV132" s="8"/>
      <c r="DW132" s="8"/>
      <c r="DX132" s="8"/>
      <c r="DY132" s="8"/>
      <c r="DZ132" s="8"/>
      <c r="EA132" s="8"/>
      <c r="EB132" s="8"/>
      <c r="EC132" s="8"/>
      <c r="ED132" s="8"/>
      <c r="EE132" s="8"/>
      <c r="EF132" s="8"/>
      <c r="EG132" s="8"/>
      <c r="EH132" s="8"/>
      <c r="EI132" s="8"/>
      <c r="EJ132" s="8"/>
      <c r="EK132" s="8"/>
      <c r="EL132" s="8"/>
      <c r="EM132" s="8"/>
      <c r="EN132" s="8"/>
      <c r="EO132" s="8"/>
      <c r="EP132" s="8"/>
      <c r="EQ132" s="8"/>
      <c r="ER132" s="8"/>
      <c r="ES132" s="8"/>
      <c r="ET132" s="8"/>
      <c r="EU132" s="8"/>
      <c r="EV132" s="8"/>
      <c r="EW132" s="8"/>
      <c r="EX132" s="8"/>
      <c r="EY132" s="8"/>
      <c r="EZ132" s="8"/>
      <c r="FA132" s="8"/>
      <c r="FB132" s="8"/>
      <c r="FC132" s="8"/>
      <c r="FD132" s="8"/>
      <c r="FE132" s="8"/>
      <c r="FF132" s="8"/>
      <c r="FG132" s="8"/>
      <c r="FH132" s="8"/>
      <c r="FI132" s="8"/>
      <c r="FJ132" s="8"/>
      <c r="FK132" s="8"/>
      <c r="FL132" s="8"/>
      <c r="FM132" s="8"/>
    </row>
    <row r="133" spans="7:221" x14ac:dyDescent="0.25">
      <c r="G133" s="10" t="s">
        <v>141</v>
      </c>
      <c r="H133" s="10"/>
      <c r="I133" s="8"/>
      <c r="J133" s="8"/>
      <c r="K133" s="8"/>
      <c r="L133" s="8"/>
      <c r="M133" s="8"/>
      <c r="N133" s="8"/>
      <c r="O133" s="8"/>
      <c r="P133" s="8"/>
      <c r="Q133" s="8"/>
      <c r="R133" s="8"/>
      <c r="S133" s="8"/>
      <c r="T133" s="8"/>
      <c r="U133" s="8"/>
      <c r="V133" s="8"/>
      <c r="W133" s="8"/>
      <c r="X133" s="8"/>
      <c r="Y133" s="8"/>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c r="BC133" s="8"/>
      <c r="BD133" s="8"/>
      <c r="BE133" s="8"/>
      <c r="BF133" s="8"/>
      <c r="BG133" s="8"/>
      <c r="BH133" s="8"/>
      <c r="BI133" s="8"/>
      <c r="BJ133" s="8"/>
      <c r="BK133" s="8"/>
      <c r="BL133" s="8"/>
      <c r="BM133" s="8"/>
      <c r="BN133" s="8"/>
      <c r="BO133" s="8"/>
      <c r="BP133" s="8"/>
      <c r="BQ133" s="8"/>
      <c r="BR133" s="8"/>
      <c r="BS133" s="8"/>
      <c r="BT133" s="8"/>
      <c r="BU133" s="8"/>
      <c r="BV133" s="8"/>
      <c r="BW133" s="8"/>
      <c r="BX133" s="8"/>
      <c r="BY133" s="8"/>
      <c r="BZ133" s="8"/>
      <c r="CA133" s="8"/>
      <c r="CB133" s="8"/>
      <c r="CC133" s="8"/>
      <c r="CD133" s="8"/>
      <c r="CE133" s="8"/>
      <c r="CF133" s="8"/>
      <c r="CG133" s="8"/>
      <c r="CH133" s="8"/>
      <c r="CI133" s="8"/>
      <c r="CJ133" s="8"/>
      <c r="CK133" s="8"/>
      <c r="CL133" s="8"/>
      <c r="CM133" s="8"/>
      <c r="CN133" s="8"/>
      <c r="CO133" s="8"/>
      <c r="CP133" s="8"/>
      <c r="CQ133" s="8"/>
      <c r="CR133" s="8"/>
      <c r="CS133" s="8"/>
      <c r="CT133" s="8"/>
      <c r="CU133" s="8"/>
      <c r="CV133" s="8"/>
      <c r="CW133" s="8"/>
      <c r="CX133" s="8"/>
      <c r="CY133" s="8"/>
      <c r="CZ133" s="8"/>
      <c r="DA133" s="8"/>
      <c r="DB133" s="8"/>
      <c r="DC133" s="8"/>
      <c r="DD133" s="8"/>
      <c r="DE133" s="8"/>
      <c r="DF133" s="8"/>
      <c r="DG133" s="8"/>
      <c r="DH133" s="8"/>
      <c r="DI133" s="8"/>
      <c r="DJ133" s="8"/>
      <c r="DK133" s="8"/>
      <c r="DL133" s="8"/>
      <c r="DM133" s="8"/>
      <c r="DN133" s="8"/>
      <c r="DO133" s="8"/>
      <c r="DP133" s="8"/>
      <c r="DQ133" s="8"/>
      <c r="DR133" s="8"/>
      <c r="DS133" s="8"/>
      <c r="DT133" s="8"/>
      <c r="DU133" s="8"/>
      <c r="DV133" s="8"/>
      <c r="DW133" s="8"/>
      <c r="DX133" s="8"/>
      <c r="DY133" s="8"/>
      <c r="DZ133" s="8"/>
      <c r="EA133" s="8"/>
      <c r="EB133" s="8"/>
      <c r="EC133" s="8"/>
      <c r="ED133" s="8"/>
      <c r="EE133" s="8"/>
      <c r="EF133" s="8"/>
      <c r="EG133" s="8"/>
      <c r="EH133" s="8"/>
      <c r="EI133" s="8"/>
      <c r="EJ133" s="8"/>
      <c r="EK133" s="8"/>
      <c r="EL133" s="8"/>
      <c r="EM133" s="8"/>
      <c r="EN133" s="8"/>
      <c r="EO133" s="8"/>
      <c r="EP133" s="8"/>
      <c r="EQ133" s="8"/>
      <c r="ER133" s="8"/>
      <c r="ES133" s="8"/>
      <c r="ET133" s="8"/>
      <c r="EU133" s="8"/>
      <c r="EV133" s="8"/>
      <c r="EW133" s="8"/>
      <c r="EX133" s="8"/>
      <c r="EY133" s="8"/>
      <c r="EZ133" s="8"/>
      <c r="FA133" s="8"/>
      <c r="FB133" s="8"/>
      <c r="FC133" s="8"/>
      <c r="FD133" s="8"/>
      <c r="FE133" s="8"/>
      <c r="FF133" s="8"/>
      <c r="FG133" s="8"/>
      <c r="FH133" s="8"/>
      <c r="FI133" s="8"/>
      <c r="FJ133" s="8"/>
      <c r="FK133" s="8"/>
      <c r="FL133" s="8"/>
      <c r="FM133" s="8"/>
    </row>
    <row r="134" spans="7:221" x14ac:dyDescent="0.25">
      <c r="G134" s="10" t="s">
        <v>137</v>
      </c>
      <c r="H134" s="10"/>
      <c r="I134" s="8"/>
      <c r="J134" s="8"/>
      <c r="K134" s="8"/>
      <c r="L134" s="8"/>
      <c r="M134" s="8"/>
      <c r="N134" s="8"/>
      <c r="O134" s="8"/>
      <c r="P134" s="8"/>
      <c r="Q134" s="8"/>
      <c r="R134" s="8"/>
      <c r="S134" s="8"/>
      <c r="T134" s="8"/>
      <c r="U134" s="8"/>
      <c r="V134" s="8"/>
      <c r="W134" s="8"/>
      <c r="X134" s="8"/>
      <c r="Y134" s="8"/>
      <c r="Z134" s="8"/>
      <c r="AA134" s="8"/>
      <c r="AB134" s="8"/>
      <c r="AC134" s="8"/>
      <c r="AD134" s="8"/>
      <c r="AE134" s="8"/>
      <c r="AF134" s="8"/>
      <c r="AG134" s="8"/>
      <c r="AH134" s="8"/>
      <c r="AI134" s="8"/>
      <c r="AJ134" s="8"/>
      <c r="AK134" s="8"/>
      <c r="AL134" s="8"/>
      <c r="AM134" s="8"/>
      <c r="AN134" s="8"/>
      <c r="AO134" s="8"/>
      <c r="AP134" s="8"/>
      <c r="AQ134" s="8"/>
      <c r="AR134" s="8"/>
      <c r="AS134" s="8"/>
      <c r="AT134" s="8"/>
      <c r="AU134" s="8"/>
      <c r="AV134" s="8"/>
      <c r="AW134" s="8"/>
      <c r="AX134" s="8"/>
      <c r="AY134" s="8"/>
      <c r="AZ134" s="8"/>
      <c r="BA134" s="8"/>
      <c r="BB134" s="8"/>
      <c r="BC134" s="8"/>
      <c r="BD134" s="8"/>
      <c r="BE134" s="8"/>
      <c r="BF134" s="8"/>
      <c r="BG134" s="8"/>
      <c r="BH134" s="8"/>
      <c r="BI134" s="8"/>
      <c r="BJ134" s="8"/>
      <c r="BK134" s="8"/>
      <c r="BL134" s="8"/>
      <c r="BM134" s="8"/>
      <c r="BN134" s="8"/>
      <c r="BO134" s="8"/>
      <c r="BP134" s="8"/>
      <c r="BQ134" s="8"/>
      <c r="BR134" s="8"/>
      <c r="BS134" s="8"/>
      <c r="BT134" s="8"/>
      <c r="BU134" s="8"/>
      <c r="BV134" s="8"/>
      <c r="BW134" s="8"/>
      <c r="BX134" s="8"/>
      <c r="BY134" s="8"/>
      <c r="BZ134" s="8"/>
      <c r="CA134" s="8"/>
      <c r="CB134" s="8"/>
      <c r="CC134" s="8"/>
      <c r="CD134" s="8"/>
      <c r="CE134" s="8"/>
      <c r="CF134" s="8"/>
      <c r="CG134" s="8"/>
      <c r="CH134" s="8"/>
      <c r="CI134" s="8"/>
      <c r="CJ134" s="8"/>
      <c r="CK134" s="8"/>
      <c r="CL134" s="8"/>
      <c r="CM134" s="8"/>
      <c r="CN134" s="8"/>
      <c r="CO134" s="8"/>
      <c r="CP134" s="8"/>
      <c r="CQ134" s="8"/>
      <c r="CR134" s="8"/>
      <c r="CS134" s="8"/>
      <c r="CT134" s="8"/>
      <c r="CU134" s="8"/>
      <c r="CV134" s="8"/>
      <c r="CW134" s="8"/>
      <c r="CX134" s="8"/>
      <c r="CY134" s="8"/>
      <c r="CZ134" s="8"/>
      <c r="DA134" s="8"/>
      <c r="DB134" s="8"/>
      <c r="DC134" s="8"/>
      <c r="DD134" s="8"/>
      <c r="DE134" s="8" t="s">
        <v>178</v>
      </c>
      <c r="DF134" s="8"/>
      <c r="DG134" s="8"/>
      <c r="DH134" s="8"/>
      <c r="DI134" s="8"/>
      <c r="DJ134" s="8"/>
      <c r="DK134" s="8"/>
      <c r="DL134" s="8"/>
      <c r="DM134" s="8"/>
      <c r="DN134" s="8"/>
      <c r="DO134" s="8"/>
      <c r="DP134" s="8"/>
      <c r="DQ134" s="8"/>
      <c r="DR134" s="8"/>
      <c r="DS134" s="8"/>
      <c r="DT134" s="8"/>
      <c r="DU134" s="8"/>
      <c r="DV134" s="8"/>
      <c r="DW134" s="8"/>
      <c r="DX134" s="8"/>
      <c r="DY134" s="8"/>
      <c r="DZ134" s="8"/>
      <c r="EA134" s="8"/>
      <c r="EB134" s="8"/>
      <c r="EC134" s="8"/>
      <c r="ED134" s="8"/>
      <c r="EE134" s="8"/>
      <c r="EF134" s="8"/>
      <c r="EG134" s="8"/>
      <c r="EH134" s="8"/>
      <c r="EI134" s="8"/>
      <c r="EJ134" s="8"/>
      <c r="EK134" s="8"/>
      <c r="EL134" s="8"/>
      <c r="EM134" s="8"/>
      <c r="EN134" s="8"/>
      <c r="EO134" s="8"/>
      <c r="EP134" s="8"/>
      <c r="EQ134" s="8"/>
      <c r="ER134" s="8"/>
      <c r="ES134" s="8"/>
      <c r="ET134" s="8"/>
      <c r="EU134" s="8"/>
      <c r="EV134" s="8"/>
      <c r="EW134" s="8"/>
      <c r="EX134" s="8"/>
      <c r="EY134" s="8"/>
      <c r="EZ134" s="8"/>
      <c r="FA134" s="8"/>
      <c r="FB134" s="8"/>
      <c r="FC134" s="8"/>
      <c r="FD134" s="8"/>
      <c r="FE134" s="8"/>
      <c r="FF134" s="8"/>
      <c r="FG134" s="8"/>
      <c r="FH134" s="8"/>
      <c r="FI134" s="8"/>
      <c r="FJ134" s="8"/>
      <c r="FK134" s="8"/>
      <c r="FL134" s="8"/>
      <c r="FM134" s="8"/>
      <c r="HC134" s="8" t="s">
        <v>161</v>
      </c>
      <c r="HD134" s="8" t="s">
        <v>157</v>
      </c>
      <c r="HE134" s="8" t="s">
        <v>162</v>
      </c>
      <c r="HF134" s="8" t="s">
        <v>160</v>
      </c>
      <c r="HG134" s="8" t="s">
        <v>72</v>
      </c>
    </row>
    <row r="135" spans="7:221" x14ac:dyDescent="0.25">
      <c r="G135" s="8">
        <f>ABS(SQRT(2)*($A$99*2*$D$98/($F$4*$G2^2))*(1-(B$103*2/($F$4))^$E$98))</f>
        <v>0.74379083396869272</v>
      </c>
      <c r="H135" s="8">
        <f t="shared" ref="H135:BS135" si="825">ABS(SQRT(2)*($A$99*2*$D$98/($F$4*$G2^2))*(1-(C$103*2/($F$4))^$E$98))</f>
        <v>0.74378958121435146</v>
      </c>
      <c r="I135" s="8">
        <f t="shared" si="825"/>
        <v>0.74378156829426845</v>
      </c>
      <c r="J135" s="8">
        <f t="shared" si="825"/>
        <v>0.74376096529394964</v>
      </c>
      <c r="K135" s="8">
        <f t="shared" si="825"/>
        <v>0.74372230279724971</v>
      </c>
      <c r="L135" s="8">
        <f t="shared" si="825"/>
        <v>0.7436603229289187</v>
      </c>
      <c r="M135" s="8">
        <f t="shared" si="825"/>
        <v>0.74356991801850303</v>
      </c>
      <c r="N135" s="8">
        <f t="shared" si="825"/>
        <v>0.74344609644298854</v>
      </c>
      <c r="O135" s="8">
        <f t="shared" si="825"/>
        <v>0.7432839608319648</v>
      </c>
      <c r="P135" s="8">
        <f t="shared" si="825"/>
        <v>0.74307869296744344</v>
      </c>
      <c r="Q135" s="8">
        <f t="shared" si="825"/>
        <v>0.74282554271925116</v>
      </c>
      <c r="R135" s="8">
        <f t="shared" si="825"/>
        <v>0.74251981959964763</v>
      </c>
      <c r="S135" s="8">
        <f t="shared" si="825"/>
        <v>0.74215688611302211</v>
      </c>
      <c r="T135" s="8">
        <f t="shared" si="825"/>
        <v>0.74173215238854606</v>
      </c>
      <c r="U135" s="8">
        <f t="shared" si="825"/>
        <v>0.74124107176089449</v>
      </c>
      <c r="V135" s="8">
        <f t="shared" si="825"/>
        <v>0.74067913707091626</v>
      </c>
      <c r="W135" s="8">
        <f t="shared" si="825"/>
        <v>0.74004187752556305</v>
      </c>
      <c r="X135" s="8">
        <f t="shared" si="825"/>
        <v>0.73932485600066655</v>
      </c>
      <c r="Y135" s="8">
        <f t="shared" si="825"/>
        <v>0.73852366670020242</v>
      </c>
      <c r="Z135" s="8">
        <f t="shared" si="825"/>
        <v>0.73763393310663772</v>
      </c>
      <c r="AA135" s="8">
        <f t="shared" si="825"/>
        <v>0.73665130617195185</v>
      </c>
      <c r="AB135" s="8">
        <f t="shared" si="825"/>
        <v>0.73557146270984874</v>
      </c>
      <c r="AC135" s="8">
        <f t="shared" si="825"/>
        <v>0.73439010395782378</v>
      </c>
      <c r="AD135" s="8">
        <f t="shared" si="825"/>
        <v>0.73310295428388472</v>
      </c>
      <c r="AE135" s="8">
        <f t="shared" si="825"/>
        <v>0.73170576001745302</v>
      </c>
      <c r="AF135" s="8">
        <f t="shared" si="825"/>
        <v>0.73019428838762868</v>
      </c>
      <c r="AG135" s="8">
        <f t="shared" si="825"/>
        <v>0.72856432655489456</v>
      </c>
      <c r="AH135" s="8">
        <f t="shared" si="825"/>
        <v>0.72681168072461921</v>
      </c>
      <c r="AI135" s="8">
        <f t="shared" si="825"/>
        <v>0.72493217533256904</v>
      </c>
      <c r="AJ135" s="8">
        <f t="shared" si="825"/>
        <v>0.72292165229412486</v>
      </c>
      <c r="AK135" s="8">
        <f t="shared" si="825"/>
        <v>0.72077597031012308</v>
      </c>
      <c r="AL135" s="8">
        <f t="shared" si="825"/>
        <v>0.71849100422324408</v>
      </c>
      <c r="AM135" s="8">
        <f t="shared" si="825"/>
        <v>0.71606264441970346</v>
      </c>
      <c r="AN135" s="8">
        <f t="shared" si="825"/>
        <v>0.71348679627169875</v>
      </c>
      <c r="AO135" s="8">
        <f t="shared" si="825"/>
        <v>0.7107593796166487</v>
      </c>
      <c r="AP135" s="8">
        <f t="shared" si="825"/>
        <v>0.70787632826975422</v>
      </c>
      <c r="AQ135" s="8">
        <f t="shared" si="825"/>
        <v>0.70483358956683206</v>
      </c>
      <c r="AR135" s="8">
        <f t="shared" si="825"/>
        <v>0.70162712393473048</v>
      </c>
      <c r="AS135" s="8">
        <f t="shared" si="825"/>
        <v>0.69825290448694177</v>
      </c>
      <c r="AT135" s="8">
        <f t="shared" si="825"/>
        <v>0.69470691664229289</v>
      </c>
      <c r="AU135" s="8">
        <f t="shared" si="825"/>
        <v>0.69098515776482472</v>
      </c>
      <c r="AV135" s="8">
        <f t="shared" si="825"/>
        <v>0.68708363682316975</v>
      </c>
      <c r="AW135" s="8">
        <f t="shared" si="825"/>
        <v>0.68299837406791031</v>
      </c>
      <c r="AX135" s="8">
        <f t="shared" si="825"/>
        <v>0.67872540072555476</v>
      </c>
      <c r="AY135" s="8">
        <f t="shared" si="825"/>
        <v>0.67426075870789803</v>
      </c>
      <c r="AZ135" s="8">
        <f t="shared" si="825"/>
        <v>0.66960050033565588</v>
      </c>
      <c r="BA135" s="8">
        <f t="shared" si="825"/>
        <v>0.66474068807536102</v>
      </c>
      <c r="BB135" s="8">
        <f t="shared" si="825"/>
        <v>0.65967739428860672</v>
      </c>
      <c r="BC135" s="8">
        <f t="shared" si="825"/>
        <v>0.65440670099280096</v>
      </c>
      <c r="BD135" s="8">
        <f t="shared" si="825"/>
        <v>0.64892469963266874</v>
      </c>
      <c r="BE135" s="8">
        <f t="shared" si="825"/>
        <v>0.64322749086180808</v>
      </c>
      <c r="BF135" s="8">
        <f t="shared" si="825"/>
        <v>0.63731118433365863</v>
      </c>
      <c r="BG135" s="8">
        <f t="shared" si="825"/>
        <v>0.63117189850130007</v>
      </c>
      <c r="BH135" s="8">
        <f t="shared" si="825"/>
        <v>0.62480576042553793</v>
      </c>
      <c r="BI135" s="8">
        <f t="shared" si="825"/>
        <v>0.6182089055907849</v>
      </c>
      <c r="BJ135" s="8">
        <f t="shared" si="825"/>
        <v>0.61137747772827722</v>
      </c>
      <c r="BK135" s="8">
        <f t="shared" si="825"/>
        <v>0.60430762864620435</v>
      </c>
      <c r="BL135" s="8">
        <f t="shared" si="825"/>
        <v>0.59699551806636175</v>
      </c>
      <c r="BM135" s="8">
        <f t="shared" si="825"/>
        <v>0.58943731346696182</v>
      </c>
      <c r="BN135" s="8">
        <f t="shared" si="825"/>
        <v>0.58162918993127055</v>
      </c>
      <c r="BO135" s="8">
        <f t="shared" si="825"/>
        <v>0.57356733000175419</v>
      </c>
      <c r="BP135" s="8">
        <f t="shared" si="825"/>
        <v>0.56524792353944564</v>
      </c>
      <c r="BQ135" s="8">
        <f t="shared" si="825"/>
        <v>0.5566671675882634</v>
      </c>
      <c r="BR135" s="8">
        <f t="shared" si="825"/>
        <v>0.54782126624402483</v>
      </c>
      <c r="BS135" s="8">
        <f t="shared" si="825"/>
        <v>0.53870643052792255</v>
      </c>
      <c r="BT135" s="8">
        <f t="shared" ref="BT135:DB135" si="826">ABS(SQRT(2)*($A$99*2*$D$98/($F$4*$G2^2))*(1-(BO$103*2/($F$4))^$E$98))</f>
        <v>0.52931887826424273</v>
      </c>
      <c r="BU135" s="8">
        <f t="shared" si="826"/>
        <v>0.51965483396211654</v>
      </c>
      <c r="BV135" s="8">
        <f t="shared" si="826"/>
        <v>0.50971052870111544</v>
      </c>
      <c r="BW135" s="8">
        <f t="shared" si="826"/>
        <v>0.49948220002050614</v>
      </c>
      <c r="BX135" s="8">
        <f t="shared" si="826"/>
        <v>0.48896609181199674</v>
      </c>
      <c r="BY135" s="8">
        <f t="shared" si="826"/>
        <v>0.47815845421581377</v>
      </c>
      <c r="BZ135" s="8">
        <f t="shared" si="826"/>
        <v>0.46705554351995998</v>
      </c>
      <c r="CA135" s="8">
        <f t="shared" si="826"/>
        <v>0.45565362206251209</v>
      </c>
      <c r="CB135" s="8">
        <f t="shared" si="826"/>
        <v>0.44394895813682411</v>
      </c>
      <c r="CC135" s="8">
        <f t="shared" si="826"/>
        <v>0.43193782589951152</v>
      </c>
      <c r="CD135" s="8">
        <f t="shared" si="826"/>
        <v>0.41961650528109823</v>
      </c>
      <c r="CE135" s="8">
        <f t="shared" si="826"/>
        <v>0.40698128189921257</v>
      </c>
      <c r="CF135" s="8">
        <f t="shared" si="826"/>
        <v>0.39402844697422845</v>
      </c>
      <c r="CG135" s="8">
        <f t="shared" si="826"/>
        <v>0.38075429724725052</v>
      </c>
      <c r="CH135" s="8">
        <f t="shared" si="826"/>
        <v>0.3671551349003494</v>
      </c>
      <c r="CI135" s="8">
        <f t="shared" si="826"/>
        <v>0.353227267478956</v>
      </c>
      <c r="CJ135" s="8">
        <f t="shared" si="826"/>
        <v>0.33896700781633049</v>
      </c>
      <c r="CK135" s="8">
        <f t="shared" si="826"/>
        <v>0.32437067396002706</v>
      </c>
      <c r="CL135" s="8">
        <f t="shared" si="826"/>
        <v>0.3094345891002736</v>
      </c>
      <c r="CM135" s="8">
        <f t="shared" si="826"/>
        <v>0.29415508150019765</v>
      </c>
      <c r="CN135" s="8">
        <f t="shared" si="826"/>
        <v>0.27852848442782774</v>
      </c>
      <c r="CO135" s="8">
        <f t="shared" si="826"/>
        <v>0.26255113608980435</v>
      </c>
      <c r="CP135" s="8">
        <f t="shared" si="826"/>
        <v>0.24621937956673723</v>
      </c>
      <c r="CQ135" s="8">
        <f t="shared" si="826"/>
        <v>0.22952956275015252</v>
      </c>
      <c r="CR135" s="8">
        <f t="shared" si="826"/>
        <v>0.21247803828096748</v>
      </c>
      <c r="CS135" s="8">
        <f t="shared" si="826"/>
        <v>0.19506116348944455</v>
      </c>
      <c r="CT135" s="8">
        <f t="shared" si="826"/>
        <v>0.17727530033656932</v>
      </c>
      <c r="CU135" s="8">
        <f t="shared" si="826"/>
        <v>0.15911681535680428</v>
      </c>
      <c r="CV135" s="8">
        <f t="shared" si="826"/>
        <v>0.14058207960217123</v>
      </c>
      <c r="CW135" s="8">
        <f t="shared" si="826"/>
        <v>0.12166746858761766</v>
      </c>
      <c r="CX135" s="8">
        <f t="shared" si="826"/>
        <v>0.10236936223762458</v>
      </c>
      <c r="CY135" s="8">
        <f t="shared" si="826"/>
        <v>8.2684144834012235E-2</v>
      </c>
      <c r="CZ135" s="8">
        <f t="shared" si="826"/>
        <v>6.2608204964908321E-2</v>
      </c>
      <c r="DA135" s="8">
        <f t="shared" si="826"/>
        <v>4.2137935474837601E-2</v>
      </c>
      <c r="DB135" s="8">
        <f t="shared" si="826"/>
        <v>2.1269733415899293E-2</v>
      </c>
      <c r="DC135" s="8">
        <f>ABS(SQRT(2)*($A$99*2*$D$98/($F$4*$G2^2))*(1-(CX$103*2/($F$4))^$E$98))</f>
        <v>4.2940232887613863E-15</v>
      </c>
      <c r="DD135" s="8"/>
      <c r="DE135" s="8">
        <f>G140/G135</f>
        <v>2.4495246231292477E-2</v>
      </c>
      <c r="DF135" s="8">
        <f t="shared" ref="DF135:FQ135" si="827">H140/H135</f>
        <v>1.6243887675312457E-2</v>
      </c>
      <c r="DG135" s="8">
        <f t="shared" si="827"/>
        <v>6.0194527808317445E-3</v>
      </c>
      <c r="DH135" s="8">
        <f t="shared" si="827"/>
        <v>4.1084028290707328E-2</v>
      </c>
      <c r="DI135" s="8">
        <f t="shared" si="827"/>
        <v>8.8359668764736665E-2</v>
      </c>
      <c r="DJ135" s="8">
        <f t="shared" si="827"/>
        <v>0.14745530883262431</v>
      </c>
      <c r="DK135" s="8">
        <f t="shared" si="827"/>
        <v>0.21808352246598919</v>
      </c>
      <c r="DL135" s="8">
        <f t="shared" si="827"/>
        <v>0.3000218933288486</v>
      </c>
      <c r="DM135" s="8">
        <f t="shared" si="827"/>
        <v>0.39309366686022956</v>
      </c>
      <c r="DN135" s="8">
        <f t="shared" si="827"/>
        <v>0.49715682280328283</v>
      </c>
      <c r="DO135" s="8">
        <f t="shared" si="827"/>
        <v>0.61209741861131761</v>
      </c>
      <c r="DP135" s="8">
        <f t="shared" si="827"/>
        <v>0.73782533129786854</v>
      </c>
      <c r="DQ135" s="8">
        <f t="shared" si="827"/>
        <v>0.87427145133427042</v>
      </c>
      <c r="DR135" s="8">
        <f t="shared" si="827"/>
        <v>1.0213858089519503</v>
      </c>
      <c r="DS135" s="8">
        <f t="shared" si="827"/>
        <v>1.179136328989699</v>
      </c>
      <c r="DT135" s="8">
        <f t="shared" si="827"/>
        <v>1.347508027700199</v>
      </c>
      <c r="DU135" s="8">
        <f t="shared" si="827"/>
        <v>1.5265025324853889</v>
      </c>
      <c r="DV135" s="8">
        <f t="shared" si="827"/>
        <v>1.7161378463715329</v>
      </c>
      <c r="DW135" s="8">
        <f t="shared" si="827"/>
        <v>1.9164483047673977</v>
      </c>
      <c r="DX135" s="8">
        <f t="shared" si="827"/>
        <v>2.1274846888612364</v>
      </c>
      <c r="DY135" s="8">
        <f t="shared" si="827"/>
        <v>2.3493144713662577</v>
      </c>
      <c r="DZ135" s="8">
        <f t="shared" si="827"/>
        <v>2.5820221782361381</v>
      </c>
      <c r="EA135" s="8">
        <f t="shared" si="827"/>
        <v>2.825709855658002</v>
      </c>
      <c r="EB135" s="8">
        <f t="shared" si="827"/>
        <v>3.0804976358498606</v>
      </c>
      <c r="EC135" s="8">
        <f t="shared" si="827"/>
        <v>3.3465243984283868</v>
      </c>
      <c r="ED135" s="8">
        <f t="shared" si="827"/>
        <v>3.6239485266938254</v>
      </c>
      <c r="EE135" s="8">
        <f t="shared" si="827"/>
        <v>3.9129487603180717</v>
      </c>
      <c r="EF135" s="8">
        <f t="shared" si="827"/>
        <v>4.2137251477746984</v>
      </c>
      <c r="EG135" s="8">
        <f t="shared" si="827"/>
        <v>4.5265001035226797</v>
      </c>
      <c r="EH135" s="8">
        <f t="shared" si="827"/>
        <v>4.8515195765346997</v>
      </c>
      <c r="EI135" s="8">
        <f t="shared" si="827"/>
        <v>5.1890543383080621</v>
      </c>
      <c r="EJ135" s="8">
        <f t="shared" si="827"/>
        <v>5.5394014000662528</v>
      </c>
      <c r="EK135" s="8">
        <f t="shared" si="827"/>
        <v>5.902885570497916</v>
      </c>
      <c r="EL135" s="8">
        <f t="shared" si="827"/>
        <v>6.279861167130071</v>
      </c>
      <c r="EM135" s="8">
        <f t="shared" si="827"/>
        <v>6.6707138963358137</v>
      </c>
      <c r="EN135" s="8">
        <f t="shared" si="827"/>
        <v>7.0758629190756777</v>
      </c>
      <c r="EO135" s="8">
        <f t="shared" si="827"/>
        <v>7.4957631218123586</v>
      </c>
      <c r="EP135" s="8">
        <f t="shared" si="827"/>
        <v>7.9309076146702804</v>
      </c>
      <c r="EQ135" s="8">
        <f t="shared" si="827"/>
        <v>8.3818304818901108</v>
      </c>
      <c r="ER135" s="8">
        <f t="shared" si="827"/>
        <v>8.8491098130190871</v>
      </c>
      <c r="ES135" s="8">
        <f t="shared" si="827"/>
        <v>9.333371047154353</v>
      </c>
      <c r="ET135" s="8">
        <f t="shared" si="827"/>
        <v>9.8352906670060047</v>
      </c>
      <c r="EU135" s="8">
        <f t="shared" si="827"/>
        <v>10.355600284671803</v>
      </c>
      <c r="EV135" s="8">
        <f t="shared" si="827"/>
        <v>10.895091166937371</v>
      </c>
      <c r="EW135" s="8">
        <f t="shared" si="827"/>
        <v>11.45461925478074</v>
      </c>
      <c r="EX135" s="8">
        <f t="shared" si="827"/>
        <v>12.035110739738521</v>
      </c>
      <c r="EY135" s="8">
        <f t="shared" si="827"/>
        <v>12.637568269095734</v>
      </c>
      <c r="EZ135" s="8">
        <f t="shared" si="827"/>
        <v>13.263077862737624</v>
      </c>
      <c r="FA135" s="8">
        <f t="shared" si="827"/>
        <v>13.912816637259526</v>
      </c>
      <c r="FB135" s="8">
        <f t="shared" si="827"/>
        <v>14.588061447933852</v>
      </c>
      <c r="FC135" s="8">
        <f t="shared" si="827"/>
        <v>15.290198576837112</v>
      </c>
      <c r="FD135" s="8">
        <f t="shared" si="827"/>
        <v>16.020734616390719</v>
      </c>
      <c r="FE135" s="8">
        <f t="shared" si="827"/>
        <v>16.781308722448674</v>
      </c>
      <c r="FF135" s="8">
        <f t="shared" si="827"/>
        <v>17.573706440707188</v>
      </c>
      <c r="FG135" s="8">
        <f t="shared" si="827"/>
        <v>18.399875345651001</v>
      </c>
      <c r="FH135" s="8">
        <f t="shared" si="827"/>
        <v>19.261942773780525</v>
      </c>
      <c r="FI135" s="8">
        <f t="shared" si="827"/>
        <v>20.162235984088657</v>
      </c>
      <c r="FJ135" s="8">
        <f t="shared" si="827"/>
        <v>21.103305140705054</v>
      </c>
      <c r="FK135" s="8">
        <f t="shared" si="827"/>
        <v>22.087949587849742</v>
      </c>
      <c r="FL135" s="8">
        <f t="shared" si="827"/>
        <v>23.119247978968673</v>
      </c>
      <c r="FM135" s="8">
        <f t="shared" si="827"/>
        <v>24.200592934306016</v>
      </c>
      <c r="FN135" s="8">
        <f t="shared" si="827"/>
        <v>25.335731039468428</v>
      </c>
      <c r="FO135" s="8">
        <f t="shared" si="827"/>
        <v>26.528809168610678</v>
      </c>
      <c r="FP135" s="8">
        <f t="shared" si="827"/>
        <v>27.784428328541807</v>
      </c>
      <c r="FQ135" s="8">
        <f t="shared" si="827"/>
        <v>29.107706485903389</v>
      </c>
      <c r="FR135" s="8">
        <f t="shared" ref="FR135" si="828">BT140/BT135</f>
        <v>30.504352173775022</v>
      </c>
      <c r="FS135" s="8">
        <f>BU140/BU135</f>
        <v>31.980751096738334</v>
      </c>
      <c r="FT135" s="8">
        <f t="shared" ref="FT135" si="829">BV140/BV135</f>
        <v>33.54406849138028</v>
      </c>
      <c r="FU135" s="8">
        <f t="shared" ref="FU135" si="830">BW140/BW135</f>
        <v>35.202370688463816</v>
      </c>
      <c r="FV135" s="8">
        <f t="shared" ref="FV135" si="831">BX140/BX135</f>
        <v>36.964770212349542</v>
      </c>
      <c r="FW135" s="8">
        <f t="shared" ref="FW135" si="832">BY140/BY135</f>
        <v>38.84159990940784</v>
      </c>
      <c r="FX135" s="8">
        <f t="shared" ref="FX135" si="833">BZ140/BZ135</f>
        <v>40.844623112130336</v>
      </c>
      <c r="FY135" s="8">
        <f t="shared" ref="FY135" si="834">CA140/CA135</f>
        <v>42.987288847572842</v>
      </c>
      <c r="FZ135" s="8">
        <f t="shared" ref="FZ135" si="835">CB140/CB135</f>
        <v>45.28504376798638</v>
      </c>
      <c r="GA135" s="8">
        <f t="shared" ref="GA135" si="836">CC140/CC135</f>
        <v>47.755716074692216</v>
      </c>
      <c r="GB135" s="8">
        <f t="shared" ref="GB135" si="837">CD140/CD135</f>
        <v>50.419991592994947</v>
      </c>
      <c r="GC135" s="8">
        <f t="shared" ref="GC135" si="838">CE140/CE135</f>
        <v>53.302008875202759</v>
      </c>
      <c r="GD135" s="8">
        <f>CF140/CF135</f>
        <v>56.430109557376603</v>
      </c>
      <c r="GE135" s="8">
        <f t="shared" ref="GE135" si="839">CG140/CG135</f>
        <v>59.837793368387395</v>
      </c>
      <c r="GF135" s="8">
        <f t="shared" ref="GF135" si="840">CH140/CH135</f>
        <v>63.564946008381526</v>
      </c>
      <c r="GG135" s="8">
        <f t="shared" ref="GG135" si="841">CI140/CI135</f>
        <v>67.659435400597616</v>
      </c>
      <c r="GH135" s="8">
        <f t="shared" ref="GH135" si="842">CJ140/CJ135</f>
        <v>72.17921203267548</v>
      </c>
      <c r="GI135" s="8">
        <f t="shared" ref="GI135" si="843">CK140/CK135</f>
        <v>77.19510942189379</v>
      </c>
      <c r="GJ135" s="8">
        <f t="shared" ref="GJ135" si="844">CL140/CL135</f>
        <v>82.794632990281286</v>
      </c>
      <c r="GK135" s="8">
        <f t="shared" ref="GK135" si="845">CM140/CM135</f>
        <v>89.087169778530495</v>
      </c>
      <c r="GL135" s="8">
        <f t="shared" ref="GL135" si="846">CN140/CN135</f>
        <v>96.211282056416039</v>
      </c>
      <c r="GM135" s="8">
        <f t="shared" ref="GM135" si="847">CO140/CO135</f>
        <v>104.34512677754873</v>
      </c>
      <c r="GN135" s="8">
        <f t="shared" ref="GN135" si="848">CP140/CP135</f>
        <v>113.72168402497326</v>
      </c>
      <c r="GO135" s="8">
        <f t="shared" ref="GO135" si="849">CQ140/CQ135</f>
        <v>124.65159969180655</v>
      </c>
      <c r="GP135" s="8">
        <f t="shared" ref="GP135" si="850">CR140/CR135</f>
        <v>137.5584878187214</v>
      </c>
      <c r="GQ135" s="8">
        <f t="shared" ref="GQ135" si="851">CS140/CS135</f>
        <v>153.03541434754936</v>
      </c>
      <c r="GR135" s="8">
        <f t="shared" ref="GR135" si="852">CT140/CT135</f>
        <v>171.93903672519124</v>
      </c>
      <c r="GS135" s="8">
        <f t="shared" ref="GS135" si="853">CU140/CU135</f>
        <v>195.55434822625429</v>
      </c>
      <c r="GT135" s="8">
        <f t="shared" ref="GT135" si="854">CV140/CV135</f>
        <v>225.900631712446</v>
      </c>
      <c r="GU135" s="8">
        <f t="shared" ref="GU135" si="855">CW140/CW135</f>
        <v>266.34336717086148</v>
      </c>
      <c r="GV135" s="8">
        <f t="shared" ref="GV135" si="856">CX140/CX135</f>
        <v>322.9404283207096</v>
      </c>
      <c r="GW135" s="8">
        <f t="shared" ref="GW135" si="857">CY140/CY135</f>
        <v>407.80757415718807</v>
      </c>
      <c r="GX135" s="8">
        <f t="shared" ref="GX135" si="858">CZ140/CZ135</f>
        <v>549.21492361779224</v>
      </c>
      <c r="GY135" s="8">
        <f t="shared" ref="GY135" si="859">DA140/DA135</f>
        <v>831.97285429758381</v>
      </c>
      <c r="GZ135" s="8">
        <f t="shared" ref="GZ135" si="860">DB140/DB135</f>
        <v>1680.1332935522919</v>
      </c>
      <c r="HA135" s="8">
        <f>DC140/DC135</f>
        <v>8481663339130624</v>
      </c>
      <c r="HB135" s="8"/>
      <c r="HC135" s="8">
        <f>0.00042</f>
        <v>4.2000000000000002E-4</v>
      </c>
      <c r="HD135" s="8">
        <f>2*HC135</f>
        <v>8.4000000000000003E-4</v>
      </c>
      <c r="HE135" s="8">
        <f>HD135/(1.6*10^-3)</f>
        <v>0.52500000000000002</v>
      </c>
      <c r="HF135" s="8">
        <f>DJ40</f>
        <v>0.39285714285714285</v>
      </c>
      <c r="HG135" s="8">
        <f>HF135-HE135</f>
        <v>-0.13214285714285717</v>
      </c>
      <c r="HH135" s="8"/>
      <c r="HI135" s="8"/>
      <c r="HJ135" s="8"/>
      <c r="HK135" s="8"/>
      <c r="HL135" s="8"/>
      <c r="HM135" s="8"/>
    </row>
    <row r="136" spans="7:221" x14ac:dyDescent="0.25">
      <c r="G136" s="8">
        <f t="shared" ref="G136:G137" si="861">ABS(SQRT(2)*($A$99*2*$D$98/($F$4*$G3^2))*(1-(B$103*2/($F$4))^$E$98))</f>
        <v>0.14692164621603809</v>
      </c>
      <c r="H136" s="8">
        <f t="shared" ref="H136:H137" si="862">ABS(SQRT(2)*($A$99*2*$D$98/($F$4*$G3^2))*(1-(C$103*2/($F$4))^$E$98))</f>
        <v>0.14692139875839044</v>
      </c>
      <c r="I136" s="8">
        <f t="shared" ref="I136:I137" si="863">ABS(SQRT(2)*($A$99*2*$D$98/($F$4*$G3^2))*(1-(D$103*2/($F$4))^$E$98))</f>
        <v>0.14691981595936168</v>
      </c>
      <c r="J136" s="8">
        <f t="shared" ref="J136:J137" si="864">ABS(SQRT(2)*($A$99*2*$D$98/($F$4*$G3^2))*(1-(E$103*2/($F$4))^$E$98))</f>
        <v>0.14691574623090364</v>
      </c>
      <c r="K136" s="8">
        <f t="shared" ref="K136:K137" si="865">ABS(SQRT(2)*($A$99*2*$D$98/($F$4*$G3^2))*(1-(F$103*2/($F$4))^$E$98))</f>
        <v>0.14690810919451849</v>
      </c>
      <c r="L136" s="8">
        <f t="shared" ref="L136:L137" si="866">ABS(SQRT(2)*($A$99*2*$D$98/($F$4*$G3^2))*(1-(G$103*2/($F$4))^$E$98))</f>
        <v>0.14689586625756421</v>
      </c>
      <c r="M136" s="8">
        <f t="shared" ref="M136:M137" si="867">ABS(SQRT(2)*($A$99*2*$D$98/($F$4*$G3^2))*(1-(H$103*2/($F$4))^$E$98))</f>
        <v>0.14687800849748212</v>
      </c>
      <c r="N136" s="8">
        <f t="shared" ref="N136:N137" si="868">ABS(SQRT(2)*($A$99*2*$D$98/($F$4*$G3^2))*(1-(I$103*2/($F$4))^$E$98))</f>
        <v>0.14685354991466443</v>
      </c>
      <c r="O136" s="8">
        <f t="shared" ref="O136:O137" si="869">ABS(SQRT(2)*($A$99*2*$D$98/($F$4*$G3^2))*(1-(J$103*2/($F$4))^$E$98))</f>
        <v>0.14682152312730171</v>
      </c>
      <c r="P136" s="8">
        <f t="shared" ref="P136:P137" si="870">ABS(SQRT(2)*($A$99*2*$D$98/($F$4*$G3^2))*(1-(K$103*2/($F$4))^$E$98))</f>
        <v>0.14678097638863083</v>
      </c>
      <c r="Q136" s="8">
        <f t="shared" ref="Q136:Q137" si="871">ABS(SQRT(2)*($A$99*2*$D$98/($F$4*$G3^2))*(1-(L$103*2/($F$4))^$E$98))</f>
        <v>0.14673097140133359</v>
      </c>
      <c r="R136" s="8">
        <f t="shared" ref="R136:R137" si="872">ABS(SQRT(2)*($A$99*2*$D$98/($F$4*$G3^2))*(1-(M$103*2/($F$4))^$E$98))</f>
        <v>0.14667058164931315</v>
      </c>
      <c r="S136" s="8">
        <f t="shared" ref="S136:S137" si="873">ABS(SQRT(2)*($A$99*2*$D$98/($F$4*$G3^2))*(1-(N$103*2/($F$4))^$E$98))</f>
        <v>0.14659889108405377</v>
      </c>
      <c r="T136" s="8">
        <f t="shared" ref="T136:T137" si="874">ABS(SQRT(2)*($A$99*2*$D$98/($F$4*$G3^2))*(1-(O$103*2/($F$4))^$E$98))</f>
        <v>0.14651499306440419</v>
      </c>
      <c r="U136" s="8">
        <f t="shared" ref="U136:U137" si="875">ABS(SQRT(2)*($A$99*2*$D$98/($F$4*$G3^2))*(1-(P$103*2/($F$4))^$E$98))</f>
        <v>0.14641798948363349</v>
      </c>
      <c r="V136" s="8">
        <f t="shared" ref="V136:V137" si="876">ABS(SQRT(2)*($A$99*2*$D$98/($F$4*$G3^2))*(1-(Q$103*2/($F$4))^$E$98))</f>
        <v>0.14630699003869954</v>
      </c>
      <c r="W136" s="8">
        <f t="shared" ref="W136:W137" si="877">ABS(SQRT(2)*($A$99*2*$D$98/($F$4*$G3^2))*(1-(R$103*2/($F$4))^$E$98))</f>
        <v>0.14618111160998778</v>
      </c>
      <c r="X136" s="8">
        <f t="shared" ref="X136:X137" si="878">ABS(SQRT(2)*($A$99*2*$D$98/($F$4*$G3^2))*(1-(S$103*2/($F$4))^$E$98))</f>
        <v>0.14603947772852677</v>
      </c>
      <c r="Y136" s="8">
        <f t="shared" ref="Y136:Y137" si="879">ABS(SQRT(2)*($A$99*2*$D$98/($F$4*$G3^2))*(1-(T$103*2/($F$4))^$E$98))</f>
        <v>0.14588121811362026</v>
      </c>
      <c r="Z136" s="8">
        <f t="shared" ref="Z136:Z137" si="880">ABS(SQRT(2)*($A$99*2*$D$98/($F$4*$G3^2))*(1-(U$103*2/($F$4))^$E$98))</f>
        <v>0.14570546826797787</v>
      </c>
      <c r="AA136" s="8">
        <f t="shared" ref="AA136:AA137" si="881">ABS(SQRT(2)*($A$99*2*$D$98/($F$4*$G3^2))*(1-(V$103*2/($F$4))^$E$98))</f>
        <v>0.14551136912038556</v>
      </c>
      <c r="AB136" s="8">
        <f t="shared" ref="AB136:AB137" si="882">ABS(SQRT(2)*($A$99*2*$D$98/($F$4*$G3^2))*(1-(W$103*2/($F$4))^$E$98))</f>
        <v>0.14529806670811829</v>
      </c>
      <c r="AC136" s="8">
        <f t="shared" ref="AC136:AC137" si="883">ABS(SQRT(2)*($A$99*2*$D$98/($F$4*$G3^2))*(1-(X$103*2/($F$4))^$E$98))</f>
        <v>0.14506471189290349</v>
      </c>
      <c r="AD136" s="8">
        <f t="shared" ref="AD136:AD137" si="884">ABS(SQRT(2)*($A$99*2*$D$98/($F$4*$G3^2))*(1-(Y$103*2/($F$4))^$E$98))</f>
        <v>0.14481046010545875</v>
      </c>
      <c r="AE136" s="8">
        <f t="shared" ref="AE136:AE137" si="885">ABS(SQRT(2)*($A$99*2*$D$98/($F$4*$G3^2))*(1-(Z$103*2/($F$4))^$E$98))</f>
        <v>0.14453447111455864</v>
      </c>
      <c r="AF136" s="8">
        <f t="shared" ref="AF136:AF137" si="886">ABS(SQRT(2)*($A$99*2*$D$98/($F$4*$G3^2))*(1-(AA$103*2/($F$4))^$E$98))</f>
        <v>0.14423590881730941</v>
      </c>
      <c r="AG136" s="8">
        <f t="shared" ref="AG136:AG137" si="887">ABS(SQRT(2)*($A$99*2*$D$98/($F$4*$G3^2))*(1-(AB$103*2/($F$4))^$E$98))</f>
        <v>0.14391394104788044</v>
      </c>
      <c r="AH136" s="8">
        <f t="shared" ref="AH136:AH137" si="888">ABS(SQRT(2)*($A$99*2*$D$98/($F$4*$G3^2))*(1-(AC$103*2/($F$4))^$E$98))</f>
        <v>0.14356773940239395</v>
      </c>
      <c r="AI136" s="8">
        <f t="shared" ref="AI136:AI137" si="889">ABS(SQRT(2)*($A$99*2*$D$98/($F$4*$G3^2))*(1-(AD$103*2/($F$4))^$E$98))</f>
        <v>0.14319647907803834</v>
      </c>
      <c r="AJ136" s="8">
        <f t="shared" ref="AJ136:AJ137" si="890">ABS(SQRT(2)*($A$99*2*$D$98/($F$4*$G3^2))*(1-(AE$103*2/($F$4))^$E$98))</f>
        <v>0.14279933872476544</v>
      </c>
      <c r="AK136" s="8">
        <f t="shared" ref="AK136:AK137" si="891">ABS(SQRT(2)*($A$99*2*$D$98/($F$4*$G3^2))*(1-(AF$103*2/($F$4))^$E$98))</f>
        <v>0.14237550030817248</v>
      </c>
      <c r="AL136" s="8">
        <f t="shared" ref="AL136:AL137" si="892">ABS(SQRT(2)*($A$99*2*$D$98/($F$4*$G3^2))*(1-(AG$103*2/($F$4))^$E$98))</f>
        <v>0.14192414898236921</v>
      </c>
      <c r="AM136" s="8">
        <f t="shared" ref="AM136:AM137" si="893">ABS(SQRT(2)*($A$99*2*$D$98/($F$4*$G3^2))*(1-(AH$103*2/($F$4))^$E$98))</f>
        <v>0.1414444729717933</v>
      </c>
      <c r="AN136" s="8">
        <f t="shared" ref="AN136:AN137" si="894">ABS(SQRT(2)*($A$99*2*$D$98/($F$4*$G3^2))*(1-(AI$103*2/($F$4))^$E$98))</f>
        <v>0.14093566346107633</v>
      </c>
      <c r="AO136" s="8">
        <f t="shared" ref="AO136:AO137" si="895">ABS(SQRT(2)*($A$99*2*$D$98/($F$4*$G3^2))*(1-(AJ$103*2/($F$4))^$E$98))</f>
        <v>0.14039691449217756</v>
      </c>
      <c r="AP136" s="8">
        <f t="shared" ref="AP136:AP137" si="896">ABS(SQRT(2)*($A$99*2*$D$98/($F$4*$G3^2))*(1-(AK$103*2/($F$4))^$E$98))</f>
        <v>0.13982742286809963</v>
      </c>
      <c r="AQ136" s="8">
        <f t="shared" ref="AQ136:AQ137" si="897">ABS(SQRT(2)*($A$99*2*$D$98/($F$4*$G3^2))*(1-(AL$103*2/($F$4))^$E$98))</f>
        <v>0.13922638806258411</v>
      </c>
      <c r="AR136" s="8">
        <f t="shared" ref="AR136:AR137" si="898">ABS(SQRT(2)*($A$99*2*$D$98/($F$4*$G3^2))*(1-(AM$103*2/($F$4))^$E$98))</f>
        <v>0.13859301213525543</v>
      </c>
      <c r="AS136" s="8">
        <f t="shared" ref="AS136:AS137" si="899">ABS(SQRT(2)*($A$99*2*$D$98/($F$4*$G3^2))*(1-(AN$103*2/($F$4))^$E$98))</f>
        <v>0.13792649965174161</v>
      </c>
      <c r="AT136" s="8">
        <f t="shared" ref="AT136:AT137" si="900">ABS(SQRT(2)*($A$99*2*$D$98/($F$4*$G3^2))*(1-(AO$103*2/($F$4))^$E$98))</f>
        <v>0.13722605760835418</v>
      </c>
      <c r="AU136" s="8">
        <f t="shared" ref="AU136:AU137" si="901">ABS(SQRT(2)*($A$99*2*$D$98/($F$4*$G3^2))*(1-(AP$103*2/($F$4))^$E$98))</f>
        <v>0.13649089536095305</v>
      </c>
      <c r="AV136" s="8">
        <f t="shared" ref="AV136:AV137" si="902">ABS(SQRT(2)*($A$99*2*$D$98/($F$4*$G3^2))*(1-(AQ$103*2/($F$4))^$E$98))</f>
        <v>0.13572022455766317</v>
      </c>
      <c r="AW136" s="8">
        <f t="shared" ref="AW136:AW137" si="903">ABS(SQRT(2)*($A$99*2*$D$98/($F$4*$G3^2))*(1-(AR$103*2/($F$4))^$E$98))</f>
        <v>0.13491325907514279</v>
      </c>
      <c r="AX136" s="8">
        <f t="shared" ref="AX136:AX137" si="904">ABS(SQRT(2)*($A$99*2*$D$98/($F$4*$G3^2))*(1-(AS$103*2/($F$4))^$E$98))</f>
        <v>0.13406921495813429</v>
      </c>
      <c r="AY136" s="8">
        <f t="shared" ref="AY136:AY137" si="905">ABS(SQRT(2)*($A$99*2*$D$98/($F$4*$G3^2))*(1-(AT$103*2/($F$4))^$E$98))</f>
        <v>0.13318731036205397</v>
      </c>
      <c r="AZ136" s="8">
        <f t="shared" ref="AZ136:AZ137" si="906">ABS(SQRT(2)*($A$99*2*$D$98/($F$4*$G3^2))*(1-(AU$103*2/($F$4))^$E$98))</f>
        <v>0.13226676549840119</v>
      </c>
      <c r="BA136" s="8">
        <f t="shared" ref="BA136:BA137" si="907">ABS(SQRT(2)*($A$99*2*$D$98/($F$4*$G3^2))*(1-(AV$103*2/($F$4))^$E$98))</f>
        <v>0.13130680258278737</v>
      </c>
      <c r="BB136" s="8">
        <f t="shared" ref="BB136:BB137" si="908">ABS(SQRT(2)*($A$99*2*$D$98/($F$4*$G3^2))*(1-(AW$103*2/($F$4))^$E$98))</f>
        <v>0.13030664578540382</v>
      </c>
      <c r="BC136" s="8">
        <f t="shared" ref="BC136:BC137" si="909">ABS(SQRT(2)*($A$99*2*$D$98/($F$4*$G3^2))*(1-(AX$103*2/($F$4))^$E$98))</f>
        <v>0.12926552118376317</v>
      </c>
      <c r="BD136" s="8">
        <f t="shared" ref="BD136:BD137" si="910">ABS(SQRT(2)*($A$99*2*$D$98/($F$4*$G3^2))*(1-(AY$103*2/($F$4))^$E$98))</f>
        <v>0.12818265671756424</v>
      </c>
      <c r="BE136" s="8">
        <f t="shared" ref="BE136:BE137" si="911">ABS(SQRT(2)*($A$99*2*$D$98/($F$4*$G3^2))*(1-(AZ$103*2/($F$4))^$E$98))</f>
        <v>0.12705728214554235</v>
      </c>
      <c r="BF136" s="8">
        <f t="shared" ref="BF136:BF137" si="912">ABS(SQRT(2)*($A$99*2*$D$98/($F$4*$G3^2))*(1-(BA$103*2/($F$4))^$E$98))</f>
        <v>0.12588862900417952</v>
      </c>
      <c r="BG136" s="8">
        <f t="shared" ref="BG136:BG137" si="913">ABS(SQRT(2)*($A$99*2*$D$98/($F$4*$G3^2))*(1-(BB$103*2/($F$4))^$E$98))</f>
        <v>0.12467593056815807</v>
      </c>
      <c r="BH136" s="8">
        <f t="shared" ref="BH136:BH137" si="914">ABS(SQRT(2)*($A$99*2*$D$98/($F$4*$G3^2))*(1-(BC$103*2/($F$4))^$E$98))</f>
        <v>0.12341842181245195</v>
      </c>
      <c r="BI136" s="8">
        <f t="shared" ref="BI136:BI137" si="915">ABS(SQRT(2)*($A$99*2*$D$98/($F$4*$G3^2))*(1-(BD$103*2/($F$4))^$E$98))</f>
        <v>0.12211533937595753</v>
      </c>
      <c r="BJ136" s="8">
        <f t="shared" ref="BJ136:BJ137" si="916">ABS(SQRT(2)*($A$99*2*$D$98/($F$4*$G3^2))*(1-(BE$103*2/($F$4))^$E$98))</f>
        <v>0.1207659215265733</v>
      </c>
      <c r="BK136" s="8">
        <f t="shared" ref="BK136:BK137" si="917">ABS(SQRT(2)*($A$99*2*$D$98/($F$4*$G3^2))*(1-(BF$103*2/($F$4))^$E$98))</f>
        <v>0.11936940812764532</v>
      </c>
      <c r="BL136" s="8">
        <f t="shared" ref="BL136:BL137" si="918">ABS(SQRT(2)*($A$99*2*$D$98/($F$4*$G3^2))*(1-(BG$103*2/($F$4))^$E$98))</f>
        <v>0.11792504060570111</v>
      </c>
      <c r="BM136" s="8">
        <f t="shared" ref="BM136:BM137" si="919">ABS(SQRT(2)*($A$99*2*$D$98/($F$4*$G3^2))*(1-(BH$103*2/($F$4))^$E$98))</f>
        <v>0.11643206191939989</v>
      </c>
      <c r="BN136" s="8">
        <f t="shared" ref="BN136:BN137" si="920">ABS(SQRT(2)*($A$99*2*$D$98/($F$4*$G3^2))*(1-(BI$103*2/($F$4))^$E$98))</f>
        <v>0.11488971652963371</v>
      </c>
      <c r="BO136" s="8">
        <f t="shared" ref="BO136:BO137" si="921">ABS(SQRT(2)*($A$99*2*$D$98/($F$4*$G3^2))*(1-(BJ$103*2/($F$4))^$E$98))</f>
        <v>0.11329725037071689</v>
      </c>
      <c r="BP136" s="8">
        <f t="shared" ref="BP136:BP137" si="922">ABS(SQRT(2)*($A$99*2*$D$98/($F$4*$G3^2))*(1-(BK$103*2/($F$4))^$E$98))</f>
        <v>0.11165391082260656</v>
      </c>
      <c r="BQ136" s="8">
        <f t="shared" ref="BQ136:BQ137" si="923">ABS(SQRT(2)*($A$99*2*$D$98/($F$4*$G3^2))*(1-(BL$103*2/($F$4))^$E$98))</f>
        <v>0.10995894668410143</v>
      </c>
      <c r="BR136" s="8">
        <f t="shared" ref="BR136:BR137" si="924">ABS(SQRT(2)*($A$99*2*$D$98/($F$4*$G3^2))*(1-(BM$103*2/($F$4))^$E$98))</f>
        <v>0.10821160814696788</v>
      </c>
      <c r="BS136" s="8">
        <f t="shared" ref="BS136:BS137" si="925">ABS(SQRT(2)*($A$99*2*$D$98/($F$4*$G3^2))*(1-(BN$103*2/($F$4))^$E$98))</f>
        <v>0.10641114677094768</v>
      </c>
      <c r="BT136" s="8">
        <f t="shared" ref="BT136:BT137" si="926">ABS(SQRT(2)*($A$99*2*$D$98/($F$4*$G3^2))*(1-(BO$103*2/($F$4))^$E$98))</f>
        <v>0.10455681545960352</v>
      </c>
      <c r="BU136" s="8">
        <f t="shared" ref="BU136:BU137" si="927">ABS(SQRT(2)*($A$99*2*$D$98/($F$4*$G3^2))*(1-(BP$103*2/($F$4))^$E$98))</f>
        <v>0.1026478684369613</v>
      </c>
      <c r="BV136" s="8">
        <f t="shared" ref="BV136:BV137" si="928">ABS(SQRT(2)*($A$99*2*$D$98/($F$4*$G3^2))*(1-(BQ$103*2/($F$4))^$E$98))</f>
        <v>0.10068356122491171</v>
      </c>
      <c r="BW136" s="8">
        <f t="shared" ref="BW136:BW137" si="929">ABS(SQRT(2)*($A$99*2*$D$98/($F$4*$G3^2))*(1-(BR$103*2/($F$4))^$E$98))</f>
        <v>9.8663150621334558E-2</v>
      </c>
      <c r="BX136" s="8">
        <f t="shared" ref="BX136:BX137" si="930">ABS(SQRT(2)*($A$99*2*$D$98/($F$4*$G3^2))*(1-(BS$103*2/($F$4))^$E$98))</f>
        <v>9.6585894678912945E-2</v>
      </c>
      <c r="BY136" s="8">
        <f t="shared" ref="BY136:BY137" si="931">ABS(SQRT(2)*($A$99*2*$D$98/($F$4*$G3^2))*(1-(BT$103*2/($F$4))^$E$98))</f>
        <v>9.4451052684605213E-2</v>
      </c>
      <c r="BZ136" s="8">
        <f t="shared" ref="BZ136:BZ137" si="932">ABS(SQRT(2)*($A$99*2*$D$98/($F$4*$G3^2))*(1-(BU$103*2/($F$4))^$E$98))</f>
        <v>9.2257885139745199E-2</v>
      </c>
      <c r="CA136" s="8">
        <f t="shared" ref="CA136:CA137" si="933">ABS(SQRT(2)*($A$99*2*$D$98/($F$4*$G3^2))*(1-(BV$103*2/($F$4))^$E$98))</f>
        <v>9.0005653740743152E-2</v>
      </c>
      <c r="CB136" s="8">
        <f t="shared" ref="CB136:CB137" si="934">ABS(SQRT(2)*($A$99*2*$D$98/($F$4*$G3^2))*(1-(BW$103*2/($F$4))^$E$98))</f>
        <v>8.7693621360360338E-2</v>
      </c>
      <c r="CC136" s="8">
        <f t="shared" ref="CC136:CC137" si="935">ABS(SQRT(2)*($A$99*2*$D$98/($F$4*$G3^2))*(1-(BX$103*2/($F$4))^$E$98))</f>
        <v>8.5321052029533148E-2</v>
      </c>
      <c r="CD136" s="8">
        <f t="shared" ref="CD136:CD137" si="936">ABS(SQRT(2)*($A$99*2*$D$98/($F$4*$G3^2))*(1-(BY$103*2/($F$4))^$E$98))</f>
        <v>8.288721091972312E-2</v>
      </c>
      <c r="CE136" s="8">
        <f t="shared" ref="CE136:CE137" si="937">ABS(SQRT(2)*($A$99*2*$D$98/($F$4*$G3^2))*(1-(BZ$103*2/($F$4))^$E$98))</f>
        <v>8.0391364325770404E-2</v>
      </c>
      <c r="CF136" s="8">
        <f>ABS(SQRT(2)*($A$99*2*$D$98/($F$4*$G3^2))*(1-(CA$103*2/($F$4))^$E$98))</f>
        <v>7.7832779649230327E-2</v>
      </c>
      <c r="CG136" s="8">
        <f t="shared" ref="CG136:CG137" si="938">ABS(SQRT(2)*($A$99*2*$D$98/($F$4*$G3^2))*(1-(CB$103*2/($F$4))^$E$98))</f>
        <v>7.5210725382172952E-2</v>
      </c>
      <c r="CH136" s="8">
        <f t="shared" ref="CH136:CH137" si="939">ABS(SQRT(2)*($A$99*2*$D$98/($F$4*$G3^2))*(1-(CC$103*2/($F$4))^$E$98))</f>
        <v>7.2524471091427054E-2</v>
      </c>
      <c r="CI136" s="8">
        <f t="shared" ref="CI136:CI137" si="940">ABS(SQRT(2)*($A$99*2*$D$98/($F$4*$G3^2))*(1-(CD$103*2/($F$4))^$E$98))</f>
        <v>6.9773287403250575E-2</v>
      </c>
      <c r="CJ136" s="8">
        <f t="shared" ref="CJ136:CJ137" si="941">ABS(SQRT(2)*($A$99*2*$D$98/($F$4*$G3^2))*(1-(CE$103*2/($F$4))^$E$98))</f>
        <v>6.6956445988410981E-2</v>
      </c>
      <c r="CK136" s="8">
        <f t="shared" ref="CK136:CK137" si="942">ABS(SQRT(2)*($A$99*2*$D$98/($F$4*$G3^2))*(1-(CF$103*2/($F$4))^$E$98))</f>
        <v>6.4073219547659682E-2</v>
      </c>
      <c r="CL136" s="8">
        <f t="shared" ref="CL136:CL137" si="943">ABS(SQRT(2)*($A$99*2*$D$98/($F$4*$G3^2))*(1-(CG$103*2/($F$4))^$E$98))</f>
        <v>6.1122881797584919E-2</v>
      </c>
      <c r="CM136" s="8">
        <f t="shared" ref="CM136:CM137" si="944">ABS(SQRT(2)*($A$99*2*$D$98/($F$4*$G3^2))*(1-(CH$103*2/($F$4))^$E$98))</f>
        <v>5.810470745682917E-2</v>
      </c>
      <c r="CN136" s="8">
        <f t="shared" ref="CN136:CN137" si="945">ABS(SQRT(2)*($A$99*2*$D$98/($F$4*$G3^2))*(1-(CI$103*2/($F$4))^$E$98))</f>
        <v>5.5017972232657343E-2</v>
      </c>
      <c r="CO136" s="8">
        <f t="shared" ref="CO136:CO137" si="946">ABS(SQRT(2)*($A$99*2*$D$98/($F$4*$G3^2))*(1-(CJ$103*2/($F$4))^$E$98))</f>
        <v>5.1861952807862592E-2</v>
      </c>
      <c r="CP136" s="8">
        <f t="shared" ref="CP136:CP137" si="947">ABS(SQRT(2)*($A$99*2*$D$98/($F$4*$G3^2))*(1-(CK$103*2/($F$4))^$E$98))</f>
        <v>4.8635926827997486E-2</v>
      </c>
      <c r="CQ136" s="8">
        <f t="shared" ref="CQ136:CQ137" si="948">ABS(SQRT(2)*($A$99*2*$D$98/($F$4*$G3^2))*(1-(CL$103*2/($F$4))^$E$98))</f>
        <v>4.5339172888919019E-2</v>
      </c>
      <c r="CR136" s="8">
        <f t="shared" ref="CR136:CR137" si="949">ABS(SQRT(2)*($A$99*2*$D$98/($F$4*$G3^2))*(1-(CM$103*2/($F$4))^$E$98))</f>
        <v>4.1970970524635554E-2</v>
      </c>
      <c r="CS136" s="8">
        <f t="shared" ref="CS136:CS137" si="950">ABS(SQRT(2)*($A$99*2*$D$98/($F$4*$G3^2))*(1-(CN$103*2/($F$4))^$E$98))</f>
        <v>3.8530600195445845E-2</v>
      </c>
      <c r="CT136" s="8">
        <f t="shared" ref="CT136:CT137" si="951">ABS(SQRT(2)*($A$99*2*$D$98/($F$4*$G3^2))*(1-(CO$103*2/($F$4))^$E$98))</f>
        <v>3.5017343276359379E-2</v>
      </c>
      <c r="CU136" s="8">
        <f t="shared" ref="CU136:CU137" si="952">ABS(SQRT(2)*($A$99*2*$D$98/($F$4*$G3^2))*(1-(CP$103*2/($F$4))^$E$98))</f>
        <v>3.1430482045788508E-2</v>
      </c>
      <c r="CV136" s="8">
        <f t="shared" ref="CV136:CV137" si="953">ABS(SQRT(2)*($A$99*2*$D$98/($F$4*$G3^2))*(1-(CQ$103*2/($F$4))^$E$98))</f>
        <v>2.7769299674502961E-2</v>
      </c>
      <c r="CW136" s="8">
        <f t="shared" ref="CW136:CW137" si="954">ABS(SQRT(2)*($A$99*2*$D$98/($F$4*$G3^2))*(1-(CR$103*2/($F$4))^$E$98))</f>
        <v>2.4033080214838062E-2</v>
      </c>
      <c r="CX136" s="8">
        <f t="shared" ref="CX136:CX137" si="955">ABS(SQRT(2)*($A$99*2*$D$98/($F$4*$G3^2))*(1-(CS$103*2/($F$4))^$E$98))</f>
        <v>2.0221108590148071E-2</v>
      </c>
      <c r="CY136" s="8">
        <f t="shared" ref="CY136:CY137" si="956">ABS(SQRT(2)*($A$99*2*$D$98/($F$4*$G3^2))*(1-(CT$103*2/($F$4))^$E$98))</f>
        <v>1.6332670584496247E-2</v>
      </c>
      <c r="CZ136" s="8">
        <f t="shared" ref="CZ136:CZ137" si="957">ABS(SQRT(2)*($A$99*2*$D$98/($F$4*$G3^2))*(1-(CU$103*2/($F$4))^$E$98))</f>
        <v>1.2367052832574485E-2</v>
      </c>
      <c r="DA136" s="8">
        <f t="shared" ref="DA136:DA137" si="958">ABS(SQRT(2)*($A$99*2*$D$98/($F$4*$G3^2))*(1-(CV$103*2/($F$4))^$E$98))</f>
        <v>8.3235428098444655E-3</v>
      </c>
      <c r="DB136" s="8">
        <f t="shared" ref="DB136:DB137" si="959">ABS(SQRT(2)*($A$99*2*$D$98/($F$4*$G3^2))*(1-(CW$103*2/($F$4))^$E$98))</f>
        <v>4.2014288228936882E-3</v>
      </c>
      <c r="DC136" s="8">
        <f t="shared" ref="DC136:DC137" si="960">ABS(SQRT(2)*($A$99*2*$D$98/($F$4*$G3^2))*(1-(CX$103*2/($F$4))^$E$98))</f>
        <v>8.4820213111336039E-16</v>
      </c>
      <c r="DD136" s="8"/>
      <c r="DE136" s="8">
        <f t="shared" ref="DE136:DE137" si="961">G141/G136</f>
        <v>5.5114304020408067E-2</v>
      </c>
      <c r="DF136" s="8">
        <f t="shared" ref="DF136:DF137" si="962">H141/H136</f>
        <v>3.6548747269453022E-2</v>
      </c>
      <c r="DG136" s="8">
        <f t="shared" ref="DG136:DG137" si="963">I141/I136</f>
        <v>1.3543768756871424E-2</v>
      </c>
      <c r="DH136" s="8">
        <f t="shared" ref="DH136:DH137" si="964">J141/J136</f>
        <v>9.2439063654091491E-2</v>
      </c>
      <c r="DI136" s="8">
        <f t="shared" ref="DI136:DI137" si="965">K141/K136</f>
        <v>0.19880925472065747</v>
      </c>
      <c r="DJ136" s="8">
        <f t="shared" ref="DJ136:DJ137" si="966">L141/L136</f>
        <v>0.33177444487340468</v>
      </c>
      <c r="DK136" s="8">
        <f t="shared" ref="DK136:DK137" si="967">M141/M136</f>
        <v>0.49068792554847557</v>
      </c>
      <c r="DL136" s="8">
        <f t="shared" ref="DL136:DL137" si="968">N141/N136</f>
        <v>0.67504925998990928</v>
      </c>
      <c r="DM136" s="8">
        <f t="shared" ref="DM136:DM137" si="969">O141/O136</f>
        <v>0.88446075043551642</v>
      </c>
      <c r="DN136" s="8">
        <f t="shared" ref="DN136:DN137" si="970">P141/P136</f>
        <v>1.1186028513073862</v>
      </c>
      <c r="DO136" s="8">
        <f t="shared" ref="DO136:DO137" si="971">Q141/Q136</f>
        <v>1.3772191918754644</v>
      </c>
      <c r="DP136" s="8">
        <f t="shared" ref="DP136:DP137" si="972">R141/R136</f>
        <v>1.6601069954202037</v>
      </c>
      <c r="DQ136" s="8">
        <f t="shared" ref="DQ136:DQ137" si="973">S141/S136</f>
        <v>1.9671107655021078</v>
      </c>
      <c r="DR136" s="8">
        <f t="shared" ref="DR136:DR137" si="974">T141/T136</f>
        <v>2.298118070141888</v>
      </c>
      <c r="DS136" s="8">
        <f t="shared" ref="DS136:DS137" si="975">U141/U136</f>
        <v>2.6530567402268228</v>
      </c>
      <c r="DT136" s="8">
        <f t="shared" ref="DT136:DT137" si="976">V141/V136</f>
        <v>3.0318930623254472</v>
      </c>
      <c r="DU136" s="8">
        <f t="shared" ref="DU136:DU137" si="977">W141/W136</f>
        <v>3.4346306980921244</v>
      </c>
      <c r="DV136" s="8">
        <f t="shared" ref="DV136:DV137" si="978">X141/X136</f>
        <v>3.861310154335948</v>
      </c>
      <c r="DW136" s="8">
        <f t="shared" ref="DW136:DW137" si="979">Y141/Y136</f>
        <v>4.312008685726644</v>
      </c>
      <c r="DX136" s="8">
        <f t="shared" ref="DX136:DX137" si="980">Z141/Z136</f>
        <v>4.7868405499377804</v>
      </c>
      <c r="DY136" s="8">
        <f t="shared" ref="DY136:DY137" si="981">AA141/AA136</f>
        <v>5.2859575605740803</v>
      </c>
      <c r="DZ136" s="8">
        <f t="shared" ref="DZ136:DZ137" si="982">AB141/AB136</f>
        <v>5.8095499010313096</v>
      </c>
      <c r="EA136" s="8">
        <f t="shared" ref="EA136:EA137" si="983">AC141/AC136</f>
        <v>6.3578471752305035</v>
      </c>
      <c r="EB136" s="8">
        <f t="shared" ref="EB136:EB137" si="984">AD141/AD136</f>
        <v>6.9311196806621833</v>
      </c>
      <c r="EC136" s="8">
        <f t="shared" ref="EC136:EC137" si="985">AE141/AE136</f>
        <v>7.5296798964638691</v>
      </c>
      <c r="ED136" s="8">
        <f t="shared" ref="ED136:ED137" si="986">AF141/AF136</f>
        <v>8.1538841850611057</v>
      </c>
      <c r="EE136" s="8">
        <f t="shared" ref="EE136:EE137" si="987">AG141/AG136</f>
        <v>8.80413471071566</v>
      </c>
      <c r="EF136" s="8">
        <f t="shared" ref="EF136:EF137" si="988">AH141/AH136</f>
        <v>9.480881582493069</v>
      </c>
      <c r="EG136" s="8">
        <f t="shared" ref="EG136:EG137" si="989">AI141/AI136</f>
        <v>10.184625232926029</v>
      </c>
      <c r="EH136" s="8">
        <f t="shared" ref="EH136:EH137" si="990">AJ141/AJ136</f>
        <v>10.915919047203072</v>
      </c>
      <c r="EI136" s="8">
        <f t="shared" ref="EI136:EI137" si="991">AK141/AK136</f>
        <v>11.675372261193141</v>
      </c>
      <c r="EJ136" s="8">
        <f t="shared" ref="EJ136:EJ137" si="992">AL141/AL136</f>
        <v>12.463653150149067</v>
      </c>
      <c r="EK136" s="8">
        <f t="shared" ref="EK136:EK137" si="993">AM141/AM136</f>
        <v>13.281492533620309</v>
      </c>
      <c r="EL136" s="8">
        <f t="shared" ref="EL136:EL137" si="994">AN141/AN136</f>
        <v>14.129687626042655</v>
      </c>
      <c r="EM136" s="8">
        <f t="shared" ref="EM136:EM137" si="995">AO141/AO136</f>
        <v>15.009106266755577</v>
      </c>
      <c r="EN136" s="8">
        <f t="shared" ref="EN136:EN137" si="996">AP141/AP136</f>
        <v>15.920691567920274</v>
      </c>
      <c r="EO136" s="8">
        <f t="shared" ref="EO136:EO137" si="997">AQ141/AQ136</f>
        <v>16.865467024077805</v>
      </c>
      <c r="EP136" s="8">
        <f t="shared" ref="EP136:EP137" si="998">AR141/AR136</f>
        <v>17.84454213300813</v>
      </c>
      <c r="EQ136" s="8">
        <f t="shared" ref="EQ136:EQ137" si="999">AS141/AS136</f>
        <v>18.859118584252748</v>
      </c>
      <c r="ER136" s="8">
        <f t="shared" ref="ER136:ER137" si="1000">AT141/AT136</f>
        <v>19.910497079292941</v>
      </c>
      <c r="ES136" s="8">
        <f t="shared" ref="ES136:ES137" si="1001">AU141/AU136</f>
        <v>21.000084856097292</v>
      </c>
      <c r="ET136" s="8">
        <f t="shared" ref="ET136:ET137" si="1002">AV141/AV136</f>
        <v>22.129404000763511</v>
      </c>
      <c r="EU136" s="8">
        <f t="shared" ref="EU136:EU137" si="1003">AW141/AW136</f>
        <v>23.300100640511555</v>
      </c>
      <c r="EV136" s="8">
        <f t="shared" ref="EV136:EV137" si="1004">AX141/AX136</f>
        <v>24.513955125609087</v>
      </c>
      <c r="EW136" s="8">
        <f t="shared" ref="EW136:EW137" si="1005">AY141/AY136</f>
        <v>25.772893323256657</v>
      </c>
      <c r="EX136" s="8">
        <f t="shared" ref="EX136:EX137" si="1006">AZ141/AZ136</f>
        <v>27.078999164411663</v>
      </c>
      <c r="EY136" s="8">
        <f t="shared" ref="EY136:EY137" si="1007">BA141/BA136</f>
        <v>28.434528605465395</v>
      </c>
      <c r="EZ136" s="8">
        <f t="shared" ref="EZ136:EZ137" si="1008">BB141/BB136</f>
        <v>29.84192519115965</v>
      </c>
      <c r="FA136" s="8">
        <f t="shared" ref="FA136:FA137" si="1009">BC141/BC136</f>
        <v>31.30383743383393</v>
      </c>
      <c r="FB136" s="8">
        <f t="shared" ref="FB136:FB137" si="1010">BD141/BD136</f>
        <v>32.823138257851156</v>
      </c>
      <c r="FC136" s="8">
        <f t="shared" ref="FC136:FC137" si="1011">BE141/BE136</f>
        <v>34.402946797883494</v>
      </c>
      <c r="FD136" s="8">
        <f t="shared" ref="FD136:FD137" si="1012">BF141/BF136</f>
        <v>36.046652886879102</v>
      </c>
      <c r="FE136" s="8">
        <f t="shared" ref="FE136:FE137" si="1013">BG141/BG136</f>
        <v>37.757944625509509</v>
      </c>
      <c r="FF136" s="8">
        <f t="shared" ref="FF136:FF137" si="1014">BH141/BH136</f>
        <v>39.540839491591164</v>
      </c>
      <c r="FG136" s="8">
        <f t="shared" ref="FG136:FG137" si="1015">BI141/BI136</f>
        <v>41.399719527714744</v>
      </c>
      <c r="FH136" s="8">
        <f t="shared" ref="FH136:FH137" si="1016">BJ141/BJ136</f>
        <v>43.33937124100617</v>
      </c>
      <c r="FI136" s="8">
        <f t="shared" ref="FI136:FI137" si="1017">BK141/BK136</f>
        <v>45.36503096419947</v>
      </c>
      <c r="FJ136" s="8">
        <f t="shared" ref="FJ136:FJ137" si="1018">BL141/BL136</f>
        <v>47.482436566586365</v>
      </c>
      <c r="FK136" s="8">
        <f t="shared" ref="FK136:FK137" si="1019">BM141/BM136</f>
        <v>49.697886572661901</v>
      </c>
      <c r="FL136" s="8">
        <f t="shared" ref="FL136:FL137" si="1020">BN141/BN136</f>
        <v>52.018307952679514</v>
      </c>
      <c r="FM136" s="8">
        <f t="shared" ref="FM136:FM137" si="1021">BO141/BO136</f>
        <v>54.451334102188525</v>
      </c>
      <c r="FN136" s="8">
        <f t="shared" ref="FN136:FN137" si="1022">BP141/BP136</f>
        <v>57.005394838803952</v>
      </c>
      <c r="FO136" s="8">
        <f t="shared" ref="FO136:FO137" si="1023">BQ141/BQ136</f>
        <v>59.689820629374012</v>
      </c>
      <c r="FP136" s="8">
        <f t="shared" ref="FP136:FP137" si="1024">BR141/BR136</f>
        <v>62.514963739219056</v>
      </c>
      <c r="FQ136" s="8">
        <f t="shared" ref="FQ136:FQ137" si="1025">BS141/BS136</f>
        <v>65.492339593282622</v>
      </c>
      <c r="FR136" s="8">
        <f t="shared" ref="FR136:FS137" si="1026">BT141/BT136</f>
        <v>68.634792390993795</v>
      </c>
      <c r="FS136" s="8">
        <f t="shared" si="1026"/>
        <v>71.956689967661248</v>
      </c>
      <c r="FT136" s="8">
        <f t="shared" ref="FT136:FT137" si="1027">BV141/BV136</f>
        <v>75.474154105605606</v>
      </c>
      <c r="FU136" s="8">
        <f t="shared" ref="FU136:FU137" si="1028">BW141/BW136</f>
        <v>79.205334049043572</v>
      </c>
      <c r="FV136" s="8">
        <f t="shared" ref="FV136:FV137" si="1029">BX141/BX136</f>
        <v>83.170732977786457</v>
      </c>
      <c r="FW136" s="8">
        <f t="shared" ref="FW136:FW137" si="1030">BY141/BY136</f>
        <v>87.393599796167635</v>
      </c>
      <c r="FX136" s="8">
        <f t="shared" ref="FX136:FX137" si="1031">BZ141/BZ136</f>
        <v>91.90040200229322</v>
      </c>
      <c r="FY136" s="8">
        <f t="shared" ref="FY136:FY137" si="1032">CA141/CA136</f>
        <v>96.721399907038872</v>
      </c>
      <c r="FZ136" s="8">
        <f t="shared" ref="FZ136:FZ137" si="1033">CB141/CB136</f>
        <v>101.89134847796933</v>
      </c>
      <c r="GA136" s="8">
        <f t="shared" ref="GA136:GA137" si="1034">CC141/CC136</f>
        <v>107.45036116805747</v>
      </c>
      <c r="GB136" s="8">
        <f t="shared" ref="GB136:GB137" si="1035">CD141/CD136</f>
        <v>113.44498108423861</v>
      </c>
      <c r="GC136" s="8">
        <f t="shared" ref="GC136:GD137" si="1036">CE141/CE136</f>
        <v>119.92951996920618</v>
      </c>
      <c r="GD136" s="8">
        <f t="shared" si="1036"/>
        <v>126.96774650409733</v>
      </c>
      <c r="GE136" s="8">
        <f t="shared" ref="GE136:GE137" si="1037">CG141/CG136</f>
        <v>134.63503507887165</v>
      </c>
      <c r="GF136" s="8">
        <f t="shared" ref="GF136:GF137" si="1038">CH141/CH136</f>
        <v>143.02112851885843</v>
      </c>
      <c r="GG136" s="8">
        <f t="shared" ref="GG136:GG137" si="1039">CI141/CI136</f>
        <v>152.23372965134462</v>
      </c>
      <c r="GH136" s="8">
        <f t="shared" ref="GH136:GH137" si="1040">CJ141/CJ136</f>
        <v>162.40322707351979</v>
      </c>
      <c r="GI136" s="8">
        <f t="shared" ref="GI136:GI137" si="1041">CK141/CK136</f>
        <v>173.68899619926097</v>
      </c>
      <c r="GJ136" s="8">
        <f t="shared" ref="GJ136:GJ137" si="1042">CL141/CL136</f>
        <v>186.28792422813288</v>
      </c>
      <c r="GK136" s="8">
        <f t="shared" ref="GK136:GK137" si="1043">CM141/CM136</f>
        <v>200.4461320016936</v>
      </c>
      <c r="GL136" s="8">
        <f t="shared" ref="GL136:GL137" si="1044">CN141/CN136</f>
        <v>216.47538462693603</v>
      </c>
      <c r="GM136" s="8">
        <f t="shared" ref="GM136:GM137" si="1045">CO141/CO136</f>
        <v>234.7765352494846</v>
      </c>
      <c r="GN136" s="8">
        <f t="shared" ref="GN136:GN137" si="1046">CP141/CP136</f>
        <v>255.87378905618979</v>
      </c>
      <c r="GO136" s="8">
        <f t="shared" ref="GO136:GO137" si="1047">CQ141/CQ136</f>
        <v>280.46609930656473</v>
      </c>
      <c r="GP136" s="8">
        <f t="shared" ref="GP136:GP137" si="1048">CR141/CR136</f>
        <v>309.50659759212311</v>
      </c>
      <c r="GQ136" s="8">
        <f t="shared" ref="GQ136:GQ137" si="1049">CS141/CS136</f>
        <v>344.32968228198598</v>
      </c>
      <c r="GR136" s="8">
        <f t="shared" ref="GR136:GR137" si="1050">CT141/CT136</f>
        <v>386.86283263168019</v>
      </c>
      <c r="GS136" s="8">
        <f t="shared" ref="GS136:GS137" si="1051">CU141/CU136</f>
        <v>439.99728350907208</v>
      </c>
      <c r="GT136" s="8">
        <f t="shared" ref="GT136:GT137" si="1052">CV141/CV136</f>
        <v>508.27642135300346</v>
      </c>
      <c r="GU136" s="8">
        <f t="shared" ref="GU136:GU137" si="1053">CW141/CW136</f>
        <v>599.27257613443828</v>
      </c>
      <c r="GV136" s="8">
        <f t="shared" ref="GV136:GV137" si="1054">CX141/CX136</f>
        <v>726.61596372159636</v>
      </c>
      <c r="GW136" s="8">
        <f t="shared" ref="GW136:GW137" si="1055">CY141/CY136</f>
        <v>917.56704185367289</v>
      </c>
      <c r="GX136" s="8">
        <f t="shared" ref="GX136:GX137" si="1056">CZ141/CZ136</f>
        <v>1235.7335781400323</v>
      </c>
      <c r="GY136" s="8">
        <f t="shared" ref="GY136:GY137" si="1057">DA141/DA136</f>
        <v>1871.9389221695633</v>
      </c>
      <c r="GZ136" s="8">
        <f t="shared" ref="GZ136:HA137" si="1058">DB141/DB136</f>
        <v>3780.2999104926566</v>
      </c>
      <c r="HA136" s="8">
        <f t="shared" si="1058"/>
        <v>1.90837425130439E+16</v>
      </c>
      <c r="HC136" s="8">
        <v>3.8999999999999999E-4</v>
      </c>
      <c r="HD136" s="8">
        <f t="shared" ref="HD136:HD137" si="1059">2*HC136</f>
        <v>7.7999999999999999E-4</v>
      </c>
      <c r="HE136" s="8">
        <f t="shared" ref="HE136:HE137" si="1060">HD136/(1.6*10^-3)</f>
        <v>0.48749999999999999</v>
      </c>
      <c r="HF136" s="8">
        <f t="shared" ref="HF136:HF137" si="1061">DJ41</f>
        <v>0.40740740740740738</v>
      </c>
      <c r="HG136" s="8">
        <f t="shared" ref="HG136:HG137" si="1062">HF136-HE136</f>
        <v>-8.0092592592592604E-2</v>
      </c>
    </row>
    <row r="137" spans="7:221" x14ac:dyDescent="0.25">
      <c r="G137" s="8">
        <f t="shared" si="861"/>
        <v>6.0717619099485115E-2</v>
      </c>
      <c r="H137" s="8">
        <f t="shared" si="862"/>
        <v>6.0717516833824606E-2</v>
      </c>
      <c r="I137" s="8">
        <f t="shared" si="863"/>
        <v>6.0716862717899459E-2</v>
      </c>
      <c r="J137" s="8">
        <f t="shared" si="864"/>
        <v>6.0715180840322409E-2</v>
      </c>
      <c r="K137" s="8">
        <f t="shared" si="865"/>
        <v>6.0712024718142826E-2</v>
      </c>
      <c r="L137" s="8">
        <f t="shared" si="866"/>
        <v>6.0706965137054578E-2</v>
      </c>
      <c r="M137" s="8">
        <f t="shared" si="867"/>
        <v>6.0699585144367588E-2</v>
      </c>
      <c r="N137" s="8">
        <f t="shared" si="868"/>
        <v>6.0689477260652124E-2</v>
      </c>
      <c r="O137" s="8">
        <f t="shared" si="869"/>
        <v>6.0676241700568546E-2</v>
      </c>
      <c r="P137" s="8">
        <f t="shared" si="870"/>
        <v>6.0659485140199455E-2</v>
      </c>
      <c r="Q137" s="8">
        <f t="shared" si="871"/>
        <v>6.0638819813816421E-2</v>
      </c>
      <c r="R137" s="8">
        <f t="shared" si="872"/>
        <v>6.0613862824461025E-2</v>
      </c>
      <c r="S137" s="8">
        <f t="shared" si="873"/>
        <v>6.0584235601063026E-2</v>
      </c>
      <c r="T137" s="8">
        <f t="shared" si="874"/>
        <v>6.0549563460289467E-2</v>
      </c>
      <c r="U137" s="8">
        <f t="shared" si="875"/>
        <v>6.05094752457873E-2</v>
      </c>
      <c r="V137" s="8">
        <f t="shared" si="876"/>
        <v>6.0463603026197243E-2</v>
      </c>
      <c r="W137" s="8">
        <f t="shared" si="877"/>
        <v>6.041158183882147E-2</v>
      </c>
      <c r="X137" s="8">
        <f t="shared" si="878"/>
        <v>6.0353049469442165E-2</v>
      </c>
      <c r="Y137" s="8">
        <f t="shared" si="879"/>
        <v>6.0287646261241001E-2</v>
      </c>
      <c r="Z137" s="8">
        <f t="shared" si="880"/>
        <v>6.0215014947480626E-2</v>
      </c>
      <c r="AA137" s="8">
        <f t="shared" si="881"/>
        <v>6.0134800503832797E-2</v>
      </c>
      <c r="AB137" s="8">
        <f t="shared" si="882"/>
        <v>6.0046650017130505E-2</v>
      </c>
      <c r="AC137" s="8">
        <f t="shared" si="883"/>
        <v>5.9950212567985606E-2</v>
      </c>
      <c r="AD137" s="8">
        <f t="shared" si="884"/>
        <v>5.984513912521508E-2</v>
      </c>
      <c r="AE137" s="8">
        <f t="shared" si="885"/>
        <v>5.9731082450404323E-2</v>
      </c>
      <c r="AF137" s="8">
        <f t="shared" si="886"/>
        <v>5.9607697011234993E-2</v>
      </c>
      <c r="AG137" s="8">
        <f t="shared" si="887"/>
        <v>5.9474638902440369E-2</v>
      </c>
      <c r="AH137" s="8">
        <f t="shared" si="888"/>
        <v>5.9331565773438302E-2</v>
      </c>
      <c r="AI137" s="8">
        <f t="shared" si="889"/>
        <v>5.9178136761842366E-2</v>
      </c>
      <c r="AJ137" s="8">
        <f t="shared" si="890"/>
        <v>5.9014012432173454E-2</v>
      </c>
      <c r="AK137" s="8">
        <f t="shared" si="891"/>
        <v>5.8838854719193714E-2</v>
      </c>
      <c r="AL137" s="8">
        <f t="shared" si="892"/>
        <v>5.865232687536686E-2</v>
      </c>
      <c r="AM137" s="8">
        <f t="shared" si="893"/>
        <v>5.8454093422016601E-2</v>
      </c>
      <c r="AN137" s="8">
        <f t="shared" si="894"/>
        <v>5.8243820103812141E-2</v>
      </c>
      <c r="AO137" s="8">
        <f t="shared" si="895"/>
        <v>5.8021173846257032E-2</v>
      </c>
      <c r="AP137" s="8">
        <f t="shared" si="896"/>
        <v>5.77858227158983E-2</v>
      </c>
      <c r="AQ137" s="8">
        <f t="shared" si="897"/>
        <v>5.7537435883006693E-2</v>
      </c>
      <c r="AR137" s="8">
        <f t="shared" si="898"/>
        <v>5.7275683586508606E-2</v>
      </c>
      <c r="AS137" s="8">
        <f t="shared" si="899"/>
        <v>5.7000237100974835E-2</v>
      </c>
      <c r="AT137" s="8">
        <f t="shared" si="900"/>
        <v>5.671076870549329E-2</v>
      </c>
      <c r="AU137" s="8">
        <f t="shared" si="901"/>
        <v>5.6406951654271398E-2</v>
      </c>
      <c r="AV137" s="8">
        <f t="shared" si="902"/>
        <v>5.6088460148830177E-2</v>
      </c>
      <c r="AW137" s="8">
        <f t="shared" si="903"/>
        <v>5.5754969311666139E-2</v>
      </c>
      <c r="AX137" s="8">
        <f t="shared" si="904"/>
        <v>5.5406155161269774E-2</v>
      </c>
      <c r="AY137" s="8">
        <f t="shared" si="905"/>
        <v>5.5041694588399838E-2</v>
      </c>
      <c r="AZ137" s="8">
        <f t="shared" si="906"/>
        <v>5.4661265333522925E-2</v>
      </c>
      <c r="BA137" s="8">
        <f t="shared" si="907"/>
        <v>5.4264545965335587E-2</v>
      </c>
      <c r="BB137" s="8">
        <f t="shared" si="908"/>
        <v>5.3851215860294427E-2</v>
      </c>
      <c r="BC137" s="8">
        <f t="shared" si="909"/>
        <v>5.3420955183085789E-2</v>
      </c>
      <c r="BD137" s="8">
        <f t="shared" si="910"/>
        <v>5.2973444867972959E-2</v>
      </c>
      <c r="BE137" s="8">
        <f t="shared" si="911"/>
        <v>5.2508366600963918E-2</v>
      </c>
      <c r="BF137" s="8">
        <f t="shared" si="912"/>
        <v>5.2025402802747645E-2</v>
      </c>
      <c r="BG137" s="8">
        <f t="shared" si="913"/>
        <v>5.1524236612351025E-2</v>
      </c>
      <c r="BH137" s="8">
        <f t="shared" si="914"/>
        <v>5.100455187147248E-2</v>
      </c>
      <c r="BI137" s="8">
        <f t="shared" si="915"/>
        <v>5.0466033109451823E-2</v>
      </c>
      <c r="BJ137" s="8">
        <f t="shared" si="916"/>
        <v>4.9908365528838948E-2</v>
      </c>
      <c r="BK137" s="8">
        <f t="shared" si="917"/>
        <v>4.9331234991526883E-2</v>
      </c>
      <c r="BL137" s="8">
        <f t="shared" si="918"/>
        <v>4.8734328005417285E-2</v>
      </c>
      <c r="BM137" s="8">
        <f t="shared" si="919"/>
        <v>4.8117331711588718E-2</v>
      </c>
      <c r="BN137" s="8">
        <f t="shared" si="920"/>
        <v>4.7479933871940452E-2</v>
      </c>
      <c r="BO137" s="8">
        <f t="shared" si="921"/>
        <v>4.6821822857286047E-2</v>
      </c>
      <c r="BP137" s="8">
        <f t="shared" si="922"/>
        <v>4.6142687635873113E-2</v>
      </c>
      <c r="BQ137" s="8">
        <f t="shared" si="923"/>
        <v>4.5442217762307217E-2</v>
      </c>
      <c r="BR137" s="8">
        <f t="shared" si="924"/>
        <v>4.4720103366859165E-2</v>
      </c>
      <c r="BS137" s="8">
        <f t="shared" si="925"/>
        <v>4.3976035145136531E-2</v>
      </c>
      <c r="BT137" s="8">
        <f t="shared" si="926"/>
        <v>4.3209704348101438E-2</v>
      </c>
      <c r="BU137" s="8">
        <f t="shared" si="927"/>
        <v>4.2420802772417672E-2</v>
      </c>
      <c r="BV137" s="8">
        <f t="shared" si="928"/>
        <v>4.160902275111146E-2</v>
      </c>
      <c r="BW137" s="8">
        <f t="shared" si="929"/>
        <v>4.0774057144531112E-2</v>
      </c>
      <c r="BX137" s="8">
        <f t="shared" si="930"/>
        <v>3.9915599331591563E-2</v>
      </c>
      <c r="BY137" s="8">
        <f t="shared" si="931"/>
        <v>3.903334320129092E-2</v>
      </c>
      <c r="BZ137" s="8">
        <f t="shared" si="932"/>
        <v>3.812698314448653E-2</v>
      </c>
      <c r="CA137" s="8">
        <f t="shared" si="933"/>
        <v>3.719621404591935E-2</v>
      </c>
      <c r="CB137" s="8">
        <f t="shared" si="934"/>
        <v>3.6240731276475438E-2</v>
      </c>
      <c r="CC137" s="8">
        <f t="shared" si="935"/>
        <v>3.5260230685674403E-2</v>
      </c>
      <c r="CD137" s="8">
        <f t="shared" si="936"/>
        <v>3.4254408594375362E-2</v>
      </c>
      <c r="CE137" s="8">
        <f t="shared" si="937"/>
        <v>3.3222961787690818E-2</v>
      </c>
      <c r="CF137" s="8">
        <f t="shared" ref="CF137" si="1063">ABS(SQRT(2)*($A$99*2*$D$98/($F$4*$G4^2))*(1-(CA$103*2/($F$4))^$E$98))</f>
        <v>3.216558750810028E-2</v>
      </c>
      <c r="CG137" s="8">
        <f t="shared" si="938"/>
        <v>3.1081983448755141E-2</v>
      </c>
      <c r="CH137" s="8">
        <f t="shared" si="939"/>
        <v>2.9971847746967296E-2</v>
      </c>
      <c r="CI137" s="8">
        <f t="shared" si="940"/>
        <v>2.8834878977873957E-2</v>
      </c>
      <c r="CJ137" s="8">
        <f t="shared" si="941"/>
        <v>2.7670776148271875E-2</v>
      </c>
      <c r="CK137" s="8">
        <f t="shared" si="942"/>
        <v>2.6479238690614453E-2</v>
      </c>
      <c r="CL137" s="8">
        <f t="shared" si="943"/>
        <v>2.5259966457165189E-2</v>
      </c>
      <c r="CM137" s="8">
        <f t="shared" si="944"/>
        <v>2.4012659714301846E-2</v>
      </c>
      <c r="CN137" s="8">
        <f t="shared" si="945"/>
        <v>2.273701913696553E-2</v>
      </c>
      <c r="CO137" s="8">
        <f t="shared" si="946"/>
        <v>2.1432745803249331E-2</v>
      </c>
      <c r="CP137" s="8">
        <f t="shared" si="947"/>
        <v>2.0099541189121405E-2</v>
      </c>
      <c r="CQ137" s="8">
        <f t="shared" si="948"/>
        <v>1.8737107163277755E-2</v>
      </c>
      <c r="CR137" s="8">
        <f t="shared" si="949"/>
        <v>1.7345145982119791E-2</v>
      </c>
      <c r="CS137" s="8">
        <f t="shared" si="950"/>
        <v>1.5923360284852615E-2</v>
      </c>
      <c r="CT137" s="8">
        <f t="shared" si="951"/>
        <v>1.4471453088699536E-2</v>
      </c>
      <c r="CU137" s="8">
        <f t="shared" si="952"/>
        <v>1.2989127784228921E-2</v>
      </c>
      <c r="CV137" s="8">
        <f t="shared" si="953"/>
        <v>1.1476088130789486E-2</v>
      </c>
      <c r="CW137" s="8">
        <f t="shared" si="954"/>
        <v>9.9320382520504211E-3</v>
      </c>
      <c r="CX137" s="8">
        <f t="shared" si="955"/>
        <v>8.3566826316428221E-3</v>
      </c>
      <c r="CY137" s="8">
        <f t="shared" si="956"/>
        <v>6.7497261088989577E-3</v>
      </c>
      <c r="CZ137" s="8">
        <f t="shared" si="957"/>
        <v>5.1108738746863929E-3</v>
      </c>
      <c r="DA137" s="8">
        <f t="shared" si="958"/>
        <v>3.4398314673336817E-3</v>
      </c>
      <c r="DB137" s="8">
        <f t="shared" si="959"/>
        <v>1.7363047686448402E-3</v>
      </c>
      <c r="DC137" s="8">
        <f t="shared" si="960"/>
        <v>3.5053251336827641E-16</v>
      </c>
      <c r="DD137" s="8"/>
      <c r="DE137" s="8">
        <f t="shared" si="961"/>
        <v>8.5733361809523664E-2</v>
      </c>
      <c r="DF137" s="8">
        <f t="shared" si="962"/>
        <v>5.6853606863593587E-2</v>
      </c>
      <c r="DG137" s="8">
        <f t="shared" si="963"/>
        <v>2.1068084732911104E-2</v>
      </c>
      <c r="DH137" s="8">
        <f t="shared" si="964"/>
        <v>0.14379409901747564</v>
      </c>
      <c r="DI137" s="8">
        <f t="shared" si="965"/>
        <v>0.30925884067657833</v>
      </c>
      <c r="DJ137" s="8">
        <f t="shared" si="966"/>
        <v>0.51609358091418511</v>
      </c>
      <c r="DK137" s="8">
        <f t="shared" si="967"/>
        <v>0.76329232863096208</v>
      </c>
      <c r="DL137" s="8">
        <f t="shared" si="968"/>
        <v>1.05007662665097</v>
      </c>
      <c r="DM137" s="8">
        <f t="shared" si="969"/>
        <v>1.3758278340108034</v>
      </c>
      <c r="DN137" s="8">
        <f t="shared" si="970"/>
        <v>1.7400488798114899</v>
      </c>
      <c r="DO137" s="8">
        <f t="shared" si="971"/>
        <v>2.1423409651396113</v>
      </c>
      <c r="DP137" s="8">
        <f t="shared" si="972"/>
        <v>2.5823886595425392</v>
      </c>
      <c r="DQ137" s="8">
        <f t="shared" si="973"/>
        <v>3.0599500796699459</v>
      </c>
      <c r="DR137" s="8">
        <f t="shared" si="974"/>
        <v>3.5748503313318261</v>
      </c>
      <c r="DS137" s="8">
        <f t="shared" si="975"/>
        <v>4.1269771514639464</v>
      </c>
      <c r="DT137" s="8">
        <f t="shared" si="976"/>
        <v>4.7162780969506963</v>
      </c>
      <c r="DU137" s="8">
        <f t="shared" si="977"/>
        <v>5.3427588636988608</v>
      </c>
      <c r="DV137" s="8">
        <f t="shared" si="978"/>
        <v>6.0064824623003652</v>
      </c>
      <c r="DW137" s="8">
        <f t="shared" si="979"/>
        <v>6.7075690666858927</v>
      </c>
      <c r="DX137" s="8">
        <f t="shared" si="980"/>
        <v>7.4461964110143271</v>
      </c>
      <c r="DY137" s="8">
        <f t="shared" si="981"/>
        <v>8.2226006497819029</v>
      </c>
      <c r="DZ137" s="8">
        <f t="shared" si="982"/>
        <v>9.0370776238264821</v>
      </c>
      <c r="EA137" s="8">
        <f t="shared" si="983"/>
        <v>9.8899844948030058</v>
      </c>
      <c r="EB137" s="8">
        <f t="shared" si="984"/>
        <v>10.781741725474509</v>
      </c>
      <c r="EC137" s="8">
        <f t="shared" si="985"/>
        <v>11.712835394499352</v>
      </c>
      <c r="ED137" s="8">
        <f t="shared" si="986"/>
        <v>12.683819843428386</v>
      </c>
      <c r="EE137" s="8">
        <f t="shared" si="987"/>
        <v>13.69532066111325</v>
      </c>
      <c r="EF137" s="8">
        <f t="shared" si="988"/>
        <v>14.748038017211444</v>
      </c>
      <c r="EG137" s="8">
        <f t="shared" si="989"/>
        <v>15.842750362329379</v>
      </c>
      <c r="EH137" s="8">
        <f t="shared" si="990"/>
        <v>16.980318517871446</v>
      </c>
      <c r="EI137" s="8">
        <f t="shared" si="991"/>
        <v>18.161690184078218</v>
      </c>
      <c r="EJ137" s="8">
        <f t="shared" si="992"/>
        <v>19.387904900231881</v>
      </c>
      <c r="EK137" s="8">
        <f t="shared" si="993"/>
        <v>20.660099496742706</v>
      </c>
      <c r="EL137" s="8">
        <f t="shared" si="994"/>
        <v>21.979514084955241</v>
      </c>
      <c r="EM137" s="8">
        <f t="shared" si="995"/>
        <v>23.347498637175345</v>
      </c>
      <c r="EN137" s="8">
        <f t="shared" si="996"/>
        <v>24.76552021676487</v>
      </c>
      <c r="EO137" s="8">
        <f t="shared" si="997"/>
        <v>26.235170926343251</v>
      </c>
      <c r="EP137" s="8">
        <f t="shared" si="998"/>
        <v>27.758176651345977</v>
      </c>
      <c r="EQ137" s="8">
        <f t="shared" si="999"/>
        <v>29.336406686615387</v>
      </c>
      <c r="ER137" s="8">
        <f t="shared" si="1000"/>
        <v>30.971884345566806</v>
      </c>
      <c r="ES137" s="8">
        <f t="shared" si="1001"/>
        <v>32.666798665040233</v>
      </c>
      <c r="ET137" s="8">
        <f t="shared" si="1002"/>
        <v>34.423517334521016</v>
      </c>
      <c r="EU137" s="8">
        <f t="shared" si="1003"/>
        <v>36.244600996351309</v>
      </c>
      <c r="EV137" s="8">
        <f t="shared" si="1004"/>
        <v>38.132819084280797</v>
      </c>
      <c r="EW137" s="8">
        <f t="shared" si="1005"/>
        <v>40.09116739173259</v>
      </c>
      <c r="EX137" s="8">
        <f t="shared" si="1006"/>
        <v>42.122887589084812</v>
      </c>
      <c r="EY137" s="8">
        <f t="shared" si="1007"/>
        <v>44.231488941835067</v>
      </c>
      <c r="EZ137" s="8">
        <f t="shared" si="1008"/>
        <v>46.420772519581675</v>
      </c>
      <c r="FA137" s="8">
        <f t="shared" si="1009"/>
        <v>48.694858230408336</v>
      </c>
      <c r="FB137" s="8">
        <f t="shared" si="1010"/>
        <v>51.058215067768472</v>
      </c>
      <c r="FC137" s="8">
        <f t="shared" si="1011"/>
        <v>53.515695018929883</v>
      </c>
      <c r="FD137" s="8">
        <f t="shared" si="1012"/>
        <v>56.072571157367506</v>
      </c>
      <c r="FE137" s="8">
        <f t="shared" si="1013"/>
        <v>58.734580528570341</v>
      </c>
      <c r="FF137" s="8">
        <f t="shared" si="1014"/>
        <v>61.507972542475152</v>
      </c>
      <c r="FG137" s="8">
        <f t="shared" si="1015"/>
        <v>64.399563709778505</v>
      </c>
      <c r="FH137" s="8">
        <f t="shared" si="1016"/>
        <v>67.416799708231835</v>
      </c>
      <c r="FI137" s="8">
        <f t="shared" si="1017"/>
        <v>70.567825944310286</v>
      </c>
      <c r="FJ137" s="8">
        <f t="shared" si="1018"/>
        <v>73.86156799246767</v>
      </c>
      <c r="FK137" s="8">
        <f t="shared" si="1019"/>
        <v>77.30782355747408</v>
      </c>
      <c r="FL137" s="8">
        <f t="shared" si="1020"/>
        <v>80.917367926390355</v>
      </c>
      <c r="FM137" s="8">
        <f t="shared" si="1021"/>
        <v>84.702075270071049</v>
      </c>
      <c r="FN137" s="8">
        <f t="shared" si="1022"/>
        <v>88.675058638139475</v>
      </c>
      <c r="FO137" s="8">
        <f t="shared" si="1023"/>
        <v>92.850832090137345</v>
      </c>
      <c r="FP137" s="8">
        <f t="shared" si="1024"/>
        <v>97.245499149896318</v>
      </c>
      <c r="FQ137" s="8">
        <f t="shared" si="1025"/>
        <v>101.87697270066185</v>
      </c>
      <c r="FR137" s="8">
        <f t="shared" si="1026"/>
        <v>106.76523260821259</v>
      </c>
      <c r="FS137" s="8">
        <f t="shared" ref="FS137" si="1064">BU142/BU137</f>
        <v>111.93262883858417</v>
      </c>
      <c r="FT137" s="8">
        <f t="shared" si="1027"/>
        <v>117.40423971983095</v>
      </c>
      <c r="FU137" s="8">
        <f t="shared" si="1028"/>
        <v>123.20829740962334</v>
      </c>
      <c r="FV137" s="8">
        <f t="shared" si="1029"/>
        <v>129.37669574322339</v>
      </c>
      <c r="FW137" s="8">
        <f t="shared" si="1030"/>
        <v>135.94559968292742</v>
      </c>
      <c r="FX137" s="8">
        <f t="shared" si="1031"/>
        <v>142.95618089245613</v>
      </c>
      <c r="FY137" s="8">
        <f t="shared" si="1032"/>
        <v>150.45551096650493</v>
      </c>
      <c r="FZ137" s="8">
        <f t="shared" si="1033"/>
        <v>158.4976531879523</v>
      </c>
      <c r="GA137" s="8">
        <f t="shared" si="1034"/>
        <v>167.14500626142274</v>
      </c>
      <c r="GB137" s="8">
        <f t="shared" si="1035"/>
        <v>176.46997057548228</v>
      </c>
      <c r="GC137" s="8">
        <f t="shared" si="1036"/>
        <v>186.55703106320962</v>
      </c>
      <c r="GD137" s="8">
        <f t="shared" ref="GD137" si="1065">CF142/CF137</f>
        <v>197.5053834508181</v>
      </c>
      <c r="GE137" s="8">
        <f t="shared" si="1037"/>
        <v>209.43227678935588</v>
      </c>
      <c r="GF137" s="8">
        <f t="shared" si="1038"/>
        <v>222.47731102933531</v>
      </c>
      <c r="GG137" s="8">
        <f t="shared" si="1039"/>
        <v>236.80802390209161</v>
      </c>
      <c r="GH137" s="8">
        <f t="shared" si="1040"/>
        <v>252.62724211436415</v>
      </c>
      <c r="GI137" s="8">
        <f t="shared" si="1041"/>
        <v>270.18288297662821</v>
      </c>
      <c r="GJ137" s="8">
        <f t="shared" si="1042"/>
        <v>289.78121546598447</v>
      </c>
      <c r="GK137" s="8">
        <f t="shared" si="1043"/>
        <v>311.8050942248567</v>
      </c>
      <c r="GL137" s="8">
        <f t="shared" si="1044"/>
        <v>336.73948719745607</v>
      </c>
      <c r="GM137" s="8">
        <f t="shared" si="1045"/>
        <v>365.20794372142052</v>
      </c>
      <c r="GN137" s="8">
        <f t="shared" si="1046"/>
        <v>398.02589408740641</v>
      </c>
      <c r="GO137" s="8">
        <f t="shared" si="1047"/>
        <v>436.28059892132285</v>
      </c>
      <c r="GP137" s="8">
        <f t="shared" si="1048"/>
        <v>481.45470736552488</v>
      </c>
      <c r="GQ137" s="8">
        <f t="shared" si="1049"/>
        <v>535.62395021642271</v>
      </c>
      <c r="GR137" s="8">
        <f t="shared" si="1050"/>
        <v>601.78662853816934</v>
      </c>
      <c r="GS137" s="8">
        <f t="shared" si="1051"/>
        <v>684.44021879188983</v>
      </c>
      <c r="GT137" s="8">
        <f t="shared" si="1052"/>
        <v>790.65221099356108</v>
      </c>
      <c r="GU137" s="8">
        <f t="shared" si="1053"/>
        <v>932.20178509801531</v>
      </c>
      <c r="GV137" s="8">
        <f t="shared" si="1054"/>
        <v>1130.2914991224834</v>
      </c>
      <c r="GW137" s="8">
        <f t="shared" si="1055"/>
        <v>1427.3265095501581</v>
      </c>
      <c r="GX137" s="8">
        <f t="shared" si="1056"/>
        <v>1922.2522326622727</v>
      </c>
      <c r="GY137" s="8">
        <f t="shared" si="1057"/>
        <v>2911.9049900415425</v>
      </c>
      <c r="GZ137" s="8">
        <f t="shared" si="1058"/>
        <v>5880.4665274330209</v>
      </c>
      <c r="HA137" s="8">
        <f t="shared" ref="HA137" si="1066">DC142/DC137</f>
        <v>2.9685821686957184E+16</v>
      </c>
      <c r="HC137" s="8">
        <f>0.00037</f>
        <v>3.6999999999999999E-4</v>
      </c>
      <c r="HD137" s="8">
        <f t="shared" si="1059"/>
        <v>7.3999999999999999E-4</v>
      </c>
      <c r="HE137" s="8">
        <f t="shared" si="1060"/>
        <v>0.46249999999999997</v>
      </c>
      <c r="HF137" s="8">
        <f t="shared" si="1061"/>
        <v>0.41249999999999998</v>
      </c>
      <c r="HG137" s="8">
        <f t="shared" si="1062"/>
        <v>-4.9999999999999989E-2</v>
      </c>
    </row>
    <row r="138" spans="7:221" x14ac:dyDescent="0.25">
      <c r="G138" s="8"/>
      <c r="H138" s="8"/>
      <c r="I138" s="8"/>
      <c r="J138" s="8"/>
      <c r="K138" s="8"/>
      <c r="L138" s="8"/>
      <c r="M138" s="8"/>
      <c r="N138" s="8"/>
      <c r="O138" s="8"/>
      <c r="P138" s="8"/>
      <c r="Q138" s="8"/>
      <c r="R138" s="8"/>
      <c r="S138" s="8"/>
      <c r="T138" s="8"/>
      <c r="U138" s="8"/>
      <c r="V138" s="8"/>
      <c r="W138" s="8"/>
      <c r="X138" s="8"/>
      <c r="Y138" s="8"/>
      <c r="Z138" s="8"/>
      <c r="AA138" s="8"/>
      <c r="AB138" s="8"/>
      <c r="AC138" s="8"/>
      <c r="AD138" s="8"/>
      <c r="AE138" s="8"/>
      <c r="AF138" s="8"/>
      <c r="AG138" s="8"/>
      <c r="AH138" s="8"/>
      <c r="AI138" s="8"/>
      <c r="AJ138" s="8"/>
      <c r="AK138" s="8"/>
      <c r="AL138" s="8"/>
      <c r="AM138" s="8"/>
      <c r="AN138" s="8"/>
      <c r="AO138" s="8"/>
      <c r="AP138" s="8"/>
      <c r="AQ138" s="8"/>
      <c r="AR138" s="8"/>
      <c r="AS138" s="8"/>
      <c r="AT138" s="8"/>
      <c r="AU138" s="8"/>
      <c r="AV138" s="8"/>
      <c r="AW138" s="8"/>
      <c r="AX138" s="8"/>
      <c r="AY138" s="8"/>
      <c r="AZ138" s="8"/>
      <c r="BA138" s="8"/>
      <c r="BB138" s="8"/>
      <c r="BC138" s="8"/>
      <c r="BD138" s="8"/>
      <c r="BE138" s="8"/>
      <c r="BF138" s="8"/>
      <c r="BG138" s="8"/>
      <c r="BH138" s="8"/>
      <c r="BI138" s="8"/>
      <c r="BJ138" s="8"/>
      <c r="BK138" s="8"/>
      <c r="BL138" s="8"/>
      <c r="BM138" s="8"/>
      <c r="BN138" s="8"/>
      <c r="BO138" s="8"/>
      <c r="BP138" s="8"/>
      <c r="BQ138" s="8"/>
      <c r="BR138" s="8"/>
      <c r="BS138" s="8"/>
      <c r="BT138" s="8"/>
      <c r="BU138" s="8"/>
      <c r="BV138" s="8"/>
      <c r="BW138" s="8"/>
      <c r="BX138" s="8"/>
      <c r="BY138" s="8"/>
      <c r="BZ138" s="8"/>
      <c r="CA138" s="8"/>
      <c r="CB138" s="8"/>
      <c r="CC138" s="8"/>
      <c r="CD138" s="8"/>
      <c r="CE138" s="8"/>
      <c r="CF138" s="8"/>
      <c r="CG138" s="8"/>
      <c r="CH138" s="8"/>
      <c r="CI138" s="8"/>
      <c r="CJ138" s="8"/>
      <c r="CK138" s="8"/>
      <c r="CL138" s="8"/>
      <c r="CM138" s="8"/>
      <c r="CN138" s="8"/>
      <c r="CO138" s="8"/>
      <c r="CP138" s="8"/>
      <c r="CQ138" s="8"/>
      <c r="CR138" s="8"/>
      <c r="CS138" s="8"/>
      <c r="CT138" s="8"/>
      <c r="CU138" s="8"/>
      <c r="CV138" s="8"/>
      <c r="CW138" s="8"/>
      <c r="CX138" s="8"/>
      <c r="CY138" s="8"/>
      <c r="CZ138" s="8"/>
      <c r="DA138" s="8"/>
      <c r="DB138" s="8"/>
      <c r="DC138" s="8"/>
      <c r="DD138" s="8"/>
      <c r="DE138" s="8"/>
      <c r="DF138" s="8"/>
      <c r="DG138" s="8"/>
      <c r="DH138" s="8"/>
      <c r="DI138" s="8"/>
      <c r="DJ138" s="8"/>
      <c r="DK138" s="8"/>
      <c r="DL138" s="8"/>
      <c r="DM138" s="8"/>
      <c r="DN138" s="8"/>
      <c r="DO138" s="8"/>
      <c r="DP138" s="8"/>
      <c r="DQ138" s="8"/>
      <c r="DR138" s="8"/>
      <c r="DS138" s="8"/>
      <c r="DT138" s="8"/>
      <c r="DU138" s="8"/>
      <c r="DV138" s="8"/>
      <c r="DW138" s="8"/>
      <c r="DX138" s="8"/>
      <c r="DY138" s="8"/>
      <c r="DZ138" s="8"/>
      <c r="EA138" s="8"/>
      <c r="EB138" s="8"/>
      <c r="EC138" s="8"/>
      <c r="ED138" s="8"/>
      <c r="EE138" s="8"/>
      <c r="EF138" s="8"/>
      <c r="EG138" s="8"/>
      <c r="EH138" s="8"/>
      <c r="EI138" s="8"/>
      <c r="EJ138" s="8"/>
      <c r="EK138" s="8"/>
      <c r="EL138" s="8"/>
      <c r="EM138" s="8"/>
      <c r="EN138" s="8"/>
      <c r="EO138" s="8"/>
      <c r="EP138" s="8"/>
      <c r="EQ138" s="8"/>
      <c r="ER138" s="8"/>
      <c r="ES138" s="8"/>
      <c r="ET138" s="8"/>
      <c r="EU138" s="8"/>
      <c r="EV138" s="8"/>
      <c r="EW138" s="8"/>
      <c r="EX138" s="8"/>
      <c r="EY138" s="8"/>
      <c r="EZ138" s="8"/>
      <c r="FA138" s="8"/>
      <c r="FB138" s="8"/>
      <c r="FC138" s="8"/>
      <c r="FD138" s="8"/>
      <c r="FE138" s="8"/>
      <c r="FF138" s="8"/>
      <c r="FG138" s="8"/>
      <c r="FH138" s="8"/>
      <c r="FI138" s="8"/>
      <c r="FJ138" s="8"/>
      <c r="FK138" s="8"/>
      <c r="FL138" s="8"/>
      <c r="FM138" s="8"/>
    </row>
    <row r="139" spans="7:221" x14ac:dyDescent="0.25">
      <c r="G139" s="10" t="s">
        <v>136</v>
      </c>
      <c r="H139" s="8"/>
      <c r="I139" s="8"/>
      <c r="J139" s="8"/>
      <c r="K139" s="8"/>
      <c r="L139" s="8"/>
      <c r="M139" s="8"/>
      <c r="N139" s="8"/>
      <c r="O139" s="8"/>
      <c r="P139" s="8"/>
      <c r="Q139" s="8"/>
      <c r="R139" s="8"/>
      <c r="S139" s="8"/>
      <c r="T139" s="8"/>
      <c r="U139" s="8"/>
      <c r="V139" s="8"/>
      <c r="W139" s="8"/>
      <c r="X139" s="8"/>
      <c r="Y139" s="8"/>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c r="BC139" s="8"/>
      <c r="BD139" s="8"/>
      <c r="BE139" s="8"/>
      <c r="BF139" s="8"/>
      <c r="BG139" s="8"/>
      <c r="BH139" s="8"/>
      <c r="BI139" s="8"/>
      <c r="BJ139" s="8"/>
      <c r="BK139" s="8"/>
      <c r="BL139" s="8"/>
      <c r="BM139" s="8"/>
      <c r="BN139" s="8"/>
      <c r="BO139" s="8"/>
      <c r="BP139" s="8"/>
      <c r="BQ139" s="8"/>
      <c r="BR139" s="8"/>
      <c r="BS139" s="8"/>
      <c r="BT139" s="8"/>
      <c r="BU139" s="8"/>
      <c r="BV139" s="8"/>
      <c r="BW139" s="8"/>
      <c r="BX139" s="8"/>
      <c r="BY139" s="8"/>
      <c r="BZ139" s="8"/>
      <c r="CA139" s="8"/>
      <c r="CB139" s="8"/>
      <c r="CC139" s="8"/>
      <c r="CD139" s="8"/>
      <c r="CE139" s="8"/>
      <c r="CF139" s="8"/>
      <c r="CG139" s="8"/>
      <c r="CH139" s="8"/>
      <c r="CI139" s="8"/>
      <c r="CJ139" s="8"/>
      <c r="CK139" s="8"/>
      <c r="CL139" s="8"/>
      <c r="CM139" s="8"/>
      <c r="CN139" s="8"/>
      <c r="CO139" s="8"/>
      <c r="CP139" s="8"/>
      <c r="CQ139" s="8"/>
      <c r="CR139" s="8"/>
      <c r="CS139" s="8"/>
      <c r="CT139" s="8"/>
      <c r="CU139" s="8"/>
      <c r="CV139" s="8"/>
      <c r="CW139" s="8"/>
      <c r="CX139" s="8"/>
      <c r="CY139" s="8"/>
      <c r="CZ139" s="8"/>
      <c r="DA139" s="8"/>
      <c r="DB139" s="8"/>
      <c r="DC139" s="8"/>
      <c r="DD139" s="8"/>
      <c r="DE139" s="8"/>
      <c r="DF139" s="8"/>
      <c r="DG139" s="8"/>
      <c r="DH139" s="8"/>
      <c r="DI139" s="8"/>
      <c r="DJ139" s="8"/>
      <c r="DK139" s="8"/>
      <c r="DL139" s="8"/>
      <c r="DM139" s="8"/>
      <c r="DN139" s="8"/>
      <c r="DO139" s="8"/>
      <c r="DP139" s="8"/>
      <c r="DQ139" s="8"/>
      <c r="DR139" s="8"/>
      <c r="DS139" s="8"/>
      <c r="DT139" s="8"/>
      <c r="DU139" s="8"/>
      <c r="DV139" s="8"/>
      <c r="DW139" s="8"/>
      <c r="DX139" s="8"/>
      <c r="DY139" s="8"/>
      <c r="DZ139" s="8"/>
      <c r="EA139" s="8"/>
      <c r="EB139" s="8"/>
      <c r="EC139" s="8"/>
      <c r="ED139" s="8"/>
      <c r="EE139" s="8"/>
      <c r="EF139" s="8"/>
      <c r="EG139" s="8"/>
      <c r="EH139" s="8"/>
      <c r="EI139" s="8"/>
      <c r="EJ139" s="8"/>
      <c r="EK139" s="8"/>
      <c r="EL139" s="8"/>
      <c r="EM139" s="8"/>
      <c r="EN139" s="8"/>
      <c r="EO139" s="8"/>
      <c r="EP139" s="8"/>
      <c r="EQ139" s="8"/>
      <c r="ER139" s="8"/>
      <c r="ES139" s="8"/>
      <c r="ET139" s="8"/>
      <c r="EU139" s="8"/>
      <c r="EV139" s="8"/>
      <c r="EW139" s="8"/>
      <c r="EX139" s="8"/>
      <c r="EY139" s="8"/>
      <c r="EZ139" s="8"/>
      <c r="FA139" s="8"/>
      <c r="FB139" s="8"/>
      <c r="FC139" s="8"/>
      <c r="FD139" s="8"/>
      <c r="FE139" s="8"/>
      <c r="FF139" s="8"/>
      <c r="FG139" s="8"/>
      <c r="FH139" s="8"/>
      <c r="FI139" s="8"/>
      <c r="FJ139" s="8"/>
      <c r="FK139" s="8"/>
      <c r="FL139" s="8"/>
      <c r="FM139" s="8"/>
    </row>
    <row r="140" spans="7:221" x14ac:dyDescent="0.25">
      <c r="G140" s="8">
        <f>ABS(($A$99*2/($G2*$F$4))*$B$98*$F$98*(1-(B$103^$F$98)/(($F$4/2)^$E$98)))</f>
        <v>1.8219339622641509E-2</v>
      </c>
      <c r="H140" s="8">
        <f t="shared" ref="H140:BS140" si="1067">ABS(($A$99*2/($G2*$F$4))*$B$98*$F$98*(1-(C$103^$F$98)/(($F$4/2)^$E$98)))</f>
        <v>1.2082034411313617E-2</v>
      </c>
      <c r="I140" s="8">
        <f t="shared" si="1067"/>
        <v>4.4771580296003302E-3</v>
      </c>
      <c r="J140" s="8">
        <f t="shared" si="1067"/>
        <v>3.0556696539660418E-2</v>
      </c>
      <c r="K140" s="8">
        <f t="shared" si="1067"/>
        <v>6.571505632811217E-2</v>
      </c>
      <c r="L140" s="8">
        <f t="shared" si="1067"/>
        <v>0.10965666258405284</v>
      </c>
      <c r="M140" s="8">
        <f t="shared" si="1067"/>
        <v>0.16216034692122194</v>
      </c>
      <c r="N140" s="8">
        <f t="shared" si="1067"/>
        <v>0.22305010544276721</v>
      </c>
      <c r="O140" s="8">
        <f t="shared" si="1067"/>
        <v>0.29218021768183228</v>
      </c>
      <c r="P140" s="8">
        <f t="shared" si="1067"/>
        <v>0.36942664208851028</v>
      </c>
      <c r="Q140" s="8">
        <f t="shared" si="1067"/>
        <v>0.45468159717700468</v>
      </c>
      <c r="R140" s="8">
        <f t="shared" si="1067"/>
        <v>0.54784993189134357</v>
      </c>
      <c r="S140" s="8">
        <f t="shared" si="1067"/>
        <v>0.64884657793975464</v>
      </c>
      <c r="T140" s="8">
        <f t="shared" si="1067"/>
        <v>0.75759469449304639</v>
      </c>
      <c r="U140" s="8">
        <f t="shared" si="1067"/>
        <v>0.87402427625253121</v>
      </c>
      <c r="V140" s="8">
        <f t="shared" si="1067"/>
        <v>0.99807108315311566</v>
      </c>
      <c r="W140" s="8">
        <f t="shared" si="1067"/>
        <v>1.1296758001880141</v>
      </c>
      <c r="X140" s="8">
        <f t="shared" si="1067"/>
        <v>1.2687833661459276</v>
      </c>
      <c r="Y140" s="8">
        <f t="shared" si="1067"/>
        <v>1.4153424290782055</v>
      </c>
      <c r="Z140" s="8">
        <f t="shared" si="1067"/>
        <v>1.5693048986688654</v>
      </c>
      <c r="AA140" s="8">
        <f t="shared" si="1067"/>
        <v>1.7306255739406224</v>
      </c>
      <c r="AB140" s="8">
        <f t="shared" si="1067"/>
        <v>1.899261830394426</v>
      </c>
      <c r="AC140" s="8">
        <f t="shared" si="1067"/>
        <v>2.0751733546513274</v>
      </c>
      <c r="AD140" s="8">
        <f t="shared" si="1067"/>
        <v>2.2583219175060552</v>
      </c>
      <c r="AE140" s="8">
        <f t="shared" si="1067"/>
        <v>2.4486711783689925</v>
      </c>
      <c r="AF140" s="8">
        <f t="shared" si="1067"/>
        <v>2.6461865156025932</v>
      </c>
      <c r="AG140" s="8">
        <f t="shared" si="1067"/>
        <v>2.8508348784049455</v>
      </c>
      <c r="AH140" s="8">
        <f t="shared" si="1067"/>
        <v>3.0625846567657233</v>
      </c>
      <c r="AI140" s="8">
        <f t="shared" si="1067"/>
        <v>3.2814055666897954</v>
      </c>
      <c r="AJ140" s="8">
        <f t="shared" si="1067"/>
        <v>3.507268548405758</v>
      </c>
      <c r="AK140" s="8">
        <f t="shared" si="1067"/>
        <v>3.7401456756859472</v>
      </c>
      <c r="AL140" s="8">
        <f t="shared" si="1067"/>
        <v>3.980010074729246</v>
      </c>
      <c r="AM140" s="8">
        <f t="shared" si="1067"/>
        <v>4.2268358513176478</v>
      </c>
      <c r="AN140" s="8">
        <f t="shared" si="1067"/>
        <v>4.4805980251666853</v>
      </c>
      <c r="AO140" s="8">
        <f t="shared" si="1067"/>
        <v>4.7412724705598004</v>
      </c>
      <c r="AP140" s="8">
        <f t="shared" si="1067"/>
        <v>5.0088358624953955</v>
      </c>
      <c r="AQ140" s="8">
        <f t="shared" si="1067"/>
        <v>5.2832656276896879</v>
      </c>
      <c r="AR140" s="8">
        <f t="shared" si="1067"/>
        <v>5.5645398998731626</v>
      </c>
      <c r="AS140" s="8">
        <f t="shared" si="1067"/>
        <v>5.8526374788969528</v>
      </c>
      <c r="AT140" s="8">
        <f t="shared" si="1067"/>
        <v>6.1475377932315469</v>
      </c>
      <c r="AU140" s="8">
        <f t="shared" si="1067"/>
        <v>6.4492208654955974</v>
      </c>
      <c r="AV140" s="8">
        <f t="shared" si="1067"/>
        <v>6.7576672806994651</v>
      </c>
      <c r="AW140" s="8">
        <f t="shared" si="1067"/>
        <v>7.0728581569280307</v>
      </c>
      <c r="AX140" s="8">
        <f t="shared" si="1067"/>
        <v>7.3947751182210197</v>
      </c>
      <c r="AY140" s="8">
        <f t="shared" si="1067"/>
        <v>7.7234002694385593</v>
      </c>
      <c r="AZ140" s="8">
        <f t="shared" si="1067"/>
        <v>8.0587161729239387</v>
      </c>
      <c r="BA140" s="8">
        <f t="shared" si="1067"/>
        <v>8.4007058267980472</v>
      </c>
      <c r="BB140" s="8">
        <f t="shared" si="1067"/>
        <v>8.7493526447376588</v>
      </c>
      <c r="BC140" s="8">
        <f t="shared" si="1067"/>
        <v>9.1046404371067613</v>
      </c>
      <c r="BD140" s="8">
        <f t="shared" si="1067"/>
        <v>9.4665533933233892</v>
      </c>
      <c r="BE140" s="8">
        <f t="shared" si="1067"/>
        <v>9.8350760653577236</v>
      </c>
      <c r="BF140" s="8">
        <f t="shared" si="1067"/>
        <v>10.210193352267211</v>
      </c>
      <c r="BG140" s="8">
        <f t="shared" si="1067"/>
        <v>10.591890485684356</v>
      </c>
      <c r="BH140" s="8">
        <f t="shared" si="1067"/>
        <v>10.980153016181228</v>
      </c>
      <c r="BI140" s="8">
        <f t="shared" si="1067"/>
        <v>11.37496680044177</v>
      </c>
      <c r="BJ140" s="8">
        <f t="shared" si="1067"/>
        <v>11.776317989180352</v>
      </c>
      <c r="BK140" s="8">
        <f t="shared" si="1067"/>
        <v>12.184193015749786</v>
      </c>
      <c r="BL140" s="8">
        <f t="shared" si="1067"/>
        <v>12.598578585387729</v>
      </c>
      <c r="BM140" s="8">
        <f t="shared" si="1067"/>
        <v>13.019461665055838</v>
      </c>
      <c r="BN140" s="8">
        <f t="shared" si="1067"/>
        <v>13.446829473827714</v>
      </c>
      <c r="BO140" s="8">
        <f t="shared" si="1067"/>
        <v>13.880669473789219</v>
      </c>
      <c r="BP140" s="8">
        <f t="shared" si="1067"/>
        <v>14.320969361413409</v>
      </c>
      <c r="BQ140" s="8">
        <f t="shared" si="1067"/>
        <v>14.767717059380059</v>
      </c>
      <c r="BR140" s="8">
        <f t="shared" si="1067"/>
        <v>15.220900708808127</v>
      </c>
      <c r="BS140" s="8">
        <f t="shared" si="1067"/>
        <v>15.680508661875475</v>
      </c>
      <c r="BT140" s="8">
        <f t="shared" ref="BT140:DC140" si="1068">ABS(($A$99*2/($G2*$F$4))*$B$98*$F$98*(1-(BO$103^$F$98)/(($F$4/2)^$E$98)))</f>
        <v>16.146529474800008</v>
      </c>
      <c r="BU140" s="8">
        <f t="shared" si="1068"/>
        <v>16.618951901159335</v>
      </c>
      <c r="BV140" s="8">
        <f t="shared" si="1068"/>
        <v>17.097764885527869</v>
      </c>
      <c r="BW140" s="8">
        <f t="shared" si="1068"/>
        <v>17.582957557411287</v>
      </c>
      <c r="BX140" s="8">
        <f t="shared" si="1068"/>
        <v>18.074519225461067</v>
      </c>
      <c r="BY140" s="8">
        <f t="shared" si="1068"/>
        <v>18.572439371951546</v>
      </c>
      <c r="BZ140" s="8">
        <f t="shared" si="1068"/>
        <v>19.076707647503952</v>
      </c>
      <c r="CA140" s="8">
        <f t="shared" si="1068"/>
        <v>19.587313866043996</v>
      </c>
      <c r="CB140" s="8">
        <f t="shared" si="1068"/>
        <v>20.104247999978032</v>
      </c>
      <c r="CC140" s="8">
        <f t="shared" si="1068"/>
        <v>20.627500175576909</v>
      </c>
      <c r="CD140" s="8">
        <f t="shared" si="1068"/>
        <v>21.157060668554891</v>
      </c>
      <c r="CE140" s="8">
        <f t="shared" si="1068"/>
        <v>21.692919899833225</v>
      </c>
      <c r="CF140" s="8">
        <f t="shared" si="1068"/>
        <v>22.23506843147867</v>
      </c>
      <c r="CG140" s="8">
        <f t="shared" si="1068"/>
        <v>22.783496962806531</v>
      </c>
      <c r="CH140" s="8">
        <f t="shared" si="1068"/>
        <v>23.338196326640745</v>
      </c>
      <c r="CI140" s="8">
        <f t="shared" si="1068"/>
        <v>23.899157485722039</v>
      </c>
      <c r="CJ140" s="8">
        <f t="shared" si="1068"/>
        <v>24.466371529256485</v>
      </c>
      <c r="CK140" s="8">
        <f t="shared" si="1068"/>
        <v>25.039829669597722</v>
      </c>
      <c r="CL140" s="8">
        <f t="shared" si="1068"/>
        <v>25.619523239055646</v>
      </c>
      <c r="CM140" s="8">
        <f t="shared" si="1068"/>
        <v>26.205443686825582</v>
      </c>
      <c r="CN140" s="8">
        <f t="shared" si="1068"/>
        <v>26.797582576031818</v>
      </c>
      <c r="CO140" s="8">
        <f t="shared" si="1068"/>
        <v>27.395931580880085</v>
      </c>
      <c r="CP140" s="8">
        <f t="shared" si="1068"/>
        <v>28.000482483913448</v>
      </c>
      <c r="CQ140" s="8">
        <f t="shared" si="1068"/>
        <v>28.611227173367404</v>
      </c>
      <c r="CR140" s="8">
        <f t="shared" si="1068"/>
        <v>29.228157640618285</v>
      </c>
      <c r="CS140" s="8">
        <f t="shared" si="1068"/>
        <v>29.851265977722214</v>
      </c>
      <c r="CT140" s="8">
        <f t="shared" si="1068"/>
        <v>30.480544375038701</v>
      </c>
      <c r="CU140" s="8">
        <f t="shared" si="1068"/>
        <v>31.115985118937111</v>
      </c>
      <c r="CV140" s="8">
        <f t="shared" si="1068"/>
        <v>31.757580589579849</v>
      </c>
      <c r="CW140" s="8">
        <f t="shared" si="1068"/>
        <v>32.40532325878111</v>
      </c>
      <c r="CX140" s="8">
        <f t="shared" si="1068"/>
        <v>33.059205687936355</v>
      </c>
      <c r="CY140" s="8">
        <f t="shared" si="1068"/>
        <v>33.719220526020123</v>
      </c>
      <c r="CZ140" s="8">
        <f t="shared" si="1068"/>
        <v>34.385360507649203</v>
      </c>
      <c r="DA140" s="8">
        <f t="shared" si="1068"/>
        <v>35.05761845120805</v>
      </c>
      <c r="DB140" s="8">
        <f t="shared" si="1068"/>
        <v>35.735987257034118</v>
      </c>
      <c r="DC140" s="8">
        <f t="shared" si="1068"/>
        <v>36.420459905660564</v>
      </c>
      <c r="DD140" s="8"/>
      <c r="DE140" s="8"/>
      <c r="DF140" s="8"/>
      <c r="DG140" s="8"/>
      <c r="DH140" s="8"/>
      <c r="DI140" s="8"/>
      <c r="DJ140" s="8"/>
      <c r="DK140" s="8"/>
      <c r="DL140" s="8"/>
      <c r="DM140" s="8"/>
      <c r="DN140" s="8"/>
      <c r="DO140" s="8"/>
      <c r="DP140" s="8"/>
      <c r="DQ140" s="8"/>
      <c r="DR140" s="8"/>
      <c r="DS140" s="8"/>
      <c r="DT140" s="8"/>
      <c r="DU140" s="8"/>
      <c r="DV140" s="8"/>
      <c r="DW140" s="8"/>
      <c r="DX140" s="8"/>
      <c r="DY140" s="8"/>
      <c r="DZ140" s="8"/>
      <c r="EA140" s="8"/>
      <c r="EB140" s="8"/>
      <c r="EC140" s="8"/>
      <c r="ED140" s="8"/>
      <c r="EE140" s="8"/>
      <c r="EF140" s="8"/>
      <c r="EG140" s="8"/>
      <c r="EH140" s="8"/>
      <c r="EI140" s="8"/>
      <c r="EJ140" s="8"/>
      <c r="EK140" s="8"/>
      <c r="EL140" s="8"/>
      <c r="EM140" s="8"/>
      <c r="EN140" s="8"/>
      <c r="EO140" s="8"/>
      <c r="EP140" s="8"/>
      <c r="EQ140" s="8"/>
      <c r="ER140" s="8"/>
      <c r="ES140" s="8"/>
      <c r="ET140" s="8"/>
      <c r="EU140" s="8"/>
      <c r="EV140" s="8"/>
      <c r="EW140" s="8"/>
      <c r="EX140" s="8"/>
      <c r="EY140" s="8"/>
      <c r="EZ140" s="8"/>
      <c r="FA140" s="8"/>
      <c r="FB140" s="8"/>
      <c r="FC140" s="8"/>
      <c r="FD140" s="8"/>
      <c r="FE140" s="8"/>
      <c r="FF140" s="8"/>
      <c r="FG140" s="8"/>
      <c r="FH140" s="8"/>
      <c r="FI140" s="8"/>
      <c r="FJ140" s="8"/>
      <c r="FK140" s="8"/>
      <c r="FL140" s="8"/>
      <c r="FM140" s="8"/>
    </row>
    <row r="141" spans="7:221" x14ac:dyDescent="0.25">
      <c r="G141" s="8">
        <f t="shared" ref="G141:G142" si="1069">ABS(($A$99*2/($G3*$F$4))*$B$98*$F$98*(1-(B$103^$F$98)/(($F$4/2)^$E$98)))</f>
        <v>8.0974842767295597E-3</v>
      </c>
      <c r="H141" s="8">
        <f t="shared" ref="H141:H142" si="1070">ABS(($A$99*2/($G3*$F$4))*$B$98*$F$98*(1-(C$103^$F$98)/(($F$4/2)^$E$98)))</f>
        <v>5.3697930716949411E-3</v>
      </c>
      <c r="I141" s="8">
        <f t="shared" ref="I141:I142" si="1071">ABS(($A$99*2/($G3*$F$4))*$B$98*$F$98*(1-(D$103^$F$98)/(($F$4/2)^$E$98)))</f>
        <v>1.9898480131557024E-3</v>
      </c>
      <c r="J141" s="8">
        <f t="shared" ref="J141:J142" si="1072">ABS(($A$99*2/($G3*$F$4))*$B$98*$F$98*(1-(E$103^$F$98)/(($F$4/2)^$E$98)))</f>
        <v>1.3580754017626854E-2</v>
      </c>
      <c r="K141" s="8">
        <f t="shared" ref="K141:K142" si="1073">ABS(($A$99*2/($G3*$F$4))*$B$98*$F$98*(1-(F$103^$F$98)/(($F$4/2)^$E$98)))</f>
        <v>2.9206691701383188E-2</v>
      </c>
      <c r="L141" s="8">
        <f t="shared" ref="L141:L142" si="1074">ABS(($A$99*2/($G3*$F$4))*$B$98*$F$98*(1-(G$103^$F$98)/(($F$4/2)^$E$98)))</f>
        <v>4.8736294481801265E-2</v>
      </c>
      <c r="M141" s="8">
        <f t="shared" ref="M141:M142" si="1075">ABS(($A$99*2/($G3*$F$4))*$B$98*$F$98*(1-(H$103^$F$98)/(($F$4/2)^$E$98)))</f>
        <v>7.2071265298320863E-2</v>
      </c>
      <c r="N141" s="8">
        <f t="shared" ref="N141:N142" si="1076">ABS(($A$99*2/($G3*$F$4))*$B$98*$F$98*(1-(I$103^$F$98)/(($F$4/2)^$E$98)))</f>
        <v>9.9133380196785428E-2</v>
      </c>
      <c r="O141" s="8">
        <f t="shared" ref="O141:O142" si="1077">ABS(($A$99*2/($G3*$F$4))*$B$98*$F$98*(1-(J$103^$F$98)/(($F$4/2)^$E$98)))</f>
        <v>0.12985787452525879</v>
      </c>
      <c r="P141" s="8">
        <f t="shared" ref="P141:P142" si="1078">ABS(($A$99*2/($G3*$F$4))*$B$98*$F$98*(1-(K$103^$F$98)/(($F$4/2)^$E$98)))</f>
        <v>0.16418961870600457</v>
      </c>
      <c r="Q141" s="8">
        <f t="shared" ref="Q141:Q142" si="1079">ABS(($A$99*2/($G3*$F$4))*$B$98*$F$98*(1-(L$103^$F$98)/(($F$4/2)^$E$98)))</f>
        <v>0.20208070985644652</v>
      </c>
      <c r="R141" s="8">
        <f t="shared" ref="R141:R142" si="1080">ABS(($A$99*2/($G3*$F$4))*$B$98*$F$98*(1-(M$103^$F$98)/(($F$4/2)^$E$98)))</f>
        <v>0.24348885861837491</v>
      </c>
      <c r="S141" s="8">
        <f t="shared" ref="S141:S142" si="1081">ABS(($A$99*2/($G3*$F$4))*$B$98*$F$98*(1-(N$103^$F$98)/(($F$4/2)^$E$98)))</f>
        <v>0.28837625686211316</v>
      </c>
      <c r="T141" s="8">
        <f t="shared" ref="T141:T142" si="1082">ABS(($A$99*2/($G3*$F$4))*$B$98*$F$98*(1-(O$103^$F$98)/(($F$4/2)^$E$98)))</f>
        <v>0.33670875310802062</v>
      </c>
      <c r="U141" s="8">
        <f t="shared" ref="U141:U142" si="1083">ABS(($A$99*2/($G3*$F$4))*$B$98*$F$98*(1-(P$103^$F$98)/(($F$4/2)^$E$98)))</f>
        <v>0.38845523389001391</v>
      </c>
      <c r="V141" s="8">
        <f t="shared" ref="V141:V142" si="1084">ABS(($A$99*2/($G3*$F$4))*$B$98*$F$98*(1-(Q$103^$F$98)/(($F$4/2)^$E$98)))</f>
        <v>0.44358714806805144</v>
      </c>
      <c r="W141" s="8">
        <f t="shared" ref="W141:W142" si="1085">ABS(($A$99*2/($G3*$F$4))*$B$98*$F$98*(1-(R$103^$F$98)/(($F$4/2)^$E$98)))</f>
        <v>0.50207813341689511</v>
      </c>
      <c r="X141" s="8">
        <f t="shared" ref="X141:X142" si="1086">ABS(($A$99*2/($G3*$F$4))*$B$98*$F$98*(1-(S$103^$F$98)/(($F$4/2)^$E$98)))</f>
        <v>0.56390371828707897</v>
      </c>
      <c r="Y141" s="8">
        <f t="shared" ref="Y141:Y142" si="1087">ABS(($A$99*2/($G3*$F$4))*$B$98*$F$98*(1-(T$103^$F$98)/(($F$4/2)^$E$98)))</f>
        <v>0.62904107959031363</v>
      </c>
      <c r="Z141" s="8">
        <f t="shared" ref="Z141:Z142" si="1088">ABS(($A$99*2/($G3*$F$4))*$B$98*$F$98*(1-(U$103^$F$98)/(($F$4/2)^$E$98)))</f>
        <v>0.69746884385282903</v>
      </c>
      <c r="AA141" s="8">
        <f t="shared" ref="AA141:AA142" si="1089">ABS(($A$99*2/($G3*$F$4))*$B$98*$F$98*(1-(V$103^$F$98)/(($F$4/2)^$E$98)))</f>
        <v>0.76916692175138779</v>
      </c>
      <c r="AB141" s="8">
        <f t="shared" ref="AB141:AB142" si="1090">ABS(($A$99*2/($G3*$F$4))*$B$98*$F$98*(1-(W$103^$F$98)/(($F$4/2)^$E$98)))</f>
        <v>0.8441163690641893</v>
      </c>
      <c r="AC141" s="8">
        <f t="shared" ref="AC141:AC142" si="1091">ABS(($A$99*2/($G3*$F$4))*$B$98*$F$98*(1-(X$103^$F$98)/(($F$4/2)^$E$98)))</f>
        <v>0.92229926873392321</v>
      </c>
      <c r="AD141" s="8">
        <f t="shared" ref="AD141:AD142" si="1092">ABS(($A$99*2/($G3*$F$4))*$B$98*$F$98*(1-(Y$103^$F$98)/(($F$4/2)^$E$98)))</f>
        <v>1.0036986300026911</v>
      </c>
      <c r="AE141" s="8">
        <f t="shared" ref="AE141:AE142" si="1093">ABS(($A$99*2/($G3*$F$4))*$B$98*$F$98*(1-(Z$103^$F$98)/(($F$4/2)^$E$98)))</f>
        <v>1.08829830149733</v>
      </c>
      <c r="AF141" s="8">
        <f t="shared" ref="AF141:AF142" si="1094">ABS(($A$99*2/($G3*$F$4))*$B$98*$F$98*(1-(AA$103^$F$98)/(($F$4/2)^$E$98)))</f>
        <v>1.1760828958233749</v>
      </c>
      <c r="AG141" s="8">
        <f t="shared" ref="AG141:AG142" si="1095">ABS(($A$99*2/($G3*$F$4))*$B$98*$F$98*(1-(AB$103^$F$98)/(($F$4/2)^$E$98)))</f>
        <v>1.2670377237355315</v>
      </c>
      <c r="AH141" s="8">
        <f t="shared" ref="AH141:AH142" si="1096">ABS(($A$99*2/($G3*$F$4))*$B$98*$F$98*(1-(AC$103^$F$98)/(($F$4/2)^$E$98)))</f>
        <v>1.3611487363403214</v>
      </c>
      <c r="AI141" s="8">
        <f t="shared" ref="AI141:AI142" si="1097">ABS(($A$99*2/($G3*$F$4))*$B$98*$F$98*(1-(AD$103^$F$98)/(($F$4/2)^$E$98)))</f>
        <v>1.4584024740843535</v>
      </c>
      <c r="AJ141" s="8">
        <f t="shared" ref="AJ141:AJ142" si="1098">ABS(($A$99*2/($G3*$F$4))*$B$98*$F$98*(1-(AE$103^$F$98)/(($F$4/2)^$E$98)))</f>
        <v>1.5587860215136704</v>
      </c>
      <c r="AK141" s="8">
        <f t="shared" ref="AK141:AK142" si="1099">ABS(($A$99*2/($G3*$F$4))*$B$98*$F$98*(1-(AF$103^$F$98)/(($F$4/2)^$E$98)))</f>
        <v>1.6622869669715323</v>
      </c>
      <c r="AL141" s="8">
        <f t="shared" ref="AL141:AL142" si="1100">ABS(($A$99*2/($G3*$F$4))*$B$98*$F$98*(1-(AG$103^$F$98)/(($F$4/2)^$E$98)))</f>
        <v>1.7688933665463316</v>
      </c>
      <c r="AM141" s="8">
        <f t="shared" ref="AM141:AM142" si="1101">ABS(($A$99*2/($G3*$F$4))*$B$98*$F$98*(1-(AH$103^$F$98)/(($F$4/2)^$E$98)))</f>
        <v>1.8785937116967324</v>
      </c>
      <c r="AN141" s="8">
        <f t="shared" ref="AN141:AN142" si="1102">ABS(($A$99*2/($G3*$F$4))*$B$98*$F$98*(1-(AI$103^$F$98)/(($F$4/2)^$E$98)))</f>
        <v>1.9913769000740822</v>
      </c>
      <c r="AO141" s="8">
        <f t="shared" ref="AO141:AO142" si="1103">ABS(($A$99*2/($G3*$F$4))*$B$98*$F$98*(1-(AJ$103^$F$98)/(($F$4/2)^$E$98)))</f>
        <v>2.1072322091376892</v>
      </c>
      <c r="AP141" s="8">
        <f t="shared" ref="AP141:AP142" si="1104">ABS(($A$99*2/($G3*$F$4))*$B$98*$F$98*(1-(AK$103^$F$98)/(($F$4/2)^$E$98)))</f>
        <v>2.2261492722201761</v>
      </c>
      <c r="AQ141" s="8">
        <f t="shared" ref="AQ141:AQ142" si="1105">ABS(($A$99*2/($G3*$F$4))*$B$98*$F$98*(1-(AL$103^$F$98)/(($F$4/2)^$E$98)))</f>
        <v>2.3481180567509723</v>
      </c>
      <c r="AR141" s="8">
        <f t="shared" ref="AR141:AR142" si="1106">ABS(($A$99*2/($G3*$F$4))*$B$98*$F$98*(1-(AM$103^$F$98)/(($F$4/2)^$E$98)))</f>
        <v>2.4731288443880723</v>
      </c>
      <c r="AS141" s="8">
        <f t="shared" ref="AS141:AS142" si="1107">ABS(($A$99*2/($G3*$F$4))*$B$98*$F$98*(1-(AN$103^$F$98)/(($F$4/2)^$E$98)))</f>
        <v>2.6011722128430903</v>
      </c>
      <c r="AT141" s="8">
        <f t="shared" ref="AT141:AT142" si="1108">ABS(($A$99*2/($G3*$F$4))*$B$98*$F$98*(1-(AO$103^$F$98)/(($F$4/2)^$E$98)))</f>
        <v>2.7322390192140209</v>
      </c>
      <c r="AU141" s="8">
        <f t="shared" ref="AU141:AU142" si="1109">ABS(($A$99*2/($G3*$F$4))*$B$98*$F$98*(1-(AP$103^$F$98)/(($F$4/2)^$E$98)))</f>
        <v>2.8663203846647103</v>
      </c>
      <c r="AV141" s="8">
        <f t="shared" ref="AV141:AV142" si="1110">ABS(($A$99*2/($G3*$F$4))*$B$98*$F$98*(1-(AQ$103^$F$98)/(($F$4/2)^$E$98)))</f>
        <v>3.0034076803108736</v>
      </c>
      <c r="AW141" s="8">
        <f t="shared" ref="AW141:AW142" si="1111">ABS(($A$99*2/($G3*$F$4))*$B$98*$F$98*(1-(AR$103^$F$98)/(($F$4/2)^$E$98)))</f>
        <v>3.1434925141902359</v>
      </c>
      <c r="AX141" s="8">
        <f t="shared" ref="AX141:AX142" si="1112">ABS(($A$99*2/($G3*$F$4))*$B$98*$F$98*(1-(AS$103^$F$98)/(($F$4/2)^$E$98)))</f>
        <v>3.2865667192093424</v>
      </c>
      <c r="AY141" s="8">
        <f t="shared" ref="AY141:AY142" si="1113">ABS(($A$99*2/($G3*$F$4))*$B$98*$F$98*(1-(AT$103^$F$98)/(($F$4/2)^$E$98)))</f>
        <v>3.4326223419726931</v>
      </c>
      <c r="AZ141" s="8">
        <f t="shared" ref="AZ141:AZ142" si="1114">ABS(($A$99*2/($G3*$F$4))*$B$98*$F$98*(1-(AU$103^$F$98)/(($F$4/2)^$E$98)))</f>
        <v>3.5816516324106393</v>
      </c>
      <c r="BA141" s="8">
        <f t="shared" ref="BA141:BA142" si="1115">ABS(($A$99*2/($G3*$F$4))*$B$98*$F$98*(1-(AV$103^$F$98)/(($F$4/2)^$E$98)))</f>
        <v>3.7336470341324652</v>
      </c>
      <c r="BB141" s="8">
        <f t="shared" ref="BB141:BB142" si="1116">ABS(($A$99*2/($G3*$F$4))*$B$98*$F$98*(1-(AW$103^$F$98)/(($F$4/2)^$E$98)))</f>
        <v>3.8886011754389598</v>
      </c>
      <c r="BC141" s="8">
        <f t="shared" ref="BC141:BC142" si="1117">ABS(($A$99*2/($G3*$F$4))*$B$98*$F$98*(1-(AX$103^$F$98)/(($F$4/2)^$E$98)))</f>
        <v>4.0465068609363382</v>
      </c>
      <c r="BD141" s="8">
        <f t="shared" ref="BD141:BD142" si="1118">ABS(($A$99*2/($G3*$F$4))*$B$98*$F$98*(1-(AY$103^$F$98)/(($F$4/2)^$E$98)))</f>
        <v>4.2073570636992841</v>
      </c>
      <c r="BE141" s="8">
        <f t="shared" ref="BE141:BE142" si="1119">ABS(($A$99*2/($G3*$F$4))*$B$98*$F$98*(1-(AZ$103^$F$98)/(($F$4/2)^$E$98)))</f>
        <v>4.3711449179367659</v>
      </c>
      <c r="BF141" s="8">
        <f t="shared" ref="BF141:BF142" si="1120">ABS(($A$99*2/($G3*$F$4))*$B$98*$F$98*(1-(BA$103^$F$98)/(($F$4/2)^$E$98)))</f>
        <v>4.5378637121187602</v>
      </c>
      <c r="BG141" s="8">
        <f t="shared" ref="BG141:BG142" si="1121">ABS(($A$99*2/($G3*$F$4))*$B$98*$F$98*(1-(BB$103^$F$98)/(($F$4/2)^$E$98)))</f>
        <v>4.7075068825263804</v>
      </c>
      <c r="BH141" s="8">
        <f t="shared" ref="BH141:BH142" si="1122">ABS(($A$99*2/($G3*$F$4))*$B$98*$F$98*(1-(BC$103^$F$98)/(($F$4/2)^$E$98)))</f>
        <v>4.8800680071916567</v>
      </c>
      <c r="BI141" s="8">
        <f t="shared" ref="BI141:BI142" si="1123">ABS(($A$99*2/($G3*$F$4))*$B$98*$F$98*(1-(BD$103^$F$98)/(($F$4/2)^$E$98)))</f>
        <v>5.0555408001963427</v>
      </c>
      <c r="BJ141" s="8">
        <f t="shared" ref="BJ141:BJ142" si="1124">ABS(($A$99*2/($G3*$F$4))*$B$98*$F$98*(1-(BE$103^$F$98)/(($F$4/2)^$E$98)))</f>
        <v>5.2339191063023787</v>
      </c>
      <c r="BK141" s="8">
        <f t="shared" ref="BK141:BK142" si="1125">ABS(($A$99*2/($G3*$F$4))*$B$98*$F$98*(1-(BF$103^$F$98)/(($F$4/2)^$E$98)))</f>
        <v>5.4151968958887942</v>
      </c>
      <c r="BL141" s="8">
        <f t="shared" ref="BL141:BL142" si="1126">ABS(($A$99*2/($G3*$F$4))*$B$98*$F$98*(1-(BG$103^$F$98)/(($F$4/2)^$E$98)))</f>
        <v>5.5993682601723247</v>
      </c>
      <c r="BM141" s="8">
        <f t="shared" ref="BM141:BM142" si="1127">ABS(($A$99*2/($G3*$F$4))*$B$98*$F$98*(1-(BH$103^$F$98)/(($F$4/2)^$E$98)))</f>
        <v>5.7864274066914829</v>
      </c>
      <c r="BN141" s="8">
        <f t="shared" ref="BN141:BN142" si="1128">ABS(($A$99*2/($G3*$F$4))*$B$98*$F$98*(1-(BI$103^$F$98)/(($F$4/2)^$E$98)))</f>
        <v>5.9763686550345403</v>
      </c>
      <c r="BO141" s="8">
        <f t="shared" ref="BO141:BO142" si="1129">ABS(($A$99*2/($G3*$F$4))*$B$98*$F$98*(1-(BJ$103^$F$98)/(($F$4/2)^$E$98)))</f>
        <v>6.1691864327952084</v>
      </c>
      <c r="BP141" s="8">
        <f t="shared" ref="BP141:BP142" si="1130">ABS(($A$99*2/($G3*$F$4))*$B$98*$F$98*(1-(BK$103^$F$98)/(($F$4/2)^$E$98)))</f>
        <v>6.3648752717392929</v>
      </c>
      <c r="BQ141" s="8">
        <f t="shared" ref="BQ141:BQ142" si="1131">ABS(($A$99*2/($G3*$F$4))*$B$98*$F$98*(1-(BL$103^$F$98)/(($F$4/2)^$E$98)))</f>
        <v>6.5634298041689147</v>
      </c>
      <c r="BR141" s="8">
        <f t="shared" ref="BR141:BR142" si="1132">ABS(($A$99*2/($G3*$F$4))*$B$98*$F$98*(1-(BM$103^$F$98)/(($F$4/2)^$E$98)))</f>
        <v>6.7648447594702787</v>
      </c>
      <c r="BS141" s="8">
        <f t="shared" ref="BS141:BS142" si="1133">ABS(($A$99*2/($G3*$F$4))*$B$98*$F$98*(1-(BN$103^$F$98)/(($F$4/2)^$E$98)))</f>
        <v>6.9691149608335445</v>
      </c>
      <c r="BT141" s="8">
        <f t="shared" ref="BT141:BT142" si="1134">ABS(($A$99*2/($G3*$F$4))*$B$98*$F$98*(1-(BO$103^$F$98)/(($F$4/2)^$E$98)))</f>
        <v>7.1762353221333379</v>
      </c>
      <c r="BU141" s="8">
        <f t="shared" ref="BU141:BU142" si="1135">ABS(($A$99*2/($G3*$F$4))*$B$98*$F$98*(1-(BP$103^$F$98)/(($F$4/2)^$E$98)))</f>
        <v>7.3862008449597045</v>
      </c>
      <c r="BV141" s="8">
        <f t="shared" ref="BV141:BV142" si="1136">ABS(($A$99*2/($G3*$F$4))*$B$98*$F$98*(1-(BQ$103^$F$98)/(($F$4/2)^$E$98)))</f>
        <v>7.5990066157901639</v>
      </c>
      <c r="BW141" s="8">
        <f t="shared" ref="BW141:BW142" si="1137">ABS(($A$99*2/($G3*$F$4))*$B$98*$F$98*(1-(BR$103^$F$98)/(($F$4/2)^$E$98)))</f>
        <v>7.8146478032939051</v>
      </c>
      <c r="BX141" s="8">
        <f t="shared" ref="BX141:BX142" si="1138">ABS(($A$99*2/($G3*$F$4))*$B$98*$F$98*(1-(BS$103^$F$98)/(($F$4/2)^$E$98)))</f>
        <v>8.0331196557604745</v>
      </c>
      <c r="BY141" s="8">
        <f t="shared" ref="BY141:BY142" si="1139">ABS(($A$99*2/($G3*$F$4))*$B$98*$F$98*(1-(BT$103^$F$98)/(($F$4/2)^$E$98)))</f>
        <v>8.2544174986451324</v>
      </c>
      <c r="BZ141" s="8">
        <f t="shared" ref="BZ141:BZ142" si="1140">ABS(($A$99*2/($G3*$F$4))*$B$98*$F$98*(1-(BU$103^$F$98)/(($F$4/2)^$E$98)))</f>
        <v>8.4785367322239775</v>
      </c>
      <c r="CA141" s="8">
        <f t="shared" ref="CA141:CA142" si="1141">ABS(($A$99*2/($G3*$F$4))*$B$98*$F$98*(1-(BV$103^$F$98)/(($F$4/2)^$E$98)))</f>
        <v>8.7054728293528871</v>
      </c>
      <c r="CB141" s="8">
        <f t="shared" ref="CB141:CB142" si="1142">ABS(($A$99*2/($G3*$F$4))*$B$98*$F$98*(1-(BW$103^$F$98)/(($F$4/2)^$E$98)))</f>
        <v>8.9352213333235699</v>
      </c>
      <c r="CC141" s="8">
        <f t="shared" ref="CC141:CC142" si="1143">ABS(($A$99*2/($G3*$F$4))*$B$98*$F$98*(1-(BX$103^$F$98)/(($F$4/2)^$E$98)))</f>
        <v>9.1677778558119591</v>
      </c>
      <c r="CD141" s="8">
        <f t="shared" ref="CD141:CD142" si="1144">ABS(($A$99*2/($G3*$F$4))*$B$98*$F$98*(1-(BY$103^$F$98)/(($F$4/2)^$E$98)))</f>
        <v>9.4031380749132847</v>
      </c>
      <c r="CE141" s="8">
        <f t="shared" ref="CE141:CE142" si="1145">ABS(($A$99*2/($G3*$F$4))*$B$98*$F$98*(1-(BZ$103^$F$98)/(($F$4/2)^$E$98)))</f>
        <v>9.6412977332592114</v>
      </c>
      <c r="CF141" s="8">
        <f t="shared" ref="CF141:CF142" si="1146">ABS(($A$99*2/($G3*$F$4))*$B$98*$F$98*(1-(CA$103^$F$98)/(($F$4/2)^$E$98)))</f>
        <v>9.8822526362127423</v>
      </c>
      <c r="CG141" s="8">
        <f t="shared" ref="CG141:CG142" si="1147">ABS(($A$99*2/($G3*$F$4))*$B$98*$F$98*(1-(CB$103^$F$98)/(($F$4/2)^$E$98)))</f>
        <v>10.125998650136237</v>
      </c>
      <c r="CH141" s="8">
        <f t="shared" ref="CH141:CH142" si="1148">ABS(($A$99*2/($G3*$F$4))*$B$98*$F$98*(1-(CC$103^$F$98)/(($F$4/2)^$E$98)))</f>
        <v>10.372531700729221</v>
      </c>
      <c r="CI141" s="8">
        <f t="shared" ref="CI141:CI142" si="1149">ABS(($A$99*2/($G3*$F$4))*$B$98*$F$98*(1-(CD$103^$F$98)/(($F$4/2)^$E$98)))</f>
        <v>10.621847771432018</v>
      </c>
      <c r="CJ141" s="8">
        <f t="shared" ref="CJ141:CJ142" si="1150">ABS(($A$99*2/($G3*$F$4))*$B$98*$F$98*(1-(CE$103^$F$98)/(($F$4/2)^$E$98)))</f>
        <v>10.873942901891771</v>
      </c>
      <c r="CK141" s="8">
        <f t="shared" ref="CK141:CK142" si="1151">ABS(($A$99*2/($G3*$F$4))*$B$98*$F$98*(1-(CF$103^$F$98)/(($F$4/2)^$E$98)))</f>
        <v>11.128813186487877</v>
      </c>
      <c r="CL141" s="8">
        <f t="shared" ref="CL141:CL142" si="1152">ABS(($A$99*2/($G3*$F$4))*$B$98*$F$98*(1-(CG$103^$F$98)/(($F$4/2)^$E$98)))</f>
        <v>11.386454772913622</v>
      </c>
      <c r="CM141" s="8">
        <f t="shared" ref="CM141:CM142" si="1153">ABS(($A$99*2/($G3*$F$4))*$B$98*$F$98*(1-(CH$103^$F$98)/(($F$4/2)^$E$98)))</f>
        <v>11.64686386081137</v>
      </c>
      <c r="CN141" s="8">
        <f t="shared" ref="CN141:CN142" si="1154">ABS(($A$99*2/($G3*$F$4))*$B$98*$F$98*(1-(CI$103^$F$98)/(($F$4/2)^$E$98)))</f>
        <v>11.910036700458585</v>
      </c>
      <c r="CO141" s="8">
        <f t="shared" ref="CO141:CO142" si="1155">ABS(($A$99*2/($G3*$F$4))*$B$98*$F$98*(1-(CJ$103^$F$98)/(($F$4/2)^$E$98)))</f>
        <v>12.175969591502259</v>
      </c>
      <c r="CP141" s="8">
        <f t="shared" ref="CP141:CP142" si="1156">ABS(($A$99*2/($G3*$F$4))*$B$98*$F$98*(1-(CK$103^$F$98)/(($F$4/2)^$E$98)))</f>
        <v>12.444658881739311</v>
      </c>
      <c r="CQ141" s="8">
        <f t="shared" ref="CQ141:CQ142" si="1157">ABS(($A$99*2/($G3*$F$4))*$B$98*$F$98*(1-(CL$103^$F$98)/(($F$4/2)^$E$98)))</f>
        <v>12.716100965941068</v>
      </c>
      <c r="CR141" s="8">
        <f t="shared" ref="CR141:CR142" si="1158">ABS(($A$99*2/($G3*$F$4))*$B$98*$F$98*(1-(CM$103^$F$98)/(($F$4/2)^$E$98)))</f>
        <v>12.990292284719237</v>
      </c>
      <c r="CS141" s="8">
        <f t="shared" ref="CS141:CS142" si="1159">ABS(($A$99*2/($G3*$F$4))*$B$98*$F$98*(1-(CN$103^$F$98)/(($F$4/2)^$E$98)))</f>
        <v>13.267229323432094</v>
      </c>
      <c r="CT141" s="8">
        <f t="shared" ref="CT141:CT142" si="1160">ABS(($A$99*2/($G3*$F$4))*$B$98*$F$98*(1-(CO$103^$F$98)/(($F$4/2)^$E$98)))</f>
        <v>13.546908611128311</v>
      </c>
      <c r="CU141" s="8">
        <f t="shared" ref="CU141:CU142" si="1161">ABS(($A$99*2/($G3*$F$4))*$B$98*$F$98*(1-(CP$103^$F$98)/(($F$4/2)^$E$98)))</f>
        <v>13.829326719527606</v>
      </c>
      <c r="CV141" s="8">
        <f t="shared" ref="CV141:CV142" si="1162">ABS(($A$99*2/($G3*$F$4))*$B$98*$F$98*(1-(CQ$103^$F$98)/(($F$4/2)^$E$98)))</f>
        <v>14.114480262035489</v>
      </c>
      <c r="CW141" s="8">
        <f t="shared" ref="CW141:CW142" si="1163">ABS(($A$99*2/($G3*$F$4))*$B$98*$F$98*(1-(CR$103^$F$98)/(($F$4/2)^$E$98)))</f>
        <v>14.402365892791606</v>
      </c>
      <c r="CX141" s="8">
        <f t="shared" ref="CX141:CX142" si="1164">ABS(($A$99*2/($G3*$F$4))*$B$98*$F$98*(1-(CS$103^$F$98)/(($F$4/2)^$E$98)))</f>
        <v>14.692980305749492</v>
      </c>
      <c r="CY141" s="8">
        <f t="shared" ref="CY141:CY142" si="1165">ABS(($A$99*2/($G3*$F$4))*$B$98*$F$98*(1-(CT$103^$F$98)/(($F$4/2)^$E$98)))</f>
        <v>14.986320233786721</v>
      </c>
      <c r="CZ141" s="8">
        <f t="shared" ref="CZ141:CZ142" si="1166">ABS(($A$99*2/($G3*$F$4))*$B$98*$F$98*(1-(CU$103^$F$98)/(($F$4/2)^$E$98)))</f>
        <v>15.282382447844091</v>
      </c>
      <c r="DA141" s="8">
        <f t="shared" ref="DA141:DA142" si="1167">ABS(($A$99*2/($G3*$F$4))*$B$98*$F$98*(1-(CV$103^$F$98)/(($F$4/2)^$E$98)))</f>
        <v>15.581163756092467</v>
      </c>
      <c r="DB141" s="8">
        <f t="shared" ref="DB141:DB142" si="1168">ABS(($A$99*2/($G3*$F$4))*$B$98*$F$98*(1-(CW$103^$F$98)/(($F$4/2)^$E$98)))</f>
        <v>15.882661003126277</v>
      </c>
      <c r="DC141" s="8">
        <f t="shared" ref="DC141:DC142" si="1169">ABS(($A$99*2/($G3*$F$4))*$B$98*$F$98*(1-(CX$103^$F$98)/(($F$4/2)^$E$98)))</f>
        <v>16.186871069182473</v>
      </c>
      <c r="DD141" s="8"/>
      <c r="DE141" s="8"/>
      <c r="DF141" s="8"/>
      <c r="DG141" s="8"/>
      <c r="DH141" s="8"/>
      <c r="DI141" s="8"/>
      <c r="DJ141" s="8"/>
      <c r="DK141" s="8"/>
      <c r="DL141" s="8"/>
      <c r="DM141" s="8"/>
      <c r="DN141" s="8"/>
      <c r="DO141" s="8"/>
      <c r="DP141" s="8"/>
      <c r="DQ141" s="8"/>
      <c r="DR141" s="8"/>
      <c r="DS141" s="8"/>
      <c r="DT141" s="8"/>
      <c r="DU141" s="8"/>
      <c r="DV141" s="8"/>
      <c r="DW141" s="8"/>
      <c r="DX141" s="8"/>
      <c r="DY141" s="8"/>
      <c r="DZ141" s="8"/>
      <c r="EA141" s="8"/>
      <c r="EB141" s="8"/>
      <c r="EC141" s="8"/>
      <c r="ED141" s="8"/>
      <c r="EE141" s="8"/>
      <c r="EF141" s="8"/>
      <c r="EG141" s="8"/>
      <c r="EH141" s="8"/>
      <c r="EI141" s="8"/>
      <c r="EJ141" s="8"/>
      <c r="EK141" s="8"/>
      <c r="EL141" s="8"/>
      <c r="EM141" s="8"/>
      <c r="EN141" s="8"/>
      <c r="EO141" s="8"/>
      <c r="EP141" s="8"/>
      <c r="EQ141" s="8"/>
      <c r="ER141" s="8"/>
      <c r="ES141" s="8"/>
      <c r="ET141" s="8"/>
      <c r="EU141" s="8"/>
      <c r="EV141" s="8"/>
      <c r="EW141" s="8"/>
      <c r="EX141" s="8"/>
      <c r="EY141" s="8"/>
      <c r="EZ141" s="8"/>
      <c r="FA141" s="8"/>
      <c r="FB141" s="8"/>
      <c r="FC141" s="8"/>
      <c r="FD141" s="8"/>
      <c r="FE141" s="8"/>
      <c r="FF141" s="8"/>
      <c r="FG141" s="8"/>
      <c r="FH141" s="8"/>
      <c r="FI141" s="8"/>
      <c r="FJ141" s="8"/>
      <c r="FK141" s="8"/>
      <c r="FL141" s="8"/>
      <c r="FM141" s="8"/>
    </row>
    <row r="142" spans="7:221" x14ac:dyDescent="0.25">
      <c r="G142" s="8">
        <f t="shared" si="1069"/>
        <v>5.2055256064690017E-3</v>
      </c>
      <c r="H142" s="8">
        <f t="shared" si="1070"/>
        <v>3.4520098318038899E-3</v>
      </c>
      <c r="I142" s="8">
        <f t="shared" si="1071"/>
        <v>1.279188008457237E-3</v>
      </c>
      <c r="J142" s="8">
        <f t="shared" si="1072"/>
        <v>8.7304847256172609E-3</v>
      </c>
      <c r="K142" s="8">
        <f t="shared" si="1073"/>
        <v>1.8775730379460617E-2</v>
      </c>
      <c r="L142" s="8">
        <f t="shared" si="1074"/>
        <v>3.1330475024015092E-2</v>
      </c>
      <c r="M142" s="8">
        <f t="shared" si="1075"/>
        <v>4.6331527691777688E-2</v>
      </c>
      <c r="N142" s="8">
        <f t="shared" si="1076"/>
        <v>6.3728601555076328E-2</v>
      </c>
      <c r="O142" s="8">
        <f t="shared" si="1077"/>
        <v>8.3480062194809218E-2</v>
      </c>
      <c r="P142" s="8">
        <f t="shared" si="1078"/>
        <v>0.10555046916814578</v>
      </c>
      <c r="Q142" s="8">
        <f t="shared" si="1079"/>
        <v>0.12990902776485846</v>
      </c>
      <c r="R142" s="8">
        <f t="shared" si="1080"/>
        <v>0.15652855196895527</v>
      </c>
      <c r="S142" s="8">
        <f t="shared" si="1081"/>
        <v>0.18538473655421558</v>
      </c>
      <c r="T142" s="8">
        <f t="shared" si="1082"/>
        <v>0.21645562699801324</v>
      </c>
      <c r="U142" s="8">
        <f t="shared" si="1083"/>
        <v>0.24972122178643746</v>
      </c>
      <c r="V142" s="8">
        <f t="shared" si="1084"/>
        <v>0.28516316661517588</v>
      </c>
      <c r="W142" s="8">
        <f t="shared" si="1085"/>
        <v>0.32276451433943254</v>
      </c>
      <c r="X142" s="8">
        <f t="shared" si="1086"/>
        <v>0.3625095331845507</v>
      </c>
      <c r="Y142" s="8">
        <f t="shared" si="1087"/>
        <v>0.40438355116520153</v>
      </c>
      <c r="Z142" s="8">
        <f t="shared" si="1088"/>
        <v>0.4483728281911043</v>
      </c>
      <c r="AA142" s="8">
        <f t="shared" si="1089"/>
        <v>0.49446444969732062</v>
      </c>
      <c r="AB142" s="8">
        <f t="shared" si="1090"/>
        <v>0.54264623725555017</v>
      </c>
      <c r="AC142" s="8">
        <f t="shared" si="1091"/>
        <v>0.59290667275752196</v>
      </c>
      <c r="AD142" s="8">
        <f t="shared" si="1092"/>
        <v>0.64523483357315847</v>
      </c>
      <c r="AE142" s="8">
        <f t="shared" si="1093"/>
        <v>0.69962033667685486</v>
      </c>
      <c r="AF142" s="8">
        <f t="shared" si="1094"/>
        <v>0.75605329017216938</v>
      </c>
      <c r="AG142" s="8">
        <f t="shared" si="1095"/>
        <v>0.81452425097284142</v>
      </c>
      <c r="AH142" s="8">
        <f t="shared" si="1096"/>
        <v>0.87502418764734935</v>
      </c>
      <c r="AI142" s="8">
        <f t="shared" si="1097"/>
        <v>0.9375444476256557</v>
      </c>
      <c r="AJ142" s="8">
        <f t="shared" si="1098"/>
        <v>1.0020767281159306</v>
      </c>
      <c r="AK142" s="8">
        <f t="shared" si="1099"/>
        <v>1.0686130501959847</v>
      </c>
      <c r="AL142" s="8">
        <f t="shared" si="1100"/>
        <v>1.1371457356369272</v>
      </c>
      <c r="AM142" s="8">
        <f t="shared" si="1101"/>
        <v>1.2076673860907563</v>
      </c>
      <c r="AN142" s="8">
        <f t="shared" si="1102"/>
        <v>1.2801708643333383</v>
      </c>
      <c r="AO142" s="8">
        <f t="shared" si="1103"/>
        <v>1.3546492773027998</v>
      </c>
      <c r="AP142" s="8">
        <f t="shared" si="1104"/>
        <v>1.4310959607129701</v>
      </c>
      <c r="AQ142" s="8">
        <f t="shared" si="1105"/>
        <v>1.5095044650541962</v>
      </c>
      <c r="AR142" s="8">
        <f t="shared" si="1106"/>
        <v>1.5898685428209032</v>
      </c>
      <c r="AS142" s="8">
        <f t="shared" si="1107"/>
        <v>1.6721821368277006</v>
      </c>
      <c r="AT142" s="8">
        <f t="shared" si="1108"/>
        <v>1.7564393694947276</v>
      </c>
      <c r="AU142" s="8">
        <f t="shared" si="1109"/>
        <v>1.8426345329987419</v>
      </c>
      <c r="AV142" s="8">
        <f t="shared" si="1110"/>
        <v>1.9307620801998469</v>
      </c>
      <c r="AW142" s="8">
        <f t="shared" si="1111"/>
        <v>2.0208166162651513</v>
      </c>
      <c r="AX142" s="8">
        <f t="shared" si="1112"/>
        <v>2.1127928909202911</v>
      </c>
      <c r="AY142" s="8">
        <f t="shared" si="1113"/>
        <v>2.2066857912681597</v>
      </c>
      <c r="AZ142" s="8">
        <f t="shared" si="1114"/>
        <v>2.3024903351211248</v>
      </c>
      <c r="BA142" s="8">
        <f t="shared" si="1115"/>
        <v>2.4002016647994417</v>
      </c>
      <c r="BB142" s="8">
        <f t="shared" si="1116"/>
        <v>2.4998150413536164</v>
      </c>
      <c r="BC142" s="8">
        <f t="shared" si="1117"/>
        <v>2.6013258391733598</v>
      </c>
      <c r="BD142" s="8">
        <f t="shared" si="1118"/>
        <v>2.7047295409495393</v>
      </c>
      <c r="BE142" s="8">
        <f t="shared" si="1119"/>
        <v>2.8100217329593491</v>
      </c>
      <c r="BF142" s="8">
        <f t="shared" si="1120"/>
        <v>2.9171981006477741</v>
      </c>
      <c r="BG142" s="8">
        <f t="shared" si="1121"/>
        <v>3.0262544244812437</v>
      </c>
      <c r="BH142" s="8">
        <f t="shared" si="1122"/>
        <v>3.137186576051779</v>
      </c>
      <c r="BI142" s="8">
        <f t="shared" si="1123"/>
        <v>3.2499905144119339</v>
      </c>
      <c r="BJ142" s="8">
        <f t="shared" si="1124"/>
        <v>3.3646622826229571</v>
      </c>
      <c r="BK142" s="8">
        <f t="shared" si="1125"/>
        <v>3.4811980044999382</v>
      </c>
      <c r="BL142" s="8">
        <f t="shared" si="1126"/>
        <v>3.5995938815393504</v>
      </c>
      <c r="BM142" s="8">
        <f t="shared" si="1127"/>
        <v>3.7198461900159527</v>
      </c>
      <c r="BN142" s="8">
        <f t="shared" si="1128"/>
        <v>3.8419512782364893</v>
      </c>
      <c r="BO142" s="8">
        <f t="shared" si="1129"/>
        <v>3.965905563939776</v>
      </c>
      <c r="BP142" s="8">
        <f t="shared" si="1130"/>
        <v>4.0917055318324014</v>
      </c>
      <c r="BQ142" s="8">
        <f t="shared" si="1131"/>
        <v>4.2193477312514442</v>
      </c>
      <c r="BR142" s="8">
        <f t="shared" si="1132"/>
        <v>4.3488287739451783</v>
      </c>
      <c r="BS142" s="8">
        <f t="shared" si="1133"/>
        <v>4.4801453319644207</v>
      </c>
      <c r="BT142" s="8">
        <f t="shared" si="1134"/>
        <v>4.6132941356571449</v>
      </c>
      <c r="BU142" s="8">
        <f t="shared" si="1135"/>
        <v>4.7482719717598094</v>
      </c>
      <c r="BV142" s="8">
        <f t="shared" si="1136"/>
        <v>4.8850756815793899</v>
      </c>
      <c r="BW142" s="8">
        <f t="shared" si="1137"/>
        <v>5.0237021592603668</v>
      </c>
      <c r="BX142" s="8">
        <f t="shared" si="1138"/>
        <v>5.1641483501317325</v>
      </c>
      <c r="BY142" s="8">
        <f t="shared" si="1139"/>
        <v>5.3064112491290123</v>
      </c>
      <c r="BZ142" s="8">
        <f t="shared" si="1140"/>
        <v>5.4504878992868422</v>
      </c>
      <c r="CA142" s="8">
        <f t="shared" si="1141"/>
        <v>5.5963753902982836</v>
      </c>
      <c r="CB142" s="8">
        <f t="shared" si="1142"/>
        <v>5.7440708571365793</v>
      </c>
      <c r="CC142" s="8">
        <f t="shared" si="1143"/>
        <v>5.8935714787362583</v>
      </c>
      <c r="CD142" s="8">
        <f t="shared" si="1144"/>
        <v>6.0448744767299676</v>
      </c>
      <c r="CE142" s="8">
        <f t="shared" si="1145"/>
        <v>6.1979771142380624</v>
      </c>
      <c r="CF142" s="8">
        <f t="shared" si="1146"/>
        <v>6.3528766947081907</v>
      </c>
      <c r="CG142" s="8">
        <f t="shared" si="1147"/>
        <v>6.5095705608018655</v>
      </c>
      <c r="CH142" s="8">
        <f t="shared" si="1148"/>
        <v>6.6680560933259256</v>
      </c>
      <c r="CI142" s="8">
        <f t="shared" si="1149"/>
        <v>6.8283307102062949</v>
      </c>
      <c r="CJ142" s="8">
        <f t="shared" si="1150"/>
        <v>6.9903918655018513</v>
      </c>
      <c r="CK142" s="8">
        <f t="shared" si="1151"/>
        <v>7.1542370484564906</v>
      </c>
      <c r="CL142" s="8">
        <f t="shared" si="1152"/>
        <v>7.3198637825873263</v>
      </c>
      <c r="CM142" s="8">
        <f t="shared" si="1153"/>
        <v>7.4872696248073076</v>
      </c>
      <c r="CN142" s="8">
        <f t="shared" si="1154"/>
        <v>7.6564521645805179</v>
      </c>
      <c r="CO142" s="8">
        <f t="shared" si="1155"/>
        <v>7.8274090231085935</v>
      </c>
      <c r="CP142" s="8">
        <f t="shared" si="1156"/>
        <v>8.0001378525466986</v>
      </c>
      <c r="CQ142" s="8">
        <f t="shared" si="1157"/>
        <v>8.1746363352478273</v>
      </c>
      <c r="CR142" s="8">
        <f t="shared" si="1158"/>
        <v>8.3509021830337939</v>
      </c>
      <c r="CS142" s="8">
        <f t="shared" si="1159"/>
        <v>8.5289331364920589</v>
      </c>
      <c r="CT142" s="8">
        <f t="shared" si="1160"/>
        <v>8.7087269642967708</v>
      </c>
      <c r="CU142" s="8">
        <f t="shared" si="1161"/>
        <v>8.8902814625534585</v>
      </c>
      <c r="CV142" s="8">
        <f t="shared" si="1162"/>
        <v>9.0735944541656703</v>
      </c>
      <c r="CW142" s="8">
        <f t="shared" si="1163"/>
        <v>9.2586637882231742</v>
      </c>
      <c r="CX142" s="8">
        <f t="shared" si="1164"/>
        <v>9.445487339410386</v>
      </c>
      <c r="CY142" s="8">
        <f t="shared" si="1165"/>
        <v>9.6340630074343192</v>
      </c>
      <c r="CZ142" s="8">
        <f t="shared" si="1166"/>
        <v>9.8243887164711996</v>
      </c>
      <c r="DA142" s="8">
        <f t="shared" si="1167"/>
        <v>10.016462414630869</v>
      </c>
      <c r="DB142" s="8">
        <f t="shared" si="1168"/>
        <v>10.210282073438318</v>
      </c>
      <c r="DC142" s="8">
        <f t="shared" si="1169"/>
        <v>10.405845687331588</v>
      </c>
      <c r="DD142" s="8"/>
      <c r="DE142" s="8"/>
      <c r="DF142" s="8"/>
      <c r="DG142" s="8"/>
      <c r="DH142" s="8"/>
      <c r="DI142" s="8"/>
      <c r="DJ142" s="8"/>
      <c r="DK142" s="8"/>
      <c r="DL142" s="8"/>
      <c r="DM142" s="8"/>
      <c r="DN142" s="8"/>
      <c r="DO142" s="8"/>
      <c r="DP142" s="8"/>
      <c r="DQ142" s="8"/>
      <c r="DR142" s="8"/>
      <c r="DS142" s="8"/>
      <c r="DT142" s="8"/>
      <c r="DU142" s="8"/>
      <c r="DV142" s="8"/>
      <c r="DW142" s="8"/>
      <c r="DX142" s="8"/>
      <c r="DY142" s="8"/>
      <c r="DZ142" s="8"/>
      <c r="EA142" s="8"/>
      <c r="EB142" s="8"/>
      <c r="EC142" s="8"/>
      <c r="ED142" s="8"/>
      <c r="EE142" s="8"/>
      <c r="EF142" s="8"/>
      <c r="EG142" s="8"/>
      <c r="EH142" s="8"/>
      <c r="EI142" s="8"/>
      <c r="EJ142" s="8"/>
      <c r="EK142" s="8"/>
      <c r="EL142" s="8"/>
      <c r="EM142" s="8"/>
      <c r="EN142" s="8"/>
      <c r="EO142" s="8"/>
      <c r="EP142" s="8"/>
      <c r="EQ142" s="8"/>
      <c r="ER142" s="8"/>
      <c r="ES142" s="8"/>
      <c r="ET142" s="8"/>
      <c r="EU142" s="8"/>
      <c r="EV142" s="8"/>
      <c r="EW142" s="8"/>
      <c r="EX142" s="8"/>
      <c r="EY142" s="8"/>
      <c r="EZ142" s="8"/>
      <c r="FA142" s="8"/>
      <c r="FB142" s="8"/>
      <c r="FC142" s="8"/>
      <c r="FD142" s="8"/>
      <c r="FE142" s="8"/>
      <c r="FF142" s="8"/>
      <c r="FG142" s="8"/>
      <c r="FH142" s="8"/>
      <c r="FI142" s="8"/>
      <c r="FJ142" s="8"/>
      <c r="FK142" s="8"/>
      <c r="FL142" s="8"/>
      <c r="FM142" s="8"/>
    </row>
    <row r="143" spans="7:221" x14ac:dyDescent="0.25">
      <c r="G143" s="8"/>
      <c r="H143" s="8"/>
      <c r="I143" s="8"/>
      <c r="J143" s="8"/>
      <c r="K143" s="8"/>
      <c r="L143" s="8"/>
      <c r="M143" s="8"/>
      <c r="N143" s="8"/>
      <c r="O143" s="8"/>
      <c r="P143" s="8"/>
      <c r="Q143" s="8"/>
      <c r="R143" s="8"/>
      <c r="S143" s="8"/>
      <c r="T143" s="8"/>
      <c r="U143" s="8"/>
      <c r="V143" s="8"/>
      <c r="W143" s="8"/>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c r="BC143" s="8"/>
      <c r="BD143" s="8"/>
      <c r="BE143" s="8"/>
      <c r="BF143" s="8"/>
      <c r="BG143" s="8"/>
      <c r="BH143" s="8"/>
      <c r="BI143" s="8"/>
      <c r="BJ143" s="8"/>
      <c r="BK143" s="8"/>
      <c r="BL143" s="8"/>
      <c r="BM143" s="8"/>
      <c r="BN143" s="8"/>
      <c r="BO143" s="8"/>
      <c r="BP143" s="8"/>
      <c r="BQ143" s="8"/>
      <c r="BR143" s="8"/>
      <c r="BS143" s="8"/>
      <c r="BT143" s="8"/>
      <c r="BU143" s="8"/>
      <c r="BV143" s="8"/>
      <c r="BW143" s="8"/>
      <c r="BX143" s="8"/>
      <c r="BY143" s="8"/>
      <c r="BZ143" s="8"/>
      <c r="CA143" s="8"/>
      <c r="CB143" s="8"/>
      <c r="CC143" s="8"/>
      <c r="CD143" s="8"/>
      <c r="CE143" s="8"/>
      <c r="CF143" s="8"/>
      <c r="CG143" s="8"/>
      <c r="CH143" s="8"/>
      <c r="CI143" s="8"/>
      <c r="CJ143" s="8"/>
      <c r="CK143" s="8"/>
      <c r="CL143" s="8"/>
      <c r="CM143" s="8"/>
      <c r="CN143" s="8"/>
      <c r="CO143" s="8"/>
      <c r="CP143" s="8"/>
      <c r="CQ143" s="8"/>
      <c r="CR143" s="8"/>
      <c r="CS143" s="8"/>
      <c r="CT143" s="8"/>
      <c r="CU143" s="8"/>
      <c r="CV143" s="8"/>
      <c r="CW143" s="8"/>
      <c r="CX143" s="8"/>
      <c r="CY143" s="8"/>
      <c r="CZ143" s="8"/>
      <c r="DA143" s="8"/>
      <c r="DB143" s="8"/>
      <c r="DC143" s="8"/>
      <c r="DD143" s="8"/>
      <c r="DE143" s="8"/>
      <c r="DF143" s="8"/>
      <c r="DG143" s="8"/>
      <c r="DH143" s="8"/>
      <c r="DI143" s="8"/>
      <c r="DJ143" s="8"/>
      <c r="DK143" s="8"/>
      <c r="DL143" s="8"/>
      <c r="DM143" s="8"/>
      <c r="DN143" s="8"/>
      <c r="DO143" s="8"/>
      <c r="DP143" s="8"/>
      <c r="DQ143" s="8"/>
      <c r="DR143" s="8"/>
      <c r="DS143" s="8"/>
      <c r="DT143" s="8"/>
      <c r="DU143" s="8"/>
      <c r="DV143" s="8"/>
      <c r="DW143" s="8"/>
      <c r="DX143" s="8"/>
      <c r="DY143" s="8"/>
      <c r="DZ143" s="8"/>
      <c r="EA143" s="8"/>
      <c r="EB143" s="8"/>
      <c r="EC143" s="8"/>
      <c r="ED143" s="8"/>
      <c r="EE143" s="8"/>
      <c r="EF143" s="8"/>
      <c r="EG143" s="8"/>
      <c r="EH143" s="8"/>
      <c r="EI143" s="8"/>
      <c r="EJ143" s="8"/>
      <c r="EK143" s="8"/>
      <c r="EL143" s="8"/>
      <c r="EM143" s="8"/>
      <c r="EN143" s="8"/>
      <c r="EO143" s="8"/>
      <c r="EP143" s="8"/>
      <c r="EQ143" s="8"/>
      <c r="ER143" s="8"/>
      <c r="ES143" s="8"/>
      <c r="ET143" s="8"/>
      <c r="EU143" s="8"/>
      <c r="EV143" s="8"/>
      <c r="EW143" s="8"/>
      <c r="EX143" s="8"/>
      <c r="EY143" s="8"/>
      <c r="EZ143" s="8"/>
      <c r="FA143" s="8"/>
      <c r="FB143" s="8"/>
      <c r="FC143" s="8"/>
      <c r="FD143" s="8"/>
      <c r="FE143" s="8"/>
      <c r="FF143" s="8"/>
      <c r="FG143" s="8"/>
      <c r="FH143" s="8"/>
      <c r="FI143" s="8"/>
      <c r="FJ143" s="8"/>
      <c r="FK143" s="8"/>
      <c r="FL143" s="8"/>
      <c r="FM143" s="8"/>
    </row>
    <row r="144" spans="7:221" x14ac:dyDescent="0.25">
      <c r="G144" s="10" t="s">
        <v>151</v>
      </c>
      <c r="H144" s="10"/>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8"/>
      <c r="BL144" s="8"/>
      <c r="BM144" s="8"/>
      <c r="BN144" s="8"/>
      <c r="BO144" s="8"/>
      <c r="BP144" s="8"/>
      <c r="BQ144" s="8"/>
      <c r="BR144" s="8"/>
      <c r="BS144" s="8"/>
      <c r="BT144" s="8"/>
      <c r="BU144" s="8"/>
      <c r="BV144" s="8"/>
      <c r="BW144" s="8"/>
      <c r="BX144" s="8"/>
      <c r="BY144" s="8"/>
      <c r="BZ144" s="8"/>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8"/>
      <c r="DA144" s="8"/>
      <c r="DB144" s="8"/>
      <c r="DC144" s="8"/>
      <c r="DD144" s="8"/>
      <c r="DE144" s="8"/>
      <c r="DF144" s="8"/>
      <c r="DG144" s="8"/>
      <c r="DH144" s="8"/>
      <c r="DI144" s="8"/>
      <c r="DJ144" s="8"/>
      <c r="DK144" s="8"/>
      <c r="DL144" s="8"/>
      <c r="DM144" s="8"/>
      <c r="DN144" s="8"/>
      <c r="DO144" s="8"/>
      <c r="DP144" s="8"/>
      <c r="DQ144" s="8"/>
      <c r="DR144" s="8"/>
      <c r="DS144" s="8"/>
      <c r="DT144" s="8"/>
      <c r="DU144" s="8"/>
      <c r="DV144" s="8"/>
      <c r="DW144" s="8"/>
      <c r="DX144" s="8"/>
      <c r="DY144" s="8"/>
      <c r="DZ144" s="8"/>
      <c r="EA144" s="8"/>
      <c r="EB144" s="8"/>
      <c r="EC144" s="8"/>
      <c r="ED144" s="8"/>
      <c r="EE144" s="8"/>
      <c r="EF144" s="8"/>
      <c r="EG144" s="8"/>
      <c r="EH144" s="8"/>
      <c r="EI144" s="8"/>
      <c r="EJ144" s="8"/>
      <c r="EK144" s="8"/>
      <c r="EL144" s="8"/>
      <c r="EM144" s="8"/>
      <c r="EN144" s="8"/>
      <c r="EO144" s="8"/>
      <c r="EP144" s="8"/>
      <c r="EQ144" s="8"/>
      <c r="ER144" s="8"/>
      <c r="ES144" s="8"/>
      <c r="ET144" s="8"/>
      <c r="EU144" s="8"/>
      <c r="EV144" s="8"/>
      <c r="EW144" s="8"/>
      <c r="EX144" s="8"/>
      <c r="EY144" s="8"/>
      <c r="EZ144" s="8"/>
      <c r="FA144" s="8"/>
      <c r="FB144" s="8"/>
      <c r="FC144" s="8"/>
      <c r="FD144" s="8"/>
      <c r="FE144" s="8"/>
      <c r="FF144" s="8"/>
      <c r="FG144" s="8"/>
      <c r="FH144" s="8"/>
      <c r="FI144" s="8"/>
      <c r="FJ144" s="8"/>
      <c r="FK144" s="8"/>
      <c r="FL144" s="8"/>
      <c r="FM144" s="8"/>
    </row>
    <row r="145" spans="7:356" x14ac:dyDescent="0.25">
      <c r="G145" s="10" t="s">
        <v>142</v>
      </c>
      <c r="H145" s="10"/>
      <c r="I145" s="8"/>
      <c r="J145" s="8"/>
      <c r="K145" s="8"/>
      <c r="L145" s="8"/>
      <c r="M145" s="8"/>
      <c r="N145" s="8"/>
      <c r="O145" s="8"/>
      <c r="P145" s="8"/>
      <c r="Q145" s="8"/>
      <c r="R145" s="8"/>
      <c r="S145" s="8"/>
      <c r="T145" s="8"/>
      <c r="U145" s="8"/>
      <c r="V145" s="8"/>
      <c r="W145" s="8"/>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c r="BC145" s="8"/>
      <c r="BD145" s="8"/>
      <c r="BE145" s="8"/>
      <c r="BF145" s="8"/>
      <c r="BG145" s="8"/>
      <c r="BH145" s="8"/>
      <c r="BI145" s="8"/>
      <c r="BJ145" s="8"/>
      <c r="BK145" s="8"/>
      <c r="BL145" s="8"/>
      <c r="BM145" s="8"/>
      <c r="BN145" s="8"/>
      <c r="BO145" s="8"/>
      <c r="BP145" s="8"/>
      <c r="BQ145" s="8"/>
      <c r="BR145" s="8"/>
      <c r="BS145" s="8"/>
      <c r="BT145" s="8"/>
      <c r="BU145" s="8"/>
      <c r="BV145" s="8"/>
      <c r="BW145" s="8"/>
      <c r="BX145" s="8"/>
      <c r="BY145" s="8"/>
      <c r="BZ145" s="8"/>
      <c r="CA145" s="8"/>
      <c r="CB145" s="8"/>
      <c r="CC145" s="8"/>
      <c r="CD145" s="8"/>
      <c r="CE145" s="8"/>
      <c r="CF145" s="8"/>
      <c r="CG145" s="8"/>
      <c r="CH145" s="8"/>
      <c r="CI145" s="8"/>
      <c r="CJ145" s="8"/>
      <c r="CK145" s="8"/>
      <c r="CL145" s="8"/>
      <c r="CM145" s="8"/>
      <c r="CN145" s="8"/>
      <c r="CO145" s="8"/>
      <c r="CP145" s="8"/>
      <c r="CQ145" s="8"/>
      <c r="CR145" s="8"/>
      <c r="CS145" s="8"/>
      <c r="CT145" s="8"/>
      <c r="CU145" s="8"/>
      <c r="CV145" s="8"/>
      <c r="CW145" s="8"/>
      <c r="CX145" s="8"/>
      <c r="CY145" s="8"/>
      <c r="CZ145" s="8"/>
      <c r="DA145" s="8"/>
      <c r="DB145" s="8"/>
      <c r="DC145" s="8"/>
      <c r="DD145" s="8"/>
      <c r="DE145" s="8"/>
      <c r="DF145" s="8"/>
      <c r="DG145" s="8"/>
      <c r="DH145" s="8"/>
      <c r="DI145" s="8"/>
      <c r="DJ145" s="8"/>
      <c r="DK145" s="8"/>
      <c r="DL145" s="8"/>
      <c r="DM145" s="8"/>
      <c r="DN145" s="8"/>
      <c r="DO145" s="8"/>
      <c r="DP145" s="8"/>
      <c r="DQ145" s="8"/>
      <c r="DR145" s="8"/>
      <c r="DS145" s="8"/>
      <c r="DT145" s="8"/>
      <c r="DU145" s="8"/>
      <c r="DV145" s="8"/>
      <c r="DW145" s="8"/>
      <c r="DX145" s="8"/>
      <c r="DY145" s="8"/>
      <c r="DZ145" s="8"/>
      <c r="EA145" s="8"/>
      <c r="EB145" s="8"/>
      <c r="EC145" s="8"/>
      <c r="ED145" s="8"/>
      <c r="EE145" s="8"/>
      <c r="EF145" s="8"/>
      <c r="EG145" s="8"/>
      <c r="EH145" s="8"/>
      <c r="EI145" s="8"/>
      <c r="EJ145" s="8"/>
      <c r="EK145" s="8"/>
      <c r="EL145" s="8"/>
      <c r="EM145" s="8"/>
      <c r="EN145" s="8"/>
      <c r="EO145" s="8"/>
      <c r="EP145" s="8"/>
      <c r="EQ145" s="8"/>
      <c r="ER145" s="8"/>
      <c r="ES145" s="8"/>
      <c r="ET145" s="8"/>
      <c r="EU145" s="8"/>
      <c r="EV145" s="8"/>
      <c r="EW145" s="8"/>
      <c r="EX145" s="8"/>
      <c r="EY145" s="8"/>
      <c r="EZ145" s="8"/>
      <c r="FA145" s="8"/>
      <c r="FB145" s="8"/>
      <c r="FC145" s="8"/>
      <c r="FD145" s="8"/>
      <c r="FE145" s="8"/>
      <c r="FF145" s="8"/>
      <c r="FG145" s="8"/>
      <c r="FH145" s="8"/>
      <c r="FI145" s="8"/>
      <c r="FJ145" s="8"/>
      <c r="FK145" s="8"/>
      <c r="FL145" s="8"/>
      <c r="FM145" s="8"/>
    </row>
    <row r="146" spans="7:356" x14ac:dyDescent="0.25">
      <c r="G146" s="10" t="s">
        <v>137</v>
      </c>
      <c r="H146" s="10"/>
      <c r="I146" s="8"/>
      <c r="J146" s="8"/>
      <c r="K146" s="8"/>
      <c r="L146" s="8"/>
      <c r="M146" s="8"/>
      <c r="N146" s="8"/>
      <c r="O146" s="8"/>
      <c r="P146" s="8"/>
      <c r="Q146" s="8"/>
      <c r="R146" s="8"/>
      <c r="S146" s="8"/>
      <c r="T146" s="8"/>
      <c r="U146" s="8"/>
      <c r="V146" s="8"/>
      <c r="W146" s="8"/>
      <c r="X146" s="8"/>
      <c r="Y146" s="8"/>
      <c r="Z146" s="8"/>
      <c r="AA146" s="8"/>
      <c r="AB146" s="8"/>
      <c r="AC146" s="8"/>
      <c r="AD146" s="8"/>
      <c r="AE146" s="8"/>
      <c r="AF146" s="8"/>
      <c r="AG146" s="8"/>
      <c r="AH146" s="8"/>
      <c r="AI146" s="8"/>
      <c r="AJ146" s="8"/>
      <c r="AK146" s="8"/>
      <c r="AL146" s="8"/>
      <c r="AM146" s="8"/>
      <c r="AN146" s="8"/>
      <c r="AO146" s="8"/>
      <c r="AP146" s="8"/>
      <c r="AQ146" s="8"/>
      <c r="AR146" s="8"/>
      <c r="AS146" s="8"/>
      <c r="AT146" s="8"/>
      <c r="AU146" s="8"/>
      <c r="AV146" s="8"/>
      <c r="AW146" s="8"/>
      <c r="AX146" s="8"/>
      <c r="AY146" s="8"/>
      <c r="AZ146" s="8"/>
      <c r="BA146" s="8"/>
      <c r="BB146" s="8"/>
      <c r="BC146" s="8"/>
      <c r="BD146" s="8"/>
      <c r="BE146" s="8"/>
      <c r="BF146" s="8"/>
      <c r="BG146" s="8"/>
      <c r="BH146" s="8"/>
      <c r="BI146" s="8"/>
      <c r="BJ146" s="8"/>
      <c r="BK146" s="8"/>
      <c r="BL146" s="8"/>
      <c r="BM146" s="8"/>
      <c r="BN146" s="8"/>
      <c r="BO146" s="8"/>
      <c r="BP146" s="8"/>
      <c r="BQ146" s="8"/>
      <c r="BR146" s="8"/>
      <c r="BS146" s="8"/>
      <c r="BT146" s="8"/>
      <c r="BU146" s="8"/>
      <c r="BV146" s="8"/>
      <c r="BW146" s="8"/>
      <c r="BX146" s="8"/>
      <c r="BY146" s="8"/>
      <c r="BZ146" s="8"/>
      <c r="CA146" s="8"/>
      <c r="CB146" s="8"/>
      <c r="CC146" s="8"/>
      <c r="CD146" s="8"/>
      <c r="CE146" s="8"/>
      <c r="CF146" s="8"/>
      <c r="CG146" s="8"/>
      <c r="CH146" s="8"/>
      <c r="CI146" s="8"/>
      <c r="CJ146" s="8"/>
      <c r="CK146" s="8" t="s">
        <v>143</v>
      </c>
      <c r="CL146" s="8"/>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c r="DK146" s="8"/>
      <c r="DL146" s="8"/>
      <c r="DM146" s="8"/>
      <c r="DN146" s="8"/>
      <c r="DO146" s="8"/>
      <c r="DP146" s="8"/>
      <c r="DQ146" s="8"/>
      <c r="DR146" s="8"/>
      <c r="DS146" s="8"/>
      <c r="DT146" s="8"/>
      <c r="DU146" s="8"/>
      <c r="DV146" s="8"/>
      <c r="DW146" s="8"/>
      <c r="DX146" s="8"/>
      <c r="DY146" s="8"/>
      <c r="DZ146" s="8"/>
      <c r="EA146" s="8"/>
      <c r="EB146" s="8"/>
      <c r="EC146" s="8"/>
      <c r="ED146" s="8"/>
      <c r="EE146" s="8"/>
      <c r="EF146" s="8"/>
      <c r="EG146" s="8"/>
      <c r="EH146" s="8"/>
      <c r="EI146" s="8"/>
      <c r="EJ146" s="8"/>
      <c r="EK146" s="8"/>
      <c r="EL146" s="8"/>
      <c r="EM146" s="8"/>
      <c r="EN146" s="8"/>
      <c r="EO146" s="8"/>
      <c r="EP146" s="8"/>
      <c r="EQ146" s="8"/>
      <c r="ER146" s="8"/>
      <c r="ES146" s="8"/>
      <c r="ET146" s="8"/>
      <c r="EU146" s="8"/>
      <c r="EV146" s="8"/>
      <c r="EW146" s="8"/>
      <c r="EX146" s="8"/>
      <c r="EY146" s="8"/>
      <c r="EZ146" s="8"/>
      <c r="FA146" s="8"/>
      <c r="FB146" s="8"/>
      <c r="FC146" s="8"/>
      <c r="FD146" s="8"/>
      <c r="FE146" s="8"/>
      <c r="FF146" s="8"/>
      <c r="FG146" s="8"/>
      <c r="FH146" s="8"/>
      <c r="FI146" s="8"/>
      <c r="FJ146" s="8"/>
      <c r="FK146" s="8"/>
      <c r="FL146" s="8" t="s">
        <v>178</v>
      </c>
      <c r="FM146" s="8"/>
      <c r="LQ146" s="8" t="s">
        <v>161</v>
      </c>
      <c r="LR146" s="8" t="s">
        <v>157</v>
      </c>
      <c r="LS146" s="8" t="s">
        <v>162</v>
      </c>
      <c r="LT146" s="8" t="s">
        <v>160</v>
      </c>
      <c r="LU146" s="8" t="s">
        <v>72</v>
      </c>
    </row>
    <row r="147" spans="7:356" x14ac:dyDescent="0.25">
      <c r="G147" s="8">
        <f>ABS(SQRT(2)*($A$99*2*$D$98/($F$5*$G2^2))*(1-(B$103*2/($F$5))^$E$98))</f>
        <v>0.46486927123043298</v>
      </c>
      <c r="H147" s="8">
        <f t="shared" ref="H147:BS147" si="1170">ABS(SQRT(2)*($A$99*2*$D$98/($F$5*$G2^2))*(1-(C$103*2/($F$5))^$E$98))</f>
        <v>0.46486906962886371</v>
      </c>
      <c r="I147" s="8">
        <f t="shared" si="1170"/>
        <v>0.46486778013641494</v>
      </c>
      <c r="J147" s="8">
        <f t="shared" si="1170"/>
        <v>0.46486446456443153</v>
      </c>
      <c r="K147" s="8">
        <f t="shared" si="1170"/>
        <v>0.4648582427380526</v>
      </c>
      <c r="L147" s="8">
        <f t="shared" si="1170"/>
        <v>0.46484826852498673</v>
      </c>
      <c r="M147" s="8">
        <f t="shared" si="1170"/>
        <v>0.46483371996489831</v>
      </c>
      <c r="N147" s="8">
        <f t="shared" si="1170"/>
        <v>0.46481379377257831</v>
      </c>
      <c r="O147" s="8">
        <f t="shared" si="1170"/>
        <v>0.46478770183057422</v>
      </c>
      <c r="P147" s="8">
        <f t="shared" si="1170"/>
        <v>0.46475466875916827</v>
      </c>
      <c r="Q147" s="8">
        <f t="shared" si="1170"/>
        <v>0.46471393013578716</v>
      </c>
      <c r="R147" s="8">
        <f t="shared" si="1170"/>
        <v>0.46466473113591511</v>
      </c>
      <c r="S147" s="8">
        <f t="shared" si="1170"/>
        <v>0.46460632546288261</v>
      </c>
      <c r="T147" s="8">
        <f t="shared" si="1170"/>
        <v>0.4645379744841171</v>
      </c>
      <c r="U147" s="8">
        <f t="shared" si="1170"/>
        <v>0.46445894651996339</v>
      </c>
      <c r="V147" s="8">
        <f t="shared" si="1170"/>
        <v>0.46436851624836284</v>
      </c>
      <c r="W147" s="8">
        <f t="shared" si="1170"/>
        <v>0.46426596419953203</v>
      </c>
      <c r="X147" s="8">
        <f t="shared" si="1170"/>
        <v>0.46415057632190809</v>
      </c>
      <c r="Y147" s="8">
        <f t="shared" si="1170"/>
        <v>0.46402164360546144</v>
      </c>
      <c r="Z147" s="8">
        <f t="shared" si="1170"/>
        <v>0.4638784617518526</v>
      </c>
      <c r="AA147" s="8">
        <f t="shared" si="1170"/>
        <v>0.46372033088331843</v>
      </c>
      <c r="AB147" s="8">
        <f t="shared" si="1170"/>
        <v>0.46354655528393718</v>
      </c>
      <c r="AC147" s="8">
        <f t="shared" si="1170"/>
        <v>0.46335644316822583</v>
      </c>
      <c r="AD147" s="8">
        <f t="shared" si="1170"/>
        <v>0.46314930647301766</v>
      </c>
      <c r="AE147" s="8">
        <f t="shared" si="1170"/>
        <v>0.46292446066932275</v>
      </c>
      <c r="AF147" s="8">
        <f t="shared" si="1170"/>
        <v>0.46268122459146666</v>
      </c>
      <c r="AG147" s="8">
        <f t="shared" si="1170"/>
        <v>0.46241892028126563</v>
      </c>
      <c r="AH147" s="8">
        <f t="shared" si="1170"/>
        <v>0.46213687284536592</v>
      </c>
      <c r="AI147" s="8">
        <f t="shared" si="1170"/>
        <v>0.46183441032417066</v>
      </c>
      <c r="AJ147" s="8">
        <f t="shared" si="1170"/>
        <v>0.46151086357101895</v>
      </c>
      <c r="AK147" s="8">
        <f t="shared" si="1170"/>
        <v>0.46116556614047721</v>
      </c>
      <c r="AL147" s="8">
        <f t="shared" si="1170"/>
        <v>0.46079785418476465</v>
      </c>
      <c r="AM147" s="8">
        <f t="shared" si="1170"/>
        <v>0.46040706635746992</v>
      </c>
      <c r="AN147" s="8">
        <f t="shared" si="1170"/>
        <v>0.45999254372382542</v>
      </c>
      <c r="AO147" s="8">
        <f t="shared" si="1170"/>
        <v>0.45955362967690355</v>
      </c>
      <c r="AP147" s="8">
        <f t="shared" si="1170"/>
        <v>0.45908966985917415</v>
      </c>
      <c r="AQ147" s="8">
        <f t="shared" si="1170"/>
        <v>0.45860001208893481</v>
      </c>
      <c r="AR147" s="8">
        <f t="shared" si="1170"/>
        <v>0.4580840062911789</v>
      </c>
      <c r="AS147" s="8">
        <f t="shared" si="1170"/>
        <v>0.45754100443251922</v>
      </c>
      <c r="AT147" s="8">
        <f t="shared" si="1170"/>
        <v>0.45697036045982475</v>
      </c>
      <c r="AU147" s="8">
        <f t="shared" si="1170"/>
        <v>0.45637143024226795</v>
      </c>
      <c r="AV147" s="8">
        <f t="shared" si="1170"/>
        <v>0.4557435715165094</v>
      </c>
      <c r="AW147" s="8">
        <f t="shared" si="1170"/>
        <v>0.45508614383477608</v>
      </c>
      <c r="AX147" s="8">
        <f t="shared" si="1170"/>
        <v>0.4543985085156142</v>
      </c>
      <c r="AY147" s="8">
        <f t="shared" si="1170"/>
        <v>0.45368002859711737</v>
      </c>
      <c r="AZ147" s="8">
        <f t="shared" si="1170"/>
        <v>0.45293006879245196</v>
      </c>
      <c r="BA147" s="8">
        <f t="shared" si="1170"/>
        <v>0.45214799544751683</v>
      </c>
      <c r="BB147" s="8">
        <f t="shared" si="1170"/>
        <v>0.45133317650058985</v>
      </c>
      <c r="BC147" s="8">
        <f t="shared" si="1170"/>
        <v>0.45048498144382693</v>
      </c>
      <c r="BD147" s="8">
        <f t="shared" si="1170"/>
        <v>0.4496027812864905</v>
      </c>
      <c r="BE147" s="8">
        <f t="shared" si="1170"/>
        <v>0.44868594851979626</v>
      </c>
      <c r="BF147" s="8">
        <f t="shared" si="1170"/>
        <v>0.44773385708327429</v>
      </c>
      <c r="BG147" s="8">
        <f t="shared" si="1170"/>
        <v>0.44674588233255119</v>
      </c>
      <c r="BH147" s="8">
        <f t="shared" si="1170"/>
        <v>0.44572140100846647</v>
      </c>
      <c r="BI147" s="8">
        <f t="shared" si="1170"/>
        <v>0.4446597912074422</v>
      </c>
      <c r="BJ147" s="8">
        <f t="shared" si="1170"/>
        <v>0.4435604323530345</v>
      </c>
      <c r="BK147" s="8">
        <f t="shared" si="1170"/>
        <v>0.44242270516859633</v>
      </c>
      <c r="BL147" s="8">
        <f t="shared" si="1170"/>
        <v>0.44124599165099099</v>
      </c>
      <c r="BM147" s="8">
        <f t="shared" si="1170"/>
        <v>0.440029675045296</v>
      </c>
      <c r="BN147" s="8">
        <f t="shared" si="1170"/>
        <v>0.43877313982044469</v>
      </c>
      <c r="BO147" s="8">
        <f t="shared" si="1170"/>
        <v>0.43747577164575457</v>
      </c>
      <c r="BP147" s="8">
        <f t="shared" si="1170"/>
        <v>0.43613695736829566</v>
      </c>
      <c r="BQ147" s="8">
        <f t="shared" si="1170"/>
        <v>0.43475608499105572</v>
      </c>
      <c r="BR147" s="8">
        <f t="shared" si="1170"/>
        <v>0.43333254365186102</v>
      </c>
      <c r="BS147" s="8">
        <f t="shared" si="1170"/>
        <v>0.43186572360301539</v>
      </c>
      <c r="BT147" s="8">
        <f t="shared" ref="BT147:EE147" si="1171">ABS(SQRT(2)*($A$99*2*$D$98/($F$5*$G2^2))*(1-(BO$103*2/($F$5))^$E$98))</f>
        <v>0.4303550161916217</v>
      </c>
      <c r="BU147" s="8">
        <f t="shared" si="1171"/>
        <v>0.42879981384055255</v>
      </c>
      <c r="BV147" s="8">
        <f t="shared" si="1171"/>
        <v>0.4271995100300397</v>
      </c>
      <c r="BW147" s="8">
        <f t="shared" si="1171"/>
        <v>0.42555349927985181</v>
      </c>
      <c r="BX147" s="8">
        <f t="shared" si="1171"/>
        <v>0.42386117713203497</v>
      </c>
      <c r="BY147" s="8">
        <f t="shared" si="1171"/>
        <v>0.42212194013418836</v>
      </c>
      <c r="BZ147" s="8">
        <f t="shared" si="1171"/>
        <v>0.42033518582325219</v>
      </c>
      <c r="CA147" s="8">
        <f t="shared" si="1171"/>
        <v>0.41850031270978483</v>
      </c>
      <c r="CB147" s="8">
        <f t="shared" si="1171"/>
        <v>0.41661672026270768</v>
      </c>
      <c r="CC147" s="8">
        <f t="shared" si="1171"/>
        <v>0.41468380889449707</v>
      </c>
      <c r="CD147" s="8">
        <f t="shared" si="1171"/>
        <v>0.41270097994680521</v>
      </c>
      <c r="CE147" s="8">
        <f t="shared" si="1171"/>
        <v>0.41066763567649078</v>
      </c>
      <c r="CF147" s="8">
        <f t="shared" si="1171"/>
        <v>0.40858317924204407</v>
      </c>
      <c r="CG147" s="8">
        <f t="shared" si="1171"/>
        <v>0.40644701469038758</v>
      </c>
      <c r="CH147" s="8">
        <f t="shared" si="1171"/>
        <v>0.40425854694404056</v>
      </c>
      <c r="CI147" s="8">
        <f t="shared" si="1171"/>
        <v>0.40201718178862994</v>
      </c>
      <c r="CJ147" s="8">
        <f t="shared" si="1171"/>
        <v>0.39972232586073531</v>
      </c>
      <c r="CK147" s="8">
        <f t="shared" si="1171"/>
        <v>0.39737338663605487</v>
      </c>
      <c r="CL147" s="8">
        <f t="shared" si="1171"/>
        <v>0.39496977241788062</v>
      </c>
      <c r="CM147" s="8">
        <f t="shared" si="1171"/>
        <v>0.392510892325869</v>
      </c>
      <c r="CN147" s="8">
        <f t="shared" si="1171"/>
        <v>0.38999615628509848</v>
      </c>
      <c r="CO147" s="8">
        <f t="shared" si="1171"/>
        <v>0.38742497501540191</v>
      </c>
      <c r="CP147" s="8">
        <f t="shared" si="1171"/>
        <v>0.3847967600209638</v>
      </c>
      <c r="CQ147" s="8">
        <f t="shared" si="1171"/>
        <v>0.38211092358017312</v>
      </c>
      <c r="CR147" s="8">
        <f t="shared" si="1171"/>
        <v>0.37936687873572278</v>
      </c>
      <c r="CS147" s="8">
        <f t="shared" si="1171"/>
        <v>0.37656403928494614</v>
      </c>
      <c r="CT147" s="8">
        <f t="shared" si="1171"/>
        <v>0.37370181977038325</v>
      </c>
      <c r="CU147" s="8">
        <f t="shared" si="1171"/>
        <v>0.37077963547056891</v>
      </c>
      <c r="CV147" s="8">
        <f t="shared" si="1171"/>
        <v>0.36779690239103319</v>
      </c>
      <c r="CW147" s="8">
        <f t="shared" si="1171"/>
        <v>0.36475303725551017</v>
      </c>
      <c r="CX147" s="8">
        <f t="shared" si="1171"/>
        <v>0.36164745749734534</v>
      </c>
      <c r="CY147" s="8">
        <f t="shared" si="1171"/>
        <v>0.35847958125109619</v>
      </c>
      <c r="CZ147" s="8">
        <f t="shared" si="1171"/>
        <v>0.3552488273443199</v>
      </c>
      <c r="DA147" s="8">
        <f t="shared" si="1171"/>
        <v>0.35195461528954158</v>
      </c>
      <c r="DB147" s="8">
        <f t="shared" si="1171"/>
        <v>0.34859636527639687</v>
      </c>
      <c r="DC147" s="8">
        <f t="shared" si="1171"/>
        <v>0.34517349816394483</v>
      </c>
      <c r="DD147" s="8">
        <f t="shared" si="1171"/>
        <v>0.34168543547314451</v>
      </c>
      <c r="DE147" s="8">
        <f t="shared" si="1171"/>
        <v>0.33813159937948939</v>
      </c>
      <c r="DF147" s="8">
        <f t="shared" si="1171"/>
        <v>0.33451141270579798</v>
      </c>
      <c r="DG147" s="8">
        <f t="shared" si="1171"/>
        <v>0.33082429891515158</v>
      </c>
      <c r="DH147" s="8">
        <f t="shared" si="1171"/>
        <v>0.32706968210397802</v>
      </c>
      <c r="DI147" s="8">
        <f t="shared" si="1171"/>
        <v>0.32324698699527576</v>
      </c>
      <c r="DJ147" s="8">
        <f t="shared" si="1171"/>
        <v>0.31935563893197422</v>
      </c>
      <c r="DK147" s="8">
        <f t="shared" si="1171"/>
        <v>0.31539506387042587</v>
      </c>
      <c r="DL147" s="8">
        <f t="shared" si="1171"/>
        <v>0.31136468837402814</v>
      </c>
      <c r="DM147" s="8">
        <f t="shared" si="1171"/>
        <v>0.30726393960696835</v>
      </c>
      <c r="DN147" s="8">
        <f t="shared" si="1171"/>
        <v>0.30309224532809115</v>
      </c>
      <c r="DO147" s="8">
        <f t="shared" si="1171"/>
        <v>0.29884903388488349</v>
      </c>
      <c r="DP147" s="8">
        <f t="shared" si="1171"/>
        <v>0.29453373420757345</v>
      </c>
      <c r="DQ147" s="8">
        <f t="shared" si="1171"/>
        <v>0.29014577580334094</v>
      </c>
      <c r="DR147" s="8">
        <f t="shared" si="1171"/>
        <v>0.28568458875063685</v>
      </c>
      <c r="DS147" s="8">
        <f t="shared" si="1171"/>
        <v>0.28114960369360609</v>
      </c>
      <c r="DT147" s="8">
        <f t="shared" si="1171"/>
        <v>0.27654025183661518</v>
      </c>
      <c r="DU147" s="8">
        <f t="shared" si="1171"/>
        <v>0.27185596493887765</v>
      </c>
      <c r="DV147" s="8">
        <f t="shared" si="1171"/>
        <v>0.2670961753091774</v>
      </c>
      <c r="DW147" s="8">
        <f t="shared" si="1171"/>
        <v>0.26226031580068626</v>
      </c>
      <c r="DX147" s="8">
        <f t="shared" si="1171"/>
        <v>0.25734781980587373</v>
      </c>
      <c r="DY147" s="8">
        <f t="shared" si="1171"/>
        <v>0.25235812125150603</v>
      </c>
      <c r="DZ147" s="8">
        <f t="shared" si="1171"/>
        <v>0.24729065459373245</v>
      </c>
      <c r="EA147" s="8">
        <f t="shared" si="1171"/>
        <v>0.2421448548132574</v>
      </c>
      <c r="EB147" s="8">
        <f t="shared" si="1171"/>
        <v>0.23692015741059455</v>
      </c>
      <c r="EC147" s="8">
        <f t="shared" si="1171"/>
        <v>0.23161599840140207</v>
      </c>
      <c r="ED147" s="8">
        <f t="shared" si="1171"/>
        <v>0.22623181431189732</v>
      </c>
      <c r="EE147" s="8">
        <f t="shared" si="1171"/>
        <v>0.22076704217434726</v>
      </c>
      <c r="EF147" s="8">
        <f t="shared" ref="EF147:FJ147" si="1172">ABS(SQRT(2)*($A$99*2*$D$98/($F$5*$G2^2))*(1-(EA$103*2/($F$5))^$E$98))</f>
        <v>0.21522111952263492</v>
      </c>
      <c r="EG147" s="8">
        <f t="shared" si="1172"/>
        <v>0.20959348438789874</v>
      </c>
      <c r="EH147" s="8">
        <f t="shared" si="1172"/>
        <v>0.20388357529424248</v>
      </c>
      <c r="EI147" s="8">
        <f t="shared" si="1172"/>
        <v>0.1980908312545166</v>
      </c>
      <c r="EJ147" s="8">
        <f t="shared" si="1172"/>
        <v>0.19221469176616574</v>
      </c>
      <c r="EK147" s="8">
        <f t="shared" si="1172"/>
        <v>0.18625459680714387</v>
      </c>
      <c r="EL147" s="8">
        <f t="shared" si="1172"/>
        <v>0.18020998683189429</v>
      </c>
      <c r="EM147" s="8">
        <f t="shared" si="1172"/>
        <v>0.17408030276739214</v>
      </c>
      <c r="EN147" s="8">
        <f t="shared" si="1172"/>
        <v>0.16786498600924976</v>
      </c>
      <c r="EO147" s="8">
        <f t="shared" si="1172"/>
        <v>0.16156347841788224</v>
      </c>
      <c r="EP147" s="8">
        <f t="shared" si="1172"/>
        <v>0.15517522231473171</v>
      </c>
      <c r="EQ147" s="8">
        <f t="shared" si="1172"/>
        <v>0.14869966047855002</v>
      </c>
      <c r="ER147" s="8">
        <f t="shared" si="1172"/>
        <v>0.14213623614173765</v>
      </c>
      <c r="ES147" s="8">
        <f t="shared" si="1172"/>
        <v>0.13548439298673762</v>
      </c>
      <c r="ET147" s="8">
        <f t="shared" si="1172"/>
        <v>0.12874357514248391</v>
      </c>
      <c r="EU147" s="8">
        <f t="shared" si="1172"/>
        <v>0.12191322718090265</v>
      </c>
      <c r="EV147" s="8">
        <f t="shared" si="1172"/>
        <v>0.11499279411346412</v>
      </c>
      <c r="EW147" s="8">
        <f t="shared" si="1172"/>
        <v>0.10798172138778669</v>
      </c>
      <c r="EX147" s="8">
        <f t="shared" si="1172"/>
        <v>0.10087945488428962</v>
      </c>
      <c r="EY147" s="8">
        <f t="shared" si="1172"/>
        <v>9.3685440912893631E-2</v>
      </c>
      <c r="EZ147" s="8">
        <f t="shared" si="1172"/>
        <v>8.6399126209769903E-2</v>
      </c>
      <c r="FA147" s="8">
        <f t="shared" si="1172"/>
        <v>7.9019957934135396E-2</v>
      </c>
      <c r="FB147" s="8">
        <f t="shared" si="1172"/>
        <v>7.1547383665092668E-2</v>
      </c>
      <c r="FC147" s="8">
        <f t="shared" si="1172"/>
        <v>6.398085139851506E-2</v>
      </c>
      <c r="FD147" s="8">
        <f t="shared" si="1172"/>
        <v>5.6319809543975689E-2</v>
      </c>
      <c r="FE147" s="8">
        <f t="shared" si="1172"/>
        <v>4.8563706921717784E-2</v>
      </c>
      <c r="FF147" s="8">
        <f t="shared" si="1172"/>
        <v>4.0711992759668289E-2</v>
      </c>
      <c r="FG147" s="8">
        <f t="shared" si="1172"/>
        <v>3.2764116690492097E-2</v>
      </c>
      <c r="FH147" s="8">
        <f t="shared" si="1172"/>
        <v>2.471952874868551E-2</v>
      </c>
      <c r="FI147" s="8">
        <f t="shared" si="1172"/>
        <v>1.6577679367710117E-2</v>
      </c>
      <c r="FJ147" s="8">
        <f>ABS(SQRT(2)*($A$99*2*$D$98/($F$5*$G2^2))*(1-(FE$103*2/($F$5))^$E$98))</f>
        <v>8.338019377165249E-3</v>
      </c>
      <c r="FK147" s="8"/>
      <c r="FL147" s="8">
        <f>G152/G147</f>
        <v>2.449524623129247E-2</v>
      </c>
      <c r="FM147" s="8">
        <f t="shared" ref="FM147:HX147" si="1173">H152/H147</f>
        <v>2.2370667199806297E-2</v>
      </c>
      <c r="FN147" s="8">
        <f t="shared" si="1173"/>
        <v>1.663831326254505E-2</v>
      </c>
      <c r="FO147" s="8">
        <f t="shared" si="1173"/>
        <v>7.6102241620416011E-3</v>
      </c>
      <c r="FP147" s="8">
        <f t="shared" si="1173"/>
        <v>4.5609486114081867E-3</v>
      </c>
      <c r="FQ147" s="8">
        <f t="shared" si="1173"/>
        <v>1.9773270151535911E-2</v>
      </c>
      <c r="FR147" s="8">
        <f t="shared" si="1173"/>
        <v>3.795080279611171E-2</v>
      </c>
      <c r="FS147" s="8">
        <f t="shared" si="1173"/>
        <v>5.9033528145053631E-2</v>
      </c>
      <c r="FT147" s="8">
        <f t="shared" si="1173"/>
        <v>8.2972238606899562E-2</v>
      </c>
      <c r="FU147" s="8">
        <f t="shared" si="1173"/>
        <v>0.10972560027492949</v>
      </c>
      <c r="FV147" s="8">
        <f t="shared" si="1173"/>
        <v>0.13925831743561906</v>
      </c>
      <c r="FW147" s="8">
        <f t="shared" si="1173"/>
        <v>0.17153991552110467</v>
      </c>
      <c r="FX147" s="8">
        <f t="shared" si="1173"/>
        <v>0.20654389785577895</v>
      </c>
      <c r="FY147" s="8">
        <f t="shared" si="1173"/>
        <v>0.24424714147936921</v>
      </c>
      <c r="FZ147" s="8">
        <f t="shared" si="1173"/>
        <v>0.28462945290834324</v>
      </c>
      <c r="GA147" s="8">
        <f t="shared" si="1173"/>
        <v>0.32767323489088174</v>
      </c>
      <c r="GB147" s="8">
        <f t="shared" si="1173"/>
        <v>0.37336323258603626</v>
      </c>
      <c r="GC147" s="8">
        <f t="shared" si="1173"/>
        <v>0.4216863380813653</v>
      </c>
      <c r="GD147" s="8">
        <f t="shared" si="1173"/>
        <v>0.4726314387450663</v>
      </c>
      <c r="GE147" s="8">
        <f t="shared" si="1173"/>
        <v>0.52618929918249269</v>
      </c>
      <c r="GF147" s="8">
        <f t="shared" si="1173"/>
        <v>0.58235246942443164</v>
      </c>
      <c r="GG147" s="8">
        <f t="shared" si="1173"/>
        <v>0.64111521393434223</v>
      </c>
      <c r="GH147" s="8">
        <f t="shared" si="1173"/>
        <v>0.70247345739630818</v>
      </c>
      <c r="GI147" s="8">
        <f t="shared" si="1173"/>
        <v>0.76642474422923468</v>
      </c>
      <c r="GJ147" s="8">
        <f t="shared" si="1173"/>
        <v>0.83296820948952111</v>
      </c>
      <c r="GK147" s="8">
        <f t="shared" si="1173"/>
        <v>0.90210455935542422</v>
      </c>
      <c r="GL147" s="8">
        <f t="shared" si="1173"/>
        <v>0.97383605978532828</v>
      </c>
      <c r="GM147" s="8">
        <f t="shared" si="1173"/>
        <v>1.0481665322466809</v>
      </c>
      <c r="GN147" s="8">
        <f t="shared" si="1173"/>
        <v>1.125101355647236</v>
      </c>
      <c r="GO147" s="8">
        <f t="shared" si="1173"/>
        <v>1.2046474737843125</v>
      </c>
      <c r="GP147" s="8">
        <f t="shared" si="1173"/>
        <v>1.286813407773238</v>
      </c>
      <c r="GQ147" s="8">
        <f t="shared" si="1173"/>
        <v>1.3716092730328038</v>
      </c>
      <c r="GR147" s="8">
        <f t="shared" si="1173"/>
        <v>1.4590468005000905</v>
      </c>
      <c r="GS147" s="8">
        <f t="shared" si="1173"/>
        <v>1.5491393618245641</v>
      </c>
      <c r="GT147" s="8">
        <f t="shared" si="1173"/>
        <v>1.6419019983557872</v>
      </c>
      <c r="GU147" s="8">
        <f t="shared" si="1173"/>
        <v>1.7373514537932138</v>
      </c>
      <c r="GV147" s="8">
        <f t="shared" si="1173"/>
        <v>1.8355062104128037</v>
      </c>
      <c r="GW147" s="8">
        <f t="shared" si="1173"/>
        <v>1.9363865288252107</v>
      </c>
      <c r="GX147" s="8">
        <f t="shared" si="1173"/>
        <v>2.0400144912553451</v>
      </c>
      <c r="GY147" s="8">
        <f t="shared" si="1173"/>
        <v>2.146414048364516</v>
      </c>
      <c r="GZ147" s="8">
        <f t="shared" si="1173"/>
        <v>2.255611069664778</v>
      </c>
      <c r="HA147" s="8">
        <f t="shared" si="1173"/>
        <v>2.3676333976013275</v>
      </c>
      <c r="HB147" s="8">
        <f t="shared" si="1173"/>
        <v>2.482510905403462</v>
      </c>
      <c r="HC147" s="8">
        <f t="shared" si="1173"/>
        <v>2.6002755588280357</v>
      </c>
      <c r="HD147" s="8">
        <f t="shared" si="1173"/>
        <v>2.7209614819422576</v>
      </c>
      <c r="HE147" s="8">
        <f t="shared" si="1173"/>
        <v>2.844605027114854</v>
      </c>
      <c r="HF147" s="8">
        <f t="shared" si="1173"/>
        <v>2.9712448494073307</v>
      </c>
      <c r="HG147" s="8">
        <f t="shared" si="1173"/>
        <v>3.1009219855793622</v>
      </c>
      <c r="HH147" s="8">
        <f t="shared" si="1173"/>
        <v>3.2336799379457517</v>
      </c>
      <c r="HI147" s="8">
        <f t="shared" si="1173"/>
        <v>3.3695647633460144</v>
      </c>
      <c r="HJ147" s="8">
        <f t="shared" si="1173"/>
        <v>3.508625167512792</v>
      </c>
      <c r="HK147" s="8">
        <f t="shared" si="1173"/>
        <v>3.6509126051512206</v>
      </c>
      <c r="HL147" s="8">
        <f t="shared" si="1173"/>
        <v>3.7964813860689617</v>
      </c>
      <c r="HM147" s="8">
        <f t="shared" si="1173"/>
        <v>3.9453887877259657</v>
      </c>
      <c r="HN147" s="8">
        <f t="shared" si="1173"/>
        <v>4.0976951746040946</v>
      </c>
      <c r="HO147" s="8">
        <f t="shared" si="1173"/>
        <v>4.2534641248304057</v>
      </c>
      <c r="HP147" s="8">
        <f t="shared" si="1173"/>
        <v>4.4127625645235273</v>
      </c>
      <c r="HQ147" s="8">
        <f t="shared" si="1173"/>
        <v>4.5756609103713304</v>
      </c>
      <c r="HR147" s="8">
        <f t="shared" si="1173"/>
        <v>4.7422332209903288</v>
      </c>
      <c r="HS147" s="8">
        <f t="shared" si="1173"/>
        <v>4.9125573576615018</v>
      </c>
      <c r="HT147" s="8">
        <f t="shared" si="1173"/>
        <v>5.0867151550878313</v>
      </c>
      <c r="HU147" s="8">
        <f t="shared" si="1173"/>
        <v>5.2647926028704495</v>
      </c>
      <c r="HV147" s="8">
        <f t="shared" si="1173"/>
        <v>5.4468800384601286</v>
      </c>
      <c r="HW147" s="8">
        <f t="shared" si="1173"/>
        <v>5.6330723524026194</v>
      </c>
      <c r="HX147" s="8">
        <f t="shared" si="1173"/>
        <v>5.8234692067666707</v>
      </c>
      <c r="HY147" s="8">
        <f t="shared" ref="HY147:IP147" si="1174">BT152/BT147</f>
        <v>6.0181752677183642</v>
      </c>
      <c r="HZ147" s="8">
        <f t="shared" si="1174"/>
        <v>6.2173004532882636</v>
      </c>
      <c r="IA147" s="8">
        <f t="shared" si="1174"/>
        <v>6.4209601974686334</v>
      </c>
      <c r="IB147" s="8">
        <f t="shared" si="1174"/>
        <v>6.6292757318769153</v>
      </c>
      <c r="IC147" s="8">
        <f t="shared" si="1174"/>
        <v>6.8423743863313939</v>
      </c>
      <c r="ID147" s="8">
        <f t="shared" si="1174"/>
        <v>7.060389909804238</v>
      </c>
      <c r="IE147" s="8">
        <f t="shared" si="1174"/>
        <v>7.2834628133494537</v>
      </c>
      <c r="IF147" s="8">
        <f t="shared" si="1174"/>
        <v>7.5117407367491591</v>
      </c>
      <c r="IG147" s="8">
        <f t="shared" si="1174"/>
        <v>7.7453788407810364</v>
      </c>
      <c r="IH147" s="8">
        <f t="shared" si="1174"/>
        <v>7.9845402271883614</v>
      </c>
      <c r="II147" s="8">
        <f t="shared" si="1174"/>
        <v>8.2293963886289152</v>
      </c>
      <c r="IJ147" s="8">
        <f t="shared" si="1174"/>
        <v>8.4801276910966301</v>
      </c>
      <c r="IK147" s="8">
        <f t="shared" si="1174"/>
        <v>8.736923891550223</v>
      </c>
      <c r="IL147" s="8">
        <f t="shared" si="1174"/>
        <v>8.9999846937494894</v>
      </c>
      <c r="IM147" s="8">
        <f t="shared" si="1174"/>
        <v>9.2695203455970514</v>
      </c>
      <c r="IN147" s="8">
        <f t="shared" si="1174"/>
        <v>9.5457522816126428</v>
      </c>
      <c r="IO147" s="8">
        <f t="shared" si="1174"/>
        <v>9.8289138145344452</v>
      </c>
      <c r="IP147" s="8">
        <f t="shared" si="1174"/>
        <v>10.11925088045199</v>
      </c>
      <c r="IQ147" s="8">
        <f>CL152/CL147</f>
        <v>10.417022842332427</v>
      </c>
      <c r="IR147" s="8">
        <f t="shared" ref="IR147" si="1175">CM152/CM147</f>
        <v>10.722503357314002</v>
      </c>
      <c r="IS147" s="8">
        <f t="shared" ref="IS147" si="1176">CN152/CN147</f>
        <v>11.035981313713677</v>
      </c>
      <c r="IT147" s="8">
        <f t="shared" ref="IT147" si="1177">CO152/CO147</f>
        <v>11.35776184433878</v>
      </c>
      <c r="IU147" s="8">
        <f t="shared" ref="IU147" si="1178">CP152/CP147</f>
        <v>11.688167423414715</v>
      </c>
      <c r="IV147" s="8">
        <f t="shared" ref="IV147" si="1179">CQ152/CQ147</f>
        <v>12.027539055253506</v>
      </c>
      <c r="IW147" s="8">
        <f t="shared" ref="IW147" si="1180">CR152/CR147</f>
        <v>12.37623756370265</v>
      </c>
      <c r="IX147" s="8">
        <f t="shared" ref="IX147" si="1181">CS152/CS147</f>
        <v>12.734644992448075</v>
      </c>
      <c r="IY147" s="8">
        <f t="shared" ref="IY147" si="1182">CT152/CT147</f>
        <v>13.103166127411484</v>
      </c>
      <c r="IZ147" s="8">
        <f t="shared" ref="IZ147" si="1183">CU152/CU147</f>
        <v>13.482230153806409</v>
      </c>
      <c r="JA147" s="8">
        <f t="shared" ref="JA147" si="1184">CV152/CV147</f>
        <v>13.872292461915682</v>
      </c>
      <c r="JB147" s="8">
        <f t="shared" ref="JB147" si="1185">CW152/CW147</f>
        <v>14.27383661735947</v>
      </c>
      <c r="JC147" s="8">
        <f t="shared" ref="JC147" si="1186">CX152/CX147</f>
        <v>14.687376513562302</v>
      </c>
      <c r="JD147" s="8">
        <f t="shared" ref="JD147" si="1187">CY152/CY147</f>
        <v>15.113458726342122</v>
      </c>
      <c r="JE147" s="8">
        <f t="shared" ref="JE147" si="1188">CZ152/CZ147</f>
        <v>15.552665093073793</v>
      </c>
      <c r="JF147" s="8">
        <f t="shared" ref="JF147" si="1189">DA152/DA147</f>
        <v>16.005615541776631</v>
      </c>
      <c r="JG147" s="8">
        <f t="shared" ref="JG147" si="1190">DB152/DB147</f>
        <v>16.47297119880038</v>
      </c>
      <c r="JH147" s="8">
        <f t="shared" ref="JH147" si="1191">DC152/DC147</f>
        <v>16.955437807606966</v>
      </c>
      <c r="JI147" s="8">
        <f t="shared" ref="JI147" si="1192">DD152/DD147</f>
        <v>17.453769495552027</v>
      </c>
      <c r="JJ147" s="8">
        <f t="shared" ref="JJ147" si="1193">DE152/DE147</f>
        <v>17.968772930660609</v>
      </c>
      <c r="JK147" s="8">
        <f t="shared" ref="JK147" si="1194">DF152/DF147</f>
        <v>18.5013119162845</v>
      </c>
      <c r="JL147" s="8">
        <f t="shared" ref="JL147" si="1195">DG152/DG147</f>
        <v>19.052312478371636</v>
      </c>
      <c r="JM147" s="8">
        <f t="shared" ref="JM147" si="1196">DH152/DH147</f>
        <v>19.622768508036216</v>
      </c>
      <c r="JN147" s="8">
        <f t="shared" ref="JN147" si="1197">DI152/DI147</f>
        <v>20.213748031408414</v>
      </c>
      <c r="JO147" s="8">
        <f t="shared" ref="JO147" si="1198">DJ152/DJ147</f>
        <v>20.826400189604282</v>
      </c>
      <c r="JP147" s="8">
        <f t="shared" ref="JP147" si="1199">DK152/DK147</f>
        <v>21.461963024404096</v>
      </c>
      <c r="JQ147" s="8">
        <f t="shared" ref="JQ147" si="1200">DL152/DL147</f>
        <v>22.121772180219338</v>
      </c>
      <c r="JR147" s="8">
        <f t="shared" ref="JR147" si="1201">DM152/DM147</f>
        <v>22.807270650622652</v>
      </c>
      <c r="JS147" s="8">
        <f t="shared" ref="JS147" si="1202">DN152/DN147</f>
        <v>23.520019718658109</v>
      </c>
      <c r="JT147" s="8">
        <f t="shared" ref="JT147" si="1203">DO152/DO147</f>
        <v>24.26171126501761</v>
      </c>
      <c r="JU147" s="8">
        <f t="shared" ref="JU147" si="1204">DP152/DP147</f>
        <v>25.034181647801727</v>
      </c>
      <c r="JV147" s="8">
        <f t="shared" ref="JV147" si="1205">DQ152/DQ147</f>
        <v>25.839427393013164</v>
      </c>
      <c r="JW147" s="8">
        <f t="shared" ref="JW147" si="1206">DR152/DR147</f>
        <v>26.679622977444748</v>
      </c>
      <c r="JX147" s="8">
        <f t="shared" ref="JX147" si="1207">DS152/DS147</f>
        <v>27.557141036836633</v>
      </c>
      <c r="JY147" s="8">
        <f t="shared" ref="JY147" si="1208">DT152/DT147</f>
        <v>28.474575394107401</v>
      </c>
      <c r="JZ147" s="8">
        <f t="shared" ref="JZ147" si="1209">DU152/DU147</f>
        <v>29.434767377663846</v>
      </c>
      <c r="KA147" s="8">
        <f t="shared" ref="KA147" si="1210">DV152/DV147</f>
        <v>30.440835991503526</v>
      </c>
      <c r="KB147" s="8">
        <f t="shared" ref="KB147" si="1211">DW152/DW147</f>
        <v>31.496212611166882</v>
      </c>
      <c r="KC147" s="8">
        <f t="shared" ref="KC147" si="1212">DX152/DX147</f>
        <v>32.604681017863548</v>
      </c>
      <c r="KD147" s="8">
        <f t="shared" ref="KD147" si="1213">DY152/DY147</f>
        <v>33.770423754113864</v>
      </c>
      <c r="KE147" s="8">
        <f t="shared" ref="KE147" si="1214">DZ152/DZ147</f>
        <v>34.998075996859384</v>
      </c>
      <c r="KF147" s="8">
        <f t="shared" ref="KF147" si="1215">EA152/EA147</f>
        <v>36.292788409767255</v>
      </c>
      <c r="KG147" s="8">
        <f t="shared" ref="KG147" si="1216">EB152/EB147</f>
        <v>37.660300770557448</v>
      </c>
      <c r="KH147" s="8">
        <f t="shared" ref="KH147" si="1217">EC152/EC147</f>
        <v>39.107028591733624</v>
      </c>
      <c r="KI147" s="8">
        <f t="shared" ref="KI147" si="1218">ED152/ED147</f>
        <v>40.640165490886261</v>
      </c>
      <c r="KJ147" s="8">
        <f t="shared" ref="KJ147" si="1219">EE152/EE147</f>
        <v>42.267804755778833</v>
      </c>
      <c r="KK147" s="8">
        <f t="shared" ref="KK147" si="1220">EF152/EF147</f>
        <v>43.99908443851519</v>
      </c>
      <c r="KL147" s="8">
        <f t="shared" ref="KL147" si="1221">EG152/EG147</f>
        <v>45.844361468898462</v>
      </c>
      <c r="KM147" s="8">
        <f t="shared" ref="KM147" si="1222">EH152/EH147</f>
        <v>47.815421791607065</v>
      </c>
      <c r="KN147" s="8">
        <f t="shared" ref="KN147" si="1223">EI152/EI147</f>
        <v>49.925735533131714</v>
      </c>
      <c r="KO147" s="8">
        <f t="shared" ref="KO147" si="1224">EJ152/EJ147</f>
        <v>52.190768872849226</v>
      </c>
      <c r="KP147" s="8">
        <f t="shared" ref="KP147" si="1225">EK152/EK147</f>
        <v>54.628367884722337</v>
      </c>
      <c r="KQ147" s="8">
        <f t="shared" ref="KQ147" si="1226">EL152/EL147</f>
        <v>57.259234501390132</v>
      </c>
      <c r="KR147" s="8">
        <f t="shared" ref="KR147" si="1227">EM152/EM147</f>
        <v>60.10752146967392</v>
      </c>
      <c r="KS147" s="8">
        <f t="shared" ref="KS147" si="1228">EN152/EN147</f>
        <v>63.201582512265325</v>
      </c>
      <c r="KT147" s="8">
        <f t="shared" ref="KT147" si="1229">EO152/EO147</f>
        <v>66.574927079371875</v>
      </c>
      <c r="KU147" s="8">
        <f t="shared" ref="KU147" si="1230">EP152/EP147</f>
        <v>70.267447886966423</v>
      </c>
      <c r="KV147" s="8">
        <f t="shared" ref="KV147" si="1231">EQ152/EQ147</f>
        <v>74.327016716936143</v>
      </c>
      <c r="KW147" s="8">
        <f t="shared" ref="KW147" si="1232">ER152/ER147</f>
        <v>78.811584154563477</v>
      </c>
      <c r="KX147" s="8">
        <f t="shared" ref="KX147" si="1233">ES152/ES147</f>
        <v>83.791979238950645</v>
      </c>
      <c r="KY147" s="8">
        <f t="shared" ref="KY147" si="1234">ET152/ET147</f>
        <v>89.355697225830895</v>
      </c>
      <c r="KZ147" s="8">
        <f t="shared" ref="KZ147" si="1235">EU152/EU147</f>
        <v>95.612107761918111</v>
      </c>
      <c r="LA147" s="8">
        <f t="shared" ref="LA147" si="1236">EV152/EV147</f>
        <v>102.69974632950282</v>
      </c>
      <c r="LB147" s="8">
        <f t="shared" ref="LB147" si="1237">EW152/EW147</f>
        <v>110.79673059640766</v>
      </c>
      <c r="LC147" s="8">
        <f t="shared" ref="LC147" si="1238">EX152/EX147</f>
        <v>120.13598431262938</v>
      </c>
      <c r="LD147" s="8">
        <f t="shared" ref="LD147" si="1239">EY152/EY147</f>
        <v>131.02807315589521</v>
      </c>
      <c r="LE147" s="8">
        <f t="shared" ref="LE147" si="1240">EZ152/EZ147</f>
        <v>143.89649649360118</v>
      </c>
      <c r="LF147" s="8">
        <f t="shared" ref="LF147" si="1241">FA152/FA147</f>
        <v>159.33415420259004</v>
      </c>
      <c r="LG147" s="8">
        <f t="shared" ref="LG147" si="1242">FB152/FB147</f>
        <v>178.19745803617775</v>
      </c>
      <c r="LH147" s="8">
        <f t="shared" ref="LH147" si="1243">FC152/FC147</f>
        <v>201.77102651725085</v>
      </c>
      <c r="LI147" s="8">
        <f t="shared" ref="LI147" si="1244">FD152/FD147</f>
        <v>232.0735468834844</v>
      </c>
      <c r="LJ147" s="8">
        <f t="shared" ref="LJ147" si="1245">FE152/FE147</f>
        <v>272.46949897880398</v>
      </c>
      <c r="LK147" s="8">
        <f t="shared" ref="LK147" si="1246">FF152/FF147</f>
        <v>329.01494781578219</v>
      </c>
      <c r="LL147" s="8">
        <f t="shared" ref="LL147" si="1247">FG152/FG147</f>
        <v>413.82202498308823</v>
      </c>
      <c r="LM147" s="8">
        <f>FH152/FH147</f>
        <v>555.15237286975014</v>
      </c>
      <c r="LN147" s="8">
        <f t="shared" ref="LN147" si="1248">FI152/FI147</f>
        <v>837.79092156494266</v>
      </c>
      <c r="LO147" s="8">
        <f>FJ152/FJ147</f>
        <v>1685.662327161964</v>
      </c>
      <c r="LP147" s="8"/>
      <c r="LQ147" s="8">
        <f>0.00069</f>
        <v>6.8999999999999997E-4</v>
      </c>
      <c r="LR147" s="8">
        <f>2*LQ147</f>
        <v>1.3799999999999999E-3</v>
      </c>
      <c r="LS147" s="8">
        <f>LR147/(1.6*10^-3)</f>
        <v>0.86249999999999993</v>
      </c>
      <c r="LT147" s="8">
        <f>FR52</f>
        <v>0.74149659863945583</v>
      </c>
      <c r="LU147" s="8">
        <f>LT147-LS147</f>
        <v>-0.12100340136054411</v>
      </c>
      <c r="LV147" s="8"/>
      <c r="LW147" s="8"/>
      <c r="LX147" s="8"/>
      <c r="LY147" s="8"/>
      <c r="LZ147" s="8"/>
      <c r="MA147" s="8"/>
      <c r="MB147" s="8"/>
      <c r="MC147" s="8"/>
      <c r="MD147" s="8"/>
      <c r="ME147" s="8"/>
      <c r="MF147" s="8"/>
      <c r="MG147" s="8"/>
      <c r="MH147" s="8"/>
      <c r="MI147" s="8"/>
      <c r="MJ147" s="8"/>
      <c r="MK147" s="8"/>
      <c r="ML147" s="8"/>
      <c r="MM147" s="8"/>
      <c r="MN147" s="8"/>
      <c r="MO147" s="8"/>
      <c r="MP147" s="8"/>
      <c r="MQ147" s="8"/>
      <c r="MR147" s="8"/>
    </row>
    <row r="148" spans="7:356" x14ac:dyDescent="0.25">
      <c r="G148" s="8">
        <f t="shared" ref="G148:G149" si="1249">ABS(SQRT(2)*($A$99*2*$D$98/($F$5*$G3^2))*(1-(B$103*2/($F$5))^$E$98))</f>
        <v>9.1826028885023808E-2</v>
      </c>
      <c r="H148" s="8">
        <f t="shared" ref="H148:H149" si="1250">ABS(SQRT(2)*($A$99*2*$D$98/($F$5*$G3^2))*(1-(C$103*2/($F$5))^$E$98))</f>
        <v>9.1825989062491606E-2</v>
      </c>
      <c r="I148" s="8">
        <f t="shared" ref="I148:I149" si="1251">ABS(SQRT(2)*($A$99*2*$D$98/($F$5*$G3^2))*(1-(D$103*2/($F$5))^$E$98))</f>
        <v>9.1825734347933827E-2</v>
      </c>
      <c r="J148" s="8">
        <f t="shared" ref="J148:J149" si="1252">ABS(SQRT(2)*($A$99*2*$D$98/($F$5*$G3^2))*(1-(E$103*2/($F$5))^$E$98))</f>
        <v>9.1825079420134625E-2</v>
      </c>
      <c r="K148" s="8">
        <f t="shared" ref="K148:K149" si="1253">ABS(SQRT(2)*($A$99*2*$D$98/($F$5*$G3^2))*(1-(F$103*2/($F$5))^$E$98))</f>
        <v>9.1823850417393119E-2</v>
      </c>
      <c r="L148" s="8">
        <f t="shared" ref="L148:L149" si="1254">ABS(SQRT(2)*($A$99*2*$D$98/($F$5*$G3^2))*(1-(G$103*2/($F$5))^$E$98))</f>
        <v>9.1821880202466524E-2</v>
      </c>
      <c r="M148" s="8">
        <f t="shared" ref="M148:M149" si="1255">ABS(SQRT(2)*($A$99*2*$D$98/($F$5*$G3^2))*(1-(H$103*2/($F$5))^$E$98))</f>
        <v>9.1819006412819426E-2</v>
      </c>
      <c r="N148" s="8">
        <f t="shared" ref="N148:N149" si="1256">ABS(SQRT(2)*($A$99*2*$D$98/($F$5*$G3^2))*(1-(I$103*2/($F$5))^$E$98))</f>
        <v>9.181507037483029E-2</v>
      </c>
      <c r="O148" s="8">
        <f t="shared" ref="O148:O149" si="1257">ABS(SQRT(2)*($A$99*2*$D$98/($F$5*$G3^2))*(1-(J$103*2/($F$5))^$E$98))</f>
        <v>9.1809916410977632E-2</v>
      </c>
      <c r="P148" s="8">
        <f t="shared" ref="P148:P149" si="1258">ABS(SQRT(2)*($A$99*2*$D$98/($F$5*$G3^2))*(1-(K$103*2/($F$5))^$E$98))</f>
        <v>9.1803391359835715E-2</v>
      </c>
      <c r="Q148" s="8">
        <f t="shared" ref="Q148:Q149" si="1259">ABS(SQRT(2)*($A$99*2*$D$98/($F$5*$G3^2))*(1-(L$103*2/($F$5))^$E$98))</f>
        <v>9.1795344224353037E-2</v>
      </c>
      <c r="R148" s="8">
        <f t="shared" ref="R148:R149" si="1260">ABS(SQRT(2)*($A$99*2*$D$98/($F$5*$G3^2))*(1-(M$103*2/($F$5))^$E$98))</f>
        <v>9.178562590339065E-2</v>
      </c>
      <c r="S148" s="8">
        <f t="shared" ref="S148:S149" si="1261">ABS(SQRT(2)*($A$99*2*$D$98/($F$5*$G3^2))*(1-(N$103*2/($F$5))^$E$98))</f>
        <v>9.1774088980322507E-2</v>
      </c>
      <c r="T148" s="8">
        <f t="shared" ref="T148:T149" si="1262">ABS(SQRT(2)*($A$99*2*$D$98/($F$5*$G3^2))*(1-(O$103*2/($F$5))^$E$98))</f>
        <v>9.1760587552418199E-2</v>
      </c>
      <c r="U148" s="8">
        <f t="shared" ref="U148:U149" si="1263">ABS(SQRT(2)*($A$99*2*$D$98/($F$5*$G3^2))*(1-(P$103*2/($F$5))^$E$98))</f>
        <v>9.1744977090363153E-2</v>
      </c>
      <c r="V148" s="8">
        <f t="shared" ref="V148:V149" si="1264">ABS(SQRT(2)*($A$99*2*$D$98/($F$5*$G3^2))*(1-(Q$103*2/($F$5))^$E$98))</f>
        <v>9.1727114320664271E-2</v>
      </c>
      <c r="W148" s="8">
        <f t="shared" ref="W148:W149" si="1265">ABS(SQRT(2)*($A$99*2*$D$98/($F$5*$G3^2))*(1-(R$103*2/($F$5))^$E$98))</f>
        <v>9.1706857125833499E-2</v>
      </c>
      <c r="X148" s="8">
        <f t="shared" ref="X148:X149" si="1266">ABS(SQRT(2)*($A$99*2*$D$98/($F$5*$G3^2))*(1-(S$103*2/($F$5))^$E$98))</f>
        <v>9.1684064458648518E-2</v>
      </c>
      <c r="Y148" s="8">
        <f t="shared" ref="Y148:Y149" si="1267">ABS(SQRT(2)*($A$99*2*$D$98/($F$5*$G3^2))*(1-(T$103*2/($F$5))^$E$98))</f>
        <v>9.1658596267745487E-2</v>
      </c>
      <c r="Z148" s="8">
        <f t="shared" ref="Z148:Z149" si="1268">ABS(SQRT(2)*($A$99*2*$D$98/($F$5*$G3^2))*(1-(U$103*2/($F$5))^$E$98))</f>
        <v>9.1630313432464722E-2</v>
      </c>
      <c r="AA148" s="8">
        <f t="shared" ref="AA148:AA149" si="1269">ABS(SQRT(2)*($A$99*2*$D$98/($F$5*$G3^2))*(1-(V$103*2/($F$5))^$E$98))</f>
        <v>9.1599077705346865E-2</v>
      </c>
      <c r="AB148" s="8">
        <f t="shared" ref="AB148:AB149" si="1270">ABS(SQRT(2)*($A$99*2*$D$98/($F$5*$G3^2))*(1-(W$103*2/($F$5))^$E$98))</f>
        <v>9.1564751661024638E-2</v>
      </c>
      <c r="AC148" s="8">
        <f t="shared" ref="AC148:AC149" si="1271">ABS(SQRT(2)*($A$99*2*$D$98/($F$5*$G3^2))*(1-(X$103*2/($F$5))^$E$98))</f>
        <v>9.1527198650513758E-2</v>
      </c>
      <c r="AD148" s="8">
        <f t="shared" ref="AD148:AD149" si="1272">ABS(SQRT(2)*($A$99*2*$D$98/($F$5*$G3^2))*(1-(Y$103*2/($F$5))^$E$98))</f>
        <v>9.1486282760102261E-2</v>
      </c>
      <c r="AE148" s="8">
        <f t="shared" ref="AE148:AE149" si="1273">ABS(SQRT(2)*($A$99*2*$D$98/($F$5*$G3^2))*(1-(Z$103*2/($F$5))^$E$98))</f>
        <v>9.144186877418721E-2</v>
      </c>
      <c r="AF148" s="8">
        <f t="shared" ref="AF148:AF149" si="1274">ABS(SQRT(2)*($A$99*2*$D$98/($F$5*$G3^2))*(1-(AA$103*2/($F$5))^$E$98))</f>
        <v>9.1393822141524278E-2</v>
      </c>
      <c r="AG148" s="8">
        <f t="shared" ref="AG148:AG149" si="1275">ABS(SQRT(2)*($A$99*2*$D$98/($F$5*$G3^2))*(1-(AB$103*2/($F$5))^$E$98))</f>
        <v>9.1342008944447536E-2</v>
      </c>
      <c r="AH148" s="8">
        <f t="shared" ref="AH148:AH149" si="1276">ABS(SQRT(2)*($A$99*2*$D$98/($F$5*$G3^2))*(1-(AC$103*2/($F$5))^$E$98))</f>
        <v>9.1286295870689566E-2</v>
      </c>
      <c r="AI148" s="8">
        <f t="shared" ref="AI148:AI149" si="1277">ABS(SQRT(2)*($A$99*2*$D$98/($F$5*$G3^2))*(1-(AD$103*2/($F$5))^$E$98))</f>
        <v>9.1226550187490513E-2</v>
      </c>
      <c r="AJ148" s="8">
        <f t="shared" ref="AJ148:AJ149" si="1278">ABS(SQRT(2)*($A$99*2*$D$98/($F$5*$G3^2))*(1-(AE$103*2/($F$5))^$E$98))</f>
        <v>9.1162639717732155E-2</v>
      </c>
      <c r="AK148" s="8">
        <f t="shared" ref="AK148:AK149" si="1279">ABS(SQRT(2)*($A$99*2*$D$98/($F$5*$G3^2))*(1-(AF$103*2/($F$5))^$E$98))</f>
        <v>9.1094432817872051E-2</v>
      </c>
      <c r="AL148" s="8">
        <f t="shared" ref="AL148:AL149" si="1280">ABS(SQRT(2)*($A$99*2*$D$98/($F$5*$G3^2))*(1-(AG$103*2/($F$5))^$E$98))</f>
        <v>9.1021798357484376E-2</v>
      </c>
      <c r="AM148" s="8">
        <f t="shared" ref="AM148:AM149" si="1281">ABS(SQRT(2)*($A$99*2*$D$98/($F$5*$G3^2))*(1-(AH$103*2/($F$5))^$E$98))</f>
        <v>9.0944605700240974E-2</v>
      </c>
      <c r="AN148" s="8">
        <f t="shared" ref="AN148:AN149" si="1282">ABS(SQRT(2)*($A$99*2*$D$98/($F$5*$G3^2))*(1-(AI$103*2/($F$5))^$E$98))</f>
        <v>9.0862724686187751E-2</v>
      </c>
      <c r="AO148" s="8">
        <f t="shared" ref="AO148:AO149" si="1283">ABS(SQRT(2)*($A$99*2*$D$98/($F$5*$G3^2))*(1-(AJ$103*2/($F$5))^$E$98))</f>
        <v>9.0776025615190839E-2</v>
      </c>
      <c r="AP148" s="8">
        <f t="shared" ref="AP148:AP149" si="1284">ABS(SQRT(2)*($A$99*2*$D$98/($F$5*$G3^2))*(1-(AK$103*2/($F$5))^$E$98))</f>
        <v>9.068437923144182E-2</v>
      </c>
      <c r="AQ148" s="8">
        <f t="shared" ref="AQ148:AQ149" si="1285">ABS(SQRT(2)*($A$99*2*$D$98/($F$5*$G3^2))*(1-(AL$103*2/($F$5))^$E$98))</f>
        <v>9.0587656708925393E-2</v>
      </c>
      <c r="AR148" s="8">
        <f t="shared" ref="AR148:AR149" si="1286">ABS(SQRT(2)*($A$99*2*$D$98/($F$5*$G3^2))*(1-(AM$103*2/($F$5))^$E$98))</f>
        <v>9.0485729637763745E-2</v>
      </c>
      <c r="AS148" s="8">
        <f t="shared" ref="AS148:AS149" si="1287">ABS(SQRT(2)*($A$99*2*$D$98/($F$5*$G3^2))*(1-(AN$103*2/($F$5))^$E$98))</f>
        <v>9.0378470011361831E-2</v>
      </c>
      <c r="AT148" s="8">
        <f t="shared" ref="AT148:AT149" si="1288">ABS(SQRT(2)*($A$99*2*$D$98/($F$5*$G3^2))*(1-(AO$103*2/($F$5))^$E$98))</f>
        <v>9.0265750214286386E-2</v>
      </c>
      <c r="AU148" s="8">
        <f t="shared" ref="AU148:AU149" si="1289">ABS(SQRT(2)*($A$99*2*$D$98/($F$5*$G3^2))*(1-(AP$103*2/($F$5))^$E$98))</f>
        <v>9.0147443010818382E-2</v>
      </c>
      <c r="AV148" s="8">
        <f t="shared" ref="AV148:AV149" si="1290">ABS(SQRT(2)*($A$99*2*$D$98/($F$5*$G3^2))*(1-(AQ$103*2/($F$5))^$E$98))</f>
        <v>9.002342153412532E-2</v>
      </c>
      <c r="AW148" s="8">
        <f t="shared" ref="AW148:AW149" si="1291">ABS(SQRT(2)*($A$99*2*$D$98/($F$5*$G3^2))*(1-(AR$103*2/($F$5))^$E$98))</f>
        <v>8.9893559276005161E-2</v>
      </c>
      <c r="AX148" s="8">
        <f t="shared" ref="AX148:AX149" si="1292">ABS(SQRT(2)*($A$99*2*$D$98/($F$5*$G3^2))*(1-(AS$103*2/($F$5))^$E$98))</f>
        <v>8.9757730077158371E-2</v>
      </c>
      <c r="AY148" s="8">
        <f t="shared" ref="AY148:AY149" si="1293">ABS(SQRT(2)*($A$99*2*$D$98/($F$5*$G3^2))*(1-(AT$103*2/($F$5))^$E$98))</f>
        <v>8.9615808117949114E-2</v>
      </c>
      <c r="AZ148" s="8">
        <f t="shared" ref="AZ148:AZ149" si="1294">ABS(SQRT(2)*($A$99*2*$D$98/($F$5*$G3^2))*(1-(AU$103*2/($F$5))^$E$98))</f>
        <v>8.9467667909620144E-2</v>
      </c>
      <c r="BA148" s="8">
        <f t="shared" ref="BA148:BA149" si="1295">ABS(SQRT(2)*($A$99*2*$D$98/($F$5*$G3^2))*(1-(AV$103*2/($F$5))^$E$98))</f>
        <v>8.9313184285929256E-2</v>
      </c>
      <c r="BB148" s="8">
        <f t="shared" ref="BB148:BB149" si="1296">ABS(SQRT(2)*($A$99*2*$D$98/($F$5*$G3^2))*(1-(AW$103*2/($F$5))^$E$98))</f>
        <v>8.9152232395178249E-2</v>
      </c>
      <c r="BC148" s="8">
        <f t="shared" ref="BC148:BC149" si="1297">ABS(SQRT(2)*($A$99*2*$D$98/($F$5*$G3^2))*(1-(AX$103*2/($F$5))^$E$98))</f>
        <v>8.8984687692607797E-2</v>
      </c>
      <c r="BD148" s="8">
        <f t="shared" ref="BD148:BD149" si="1298">ABS(SQRT(2)*($A$99*2*$D$98/($F$5*$G3^2))*(1-(AY$103*2/($F$5))^$E$98))</f>
        <v>8.8810425933133944E-2</v>
      </c>
      <c r="BE148" s="8">
        <f t="shared" ref="BE148:BE149" si="1299">ABS(SQRT(2)*($A$99*2*$D$98/($F$5*$G3^2))*(1-(AZ$103*2/($F$5))^$E$98))</f>
        <v>8.8629323164404208E-2</v>
      </c>
      <c r="BF148" s="8">
        <f t="shared" ref="BF148:BF149" si="1300">ABS(SQRT(2)*($A$99*2*$D$98/($F$5*$G3^2))*(1-(BA$103*2/($F$5))^$E$98))</f>
        <v>8.8441255720152948E-2</v>
      </c>
      <c r="BG148" s="8">
        <f t="shared" ref="BG148:BG149" si="1301">ABS(SQRT(2)*($A$99*2*$D$98/($F$5*$G3^2))*(1-(BB$103*2/($F$5))^$E$98))</f>
        <v>8.8246100213837289E-2</v>
      </c>
      <c r="BH148" s="8">
        <f t="shared" ref="BH148:BH149" si="1302">ABS(SQRT(2)*($A$99*2*$D$98/($F$5*$G3^2))*(1-(BC$103*2/($F$5))^$E$98))</f>
        <v>8.8043733532536597E-2</v>
      </c>
      <c r="BI148" s="8">
        <f t="shared" ref="BI148:BI149" si="1303">ABS(SQRT(2)*($A$99*2*$D$98/($F$5*$G3^2))*(1-(BD$103*2/($F$5))^$E$98))</f>
        <v>8.7834032831099709E-2</v>
      </c>
      <c r="BJ148" s="8">
        <f t="shared" ref="BJ148:BJ149" si="1304">ABS(SQRT(2)*($A$99*2*$D$98/($F$5*$G3^2))*(1-(BE$103*2/($F$5))^$E$98))</f>
        <v>8.7616875526525334E-2</v>
      </c>
      <c r="BK148" s="8">
        <f t="shared" ref="BK148:BK149" si="1305">ABS(SQRT(2)*($A$99*2*$D$98/($F$5*$G3^2))*(1-(BF$103*2/($F$5))^$E$98))</f>
        <v>8.7392139292562246E-2</v>
      </c>
      <c r="BL148" s="8">
        <f t="shared" ref="BL148:BL149" si="1306">ABS(SQRT(2)*($A$99*2*$D$98/($F$5*$G3^2))*(1-(BG$103*2/($F$5))^$E$98))</f>
        <v>8.7159702054516744E-2</v>
      </c>
      <c r="BM148" s="8">
        <f t="shared" ref="BM148:BM149" si="1307">ABS(SQRT(2)*($A$99*2*$D$98/($F$5*$G3^2))*(1-(BH$103*2/($F$5))^$E$98))</f>
        <v>8.691944198425601E-2</v>
      </c>
      <c r="BN148" s="8">
        <f t="shared" ref="BN148:BN149" si="1308">ABS(SQRT(2)*($A$99*2*$D$98/($F$5*$G3^2))*(1-(BI$103*2/($F$5))^$E$98))</f>
        <v>8.6671237495396486E-2</v>
      </c>
      <c r="BO148" s="8">
        <f t="shared" ref="BO148:BO149" si="1309">ABS(SQRT(2)*($A$99*2*$D$98/($F$5*$G3^2))*(1-(BJ$103*2/($F$5))^$E$98))</f>
        <v>8.6414967238667581E-2</v>
      </c>
      <c r="BP148" s="8">
        <f t="shared" ref="BP148:BP149" si="1310">ABS(SQRT(2)*($A$99*2*$D$98/($F$5*$G3^2))*(1-(BK$103*2/($F$5))^$E$98))</f>
        <v>8.6150510097441124E-2</v>
      </c>
      <c r="BQ148" s="8">
        <f t="shared" ref="BQ148:BQ149" si="1311">ABS(SQRT(2)*($A$99*2*$D$98/($F$5*$G3^2))*(1-(BL$103*2/($F$5))^$E$98))</f>
        <v>8.5877745183418425E-2</v>
      </c>
      <c r="BR148" s="8">
        <f t="shared" ref="BR148:BR149" si="1312">ABS(SQRT(2)*($A$99*2*$D$98/($F$5*$G3^2))*(1-(BM$103*2/($F$5))^$E$98))</f>
        <v>8.559655183246638E-2</v>
      </c>
      <c r="BS148" s="8">
        <f t="shared" ref="BS148:BS149" si="1313">ABS(SQRT(2)*($A$99*2*$D$98/($F$5*$G3^2))*(1-(BN$103*2/($F$5))^$E$98))</f>
        <v>8.5306809600595654E-2</v>
      </c>
      <c r="BT148" s="8">
        <f t="shared" ref="BT148:BT149" si="1314">ABS(SQRT(2)*($A$99*2*$D$98/($F$5*$G3^2))*(1-(BO$103*2/($F$5))^$E$98))</f>
        <v>8.500839826007342E-2</v>
      </c>
      <c r="BU148" s="8">
        <f t="shared" ref="BU148:BU149" si="1315">ABS(SQRT(2)*($A$99*2*$D$98/($F$5*$G3^2))*(1-(BP$103*2/($F$5))^$E$98))</f>
        <v>8.4701197795664707E-2</v>
      </c>
      <c r="BV148" s="8">
        <f t="shared" ref="BV148:BV149" si="1316">ABS(SQRT(2)*($A$99*2*$D$98/($F$5*$G3^2))*(1-(BQ$103*2/($F$5))^$E$98))</f>
        <v>8.4385088400995498E-2</v>
      </c>
      <c r="BW148" s="8">
        <f t="shared" ref="BW148:BW149" si="1317">ABS(SQRT(2)*($A$99*2*$D$98/($F$5*$G3^2))*(1-(BR$103*2/($F$5))^$E$98))</f>
        <v>8.4059950475032466E-2</v>
      </c>
      <c r="BX148" s="8">
        <f t="shared" ref="BX148:BX149" si="1318">ABS(SQRT(2)*($A$99*2*$D$98/($F$5*$G3^2))*(1-(BS$103*2/($F$5))^$E$98))</f>
        <v>8.372566461867359E-2</v>
      </c>
      <c r="BY148" s="8">
        <f t="shared" ref="BY148:BY149" si="1319">ABS(SQRT(2)*($A$99*2*$D$98/($F$5*$G3^2))*(1-(BT$103*2/($F$5))^$E$98))</f>
        <v>8.3382111631444628E-2</v>
      </c>
      <c r="BZ148" s="8">
        <f t="shared" ref="BZ148:BZ149" si="1320">ABS(SQRT(2)*($A$99*2*$D$98/($F$5*$G3^2))*(1-(BU$103*2/($F$5))^$E$98))</f>
        <v>8.3029172508296736E-2</v>
      </c>
      <c r="CA148" s="8">
        <f t="shared" ref="CA148:CA149" si="1321">ABS(SQRT(2)*($A$99*2*$D$98/($F$5*$G3^2))*(1-(BV$103*2/($F$5))^$E$98))</f>
        <v>8.2666728436500719E-2</v>
      </c>
      <c r="CB148" s="8">
        <f t="shared" ref="CB148:CB149" si="1322">ABS(SQRT(2)*($A$99*2*$D$98/($F$5*$G3^2))*(1-(BW$103*2/($F$5))^$E$98))</f>
        <v>8.2294660792633631E-2</v>
      </c>
      <c r="CC148" s="8">
        <f t="shared" ref="CC148:CC149" si="1323">ABS(SQRT(2)*($A$99*2*$D$98/($F$5*$G3^2))*(1-(BX$103*2/($F$5))^$E$98))</f>
        <v>8.1912851139653756E-2</v>
      </c>
      <c r="CD148" s="8">
        <f t="shared" ref="CD148:CD149" si="1324">ABS(SQRT(2)*($A$99*2*$D$98/($F$5*$G3^2))*(1-(BY$103*2/($F$5))^$E$98))</f>
        <v>8.1521181224060296E-2</v>
      </c>
      <c r="CE148" s="8">
        <f t="shared" ref="CE148:CE149" si="1325">ABS(SQRT(2)*($A$99*2*$D$98/($F$5*$G3^2))*(1-(BZ$103*2/($F$5))^$E$98))</f>
        <v>8.1119532973133998E-2</v>
      </c>
      <c r="CF148" s="8">
        <f t="shared" ref="CF148:CF149" si="1326">ABS(SQRT(2)*($A$99*2*$D$98/($F$5*$G3^2))*(1-(CA$103*2/($F$5))^$E$98))</f>
        <v>8.0707788492255628E-2</v>
      </c>
      <c r="CG148" s="8">
        <f t="shared" ref="CG148:CG149" si="1327">ABS(SQRT(2)*($A$99*2*$D$98/($F$5*$G3^2))*(1-(CB$103*2/($F$5))^$E$98))</f>
        <v>8.0285830062298794E-2</v>
      </c>
      <c r="CH148" s="8">
        <f t="shared" ref="CH148:CH149" si="1328">ABS(SQRT(2)*($A$99*2*$D$98/($F$5*$G3^2))*(1-(CC$103*2/($F$5))^$E$98))</f>
        <v>7.9853540137094448E-2</v>
      </c>
      <c r="CI148" s="8">
        <f t="shared" ref="CI148:CI149" si="1329">ABS(SQRT(2)*($A$99*2*$D$98/($F$5*$G3^2))*(1-(CD$103*2/($F$5))^$E$98))</f>
        <v>7.9410801340963955E-2</v>
      </c>
      <c r="CJ148" s="8">
        <f t="shared" ref="CJ148:CJ149" si="1330">ABS(SQRT(2)*($A$99*2*$D$98/($F$5*$G3^2))*(1-(CE$103*2/($F$5))^$E$98))</f>
        <v>7.8957496466318083E-2</v>
      </c>
      <c r="CK148" s="8">
        <f t="shared" ref="CK148:CK149" si="1331">ABS(SQRT(2)*($A$99*2*$D$98/($F$5*$G3^2))*(1-(CF$103*2/($F$5))^$E$98))</f>
        <v>7.8493508471319487E-2</v>
      </c>
      <c r="CL148" s="8">
        <f t="shared" ref="CL148:CL149" si="1332">ABS(SQRT(2)*($A$99*2*$D$98/($F$5*$G3^2))*(1-(CG$103*2/($F$5))^$E$98))</f>
        <v>7.8018720477606066E-2</v>
      </c>
      <c r="CM148" s="8">
        <f t="shared" ref="CM148:CM149" si="1333">ABS(SQRT(2)*($A$99*2*$D$98/($F$5*$G3^2))*(1-(CH$103*2/($F$5))^$E$98))</f>
        <v>7.7533015768072894E-2</v>
      </c>
      <c r="CN148" s="8">
        <f t="shared" ref="CN148:CN149" si="1334">ABS(SQRT(2)*($A$99*2*$D$98/($F$5*$G3^2))*(1-(CI$103*2/($F$5))^$E$98))</f>
        <v>7.703627778471081E-2</v>
      </c>
      <c r="CO148" s="8">
        <f t="shared" ref="CO148:CO149" si="1335">ABS(SQRT(2)*($A$99*2*$D$98/($F$5*$G3^2))*(1-(CJ$103*2/($F$5))^$E$98))</f>
        <v>7.6528390126499146E-2</v>
      </c>
      <c r="CP148" s="8">
        <f t="shared" ref="CP148:CP149" si="1336">ABS(SQRT(2)*($A$99*2*$D$98/($F$5*$G3^2))*(1-(CK$103*2/($F$5))^$E$98))</f>
        <v>7.6009236547350881E-2</v>
      </c>
      <c r="CQ148" s="8">
        <f t="shared" ref="CQ148:CQ149" si="1337">ABS(SQRT(2)*($A$99*2*$D$98/($F$5*$G3^2))*(1-(CL$103*2/($F$5))^$E$98))</f>
        <v>7.5478700954108274E-2</v>
      </c>
      <c r="CR148" s="8">
        <f t="shared" ref="CR148:CR149" si="1338">ABS(SQRT(2)*($A$99*2*$D$98/($F$5*$G3^2))*(1-(CM$103*2/($F$5))^$E$98))</f>
        <v>7.4936667404587223E-2</v>
      </c>
      <c r="CS148" s="8">
        <f t="shared" ref="CS148:CS149" si="1339">ABS(SQRT(2)*($A$99*2*$D$98/($F$5*$G3^2))*(1-(CN$103*2/($F$5))^$E$98))</f>
        <v>7.4383020105668385E-2</v>
      </c>
      <c r="CT148" s="8">
        <f t="shared" ref="CT148:CT149" si="1340">ABS(SQRT(2)*($A$99*2*$D$98/($F$5*$G3^2))*(1-(CO$103*2/($F$5))^$E$98))</f>
        <v>7.3817643411433737E-2</v>
      </c>
      <c r="CU148" s="8">
        <f t="shared" ref="CU148:CU149" si="1341">ABS(SQRT(2)*($A$99*2*$D$98/($F$5*$G3^2))*(1-(CP$103*2/($F$5))^$E$98))</f>
        <v>7.3240421821346949E-2</v>
      </c>
      <c r="CV148" s="8">
        <f t="shared" ref="CV148:CV149" si="1342">ABS(SQRT(2)*($A$99*2*$D$98/($F$5*$G3^2))*(1-(CQ$103*2/($F$5))^$E$98))</f>
        <v>7.2651239978475696E-2</v>
      </c>
      <c r="CW148" s="8">
        <f t="shared" ref="CW148:CW149" si="1343">ABS(SQRT(2)*($A$99*2*$D$98/($F$5*$G3^2))*(1-(CR$103*2/($F$5))^$E$98))</f>
        <v>7.20499826677551E-2</v>
      </c>
      <c r="CX148" s="8">
        <f t="shared" ref="CX148:CX149" si="1344">ABS(SQRT(2)*($A$99*2*$D$98/($F$5*$G3^2))*(1-(CS$103*2/($F$5))^$E$98))</f>
        <v>7.143653481429045E-2</v>
      </c>
      <c r="CY148" s="8">
        <f t="shared" ref="CY148:CY149" si="1345">ABS(SQRT(2)*($A$99*2*$D$98/($F$5*$G3^2))*(1-(CT$103*2/($F$5))^$E$98))</f>
        <v>7.0810781481698018E-2</v>
      </c>
      <c r="CZ148" s="8">
        <f t="shared" ref="CZ148:CZ149" si="1346">ABS(SQRT(2)*($A$99*2*$D$98/($F$5*$G3^2))*(1-(CU$103*2/($F$5))^$E$98))</f>
        <v>7.0172607870482961E-2</v>
      </c>
      <c r="DA148" s="8">
        <f t="shared" ref="DA148:DA149" si="1347">ABS(SQRT(2)*($A$99*2*$D$98/($F$5*$G3^2))*(1-(CV$103*2/($F$5))^$E$98))</f>
        <v>6.9521899316452668E-2</v>
      </c>
      <c r="DB148" s="8">
        <f t="shared" ref="DB148:DB149" si="1348">ABS(SQRT(2)*($A$99*2*$D$98/($F$5*$G3^2))*(1-(CW$103*2/($F$5))^$E$98))</f>
        <v>6.8858541289164826E-2</v>
      </c>
      <c r="DC148" s="8">
        <f t="shared" ref="DC148:DC149" si="1349">ABS(SQRT(2)*($A$99*2*$D$98/($F$5*$G3^2))*(1-(CX$103*2/($F$5))^$E$98))</f>
        <v>6.8182419390408852E-2</v>
      </c>
      <c r="DD148" s="8">
        <f t="shared" ref="DD148:DD149" si="1350">ABS(SQRT(2)*($A$99*2*$D$98/($F$5*$G3^2))*(1-(CY$103*2/($F$5))^$E$98))</f>
        <v>6.7493419352719908E-2</v>
      </c>
      <c r="DE148" s="8">
        <f t="shared" ref="DE148:DE149" si="1351">ABS(SQRT(2)*($A$99*2*$D$98/($F$5*$G3^2))*(1-(CZ$103*2/($F$5))^$E$98))</f>
        <v>6.6791427037923831E-2</v>
      </c>
      <c r="DF148" s="8">
        <f t="shared" ref="DF148:DF149" si="1352">ABS(SQRT(2)*($A$99*2*$D$98/($F$5*$G3^2))*(1-(DA$103*2/($F$5))^$E$98))</f>
        <v>6.6076328435713191E-2</v>
      </c>
      <c r="DG148" s="8">
        <f t="shared" ref="DG148:DG149" si="1353">ABS(SQRT(2)*($A$99*2*$D$98/($F$5*$G3^2))*(1-(DB$103*2/($F$5))^$E$98))</f>
        <v>6.5348009662252168E-2</v>
      </c>
      <c r="DH148" s="8">
        <f t="shared" ref="DH148:DH149" si="1354">ABS(SQRT(2)*($A$99*2*$D$98/($F$5*$G3^2))*(1-(DC$103*2/($F$5))^$E$98))</f>
        <v>6.4606356958810479E-2</v>
      </c>
      <c r="DI148" s="8">
        <f t="shared" ref="DI148:DI149" si="1355">ABS(SQRT(2)*($A$99*2*$D$98/($F$5*$G3^2))*(1-(DD$103*2/($F$5))^$E$98))</f>
        <v>6.3851256690424851E-2</v>
      </c>
      <c r="DJ148" s="8">
        <f t="shared" ref="DJ148:DJ149" si="1356">ABS(SQRT(2)*($A$99*2*$D$98/($F$5*$G3^2))*(1-(DE$103*2/($F$5))^$E$98))</f>
        <v>6.3082595344587503E-2</v>
      </c>
      <c r="DK148" s="8">
        <f t="shared" ref="DK148:DK149" si="1357">ABS(SQRT(2)*($A$99*2*$D$98/($F$5*$G3^2))*(1-(DF$103*2/($F$5))^$E$98))</f>
        <v>6.2300259529960676E-2</v>
      </c>
      <c r="DL148" s="8">
        <f t="shared" ref="DL148:DL149" si="1358">ABS(SQRT(2)*($A$99*2*$D$98/($F$5*$G3^2))*(1-(DG$103*2/($F$5))^$E$98))</f>
        <v>6.1504135975116676E-2</v>
      </c>
      <c r="DM148" s="8">
        <f t="shared" ref="DM148:DM149" si="1359">ABS(SQRT(2)*($A$99*2*$D$98/($F$5*$G3^2))*(1-(DH$103*2/($F$5))^$E$98))</f>
        <v>6.0694111527302391E-2</v>
      </c>
      <c r="DN148" s="8">
        <f t="shared" ref="DN148:DN149" si="1360">ABS(SQRT(2)*($A$99*2*$D$98/($F$5*$G3^2))*(1-(DI$103*2/($F$5))^$E$98))</f>
        <v>5.9870073151227887E-2</v>
      </c>
      <c r="DO148" s="8">
        <f t="shared" ref="DO148:DO149" si="1361">ABS(SQRT(2)*($A$99*2*$D$98/($F$5*$G3^2))*(1-(DJ$103*2/($F$5))^$E$98))</f>
        <v>5.9031907927878227E-2</v>
      </c>
      <c r="DP148" s="8">
        <f t="shared" ref="DP148:DP149" si="1362">ABS(SQRT(2)*($A$99*2*$D$98/($F$5*$G3^2))*(1-(DK$103*2/($F$5))^$E$98))</f>
        <v>5.8179503053347854E-2</v>
      </c>
      <c r="DQ148" s="8">
        <f t="shared" ref="DQ148:DQ149" si="1363">ABS(SQRT(2)*($A$99*2*$D$98/($F$5*$G3^2))*(1-(DL$103*2/($F$5))^$E$98))</f>
        <v>5.7312745837696986E-2</v>
      </c>
      <c r="DR148" s="8">
        <f t="shared" ref="DR148:DR149" si="1364">ABS(SQRT(2)*($A$99*2*$D$98/($F$5*$G3^2))*(1-(DM$103*2/($F$5))^$E$98))</f>
        <v>5.6431523703829506E-2</v>
      </c>
      <c r="DS148" s="8">
        <f t="shared" ref="DS148:DS149" si="1365">ABS(SQRT(2)*($A$99*2*$D$98/($F$5*$G3^2))*(1-(DN$103*2/($F$5))^$E$98))</f>
        <v>5.5535724186391335E-2</v>
      </c>
      <c r="DT148" s="8">
        <f t="shared" ref="DT148:DT149" si="1366">ABS(SQRT(2)*($A$99*2*$D$98/($F$5*$G3^2))*(1-(DO$103*2/($F$5))^$E$98))</f>
        <v>5.4625234930689423E-2</v>
      </c>
      <c r="DU148" s="8">
        <f t="shared" ref="DU148:DU149" si="1367">ABS(SQRT(2)*($A$99*2*$D$98/($F$5*$G3^2))*(1-(DP$103*2/($F$5))^$E$98))</f>
        <v>5.3699943691630156E-2</v>
      </c>
      <c r="DV148" s="8">
        <f t="shared" ref="DV148:DV149" si="1368">ABS(SQRT(2)*($A$99*2*$D$98/($F$5*$G3^2))*(1-(DQ$103*2/($F$5))^$E$98))</f>
        <v>5.2759738332677018E-2</v>
      </c>
      <c r="DW148" s="8">
        <f t="shared" ref="DW148:DW149" si="1369">ABS(SQRT(2)*($A$99*2*$D$98/($F$5*$G3^2))*(1-(DR$103*2/($F$5))^$E$98))</f>
        <v>5.1804506824826915E-2</v>
      </c>
      <c r="DX148" s="8">
        <f t="shared" ref="DX148:DX149" si="1370">ABS(SQRT(2)*($A$99*2*$D$98/($F$5*$G3^2))*(1-(DS$103*2/($F$5))^$E$98))</f>
        <v>5.0834137245604691E-2</v>
      </c>
      <c r="DY148" s="8">
        <f t="shared" ref="DY148:DY149" si="1371">ABS(SQRT(2)*($A$99*2*$D$98/($F$5*$G3^2))*(1-(DT$103*2/($F$5))^$E$98))</f>
        <v>4.9848517778075273E-2</v>
      </c>
      <c r="DZ148" s="8">
        <f t="shared" ref="DZ148:DZ149" si="1372">ABS(SQRT(2)*($A$99*2*$D$98/($F$5*$G3^2))*(1-(DU$103*2/($F$5))^$E$98))</f>
        <v>4.8847536709873081E-2</v>
      </c>
      <c r="EA148" s="8">
        <f t="shared" ref="EA148:EA149" si="1373">ABS(SQRT(2)*($A$99*2*$D$98/($F$5*$G3^2))*(1-(DV$103*2/($F$5))^$E$98))</f>
        <v>4.783108243224838E-2</v>
      </c>
      <c r="EB148" s="8">
        <f t="shared" ref="EB148:EB149" si="1374">ABS(SQRT(2)*($A$99*2*$D$98/($F$5*$G3^2))*(1-(DW$103*2/($F$5))^$E$98))</f>
        <v>4.6799043439129794E-2</v>
      </c>
      <c r="EC148" s="8">
        <f t="shared" ref="EC148:EC149" si="1375">ABS(SQRT(2)*($A$99*2*$D$98/($F$5*$G3^2))*(1-(DX$103*2/($F$5))^$E$98))</f>
        <v>4.5751308326202882E-2</v>
      </c>
      <c r="ED148" s="8">
        <f t="shared" ref="ED148:ED149" si="1376">ABS(SQRT(2)*($A$99*2*$D$98/($F$5*$G3^2))*(1-(DY$103*2/($F$5))^$E$98))</f>
        <v>4.4687765790004413E-2</v>
      </c>
      <c r="EE148" s="8">
        <f t="shared" ref="EE148:EE149" si="1377">ABS(SQRT(2)*($A$99*2*$D$98/($F$5*$G3^2))*(1-(DZ$103*2/($F$5))^$E$98))</f>
        <v>4.3608304627031559E-2</v>
      </c>
      <c r="EF148" s="8">
        <f t="shared" ref="EF148:EF149" si="1378">ABS(SQRT(2)*($A$99*2*$D$98/($F$5*$G3^2))*(1-(EA$103*2/($F$5))^$E$98))</f>
        <v>4.2512813732866167E-2</v>
      </c>
      <c r="EG148" s="8">
        <f t="shared" ref="EG148:EG149" si="1379">ABS(SQRT(2)*($A$99*2*$D$98/($F$5*$G3^2))*(1-(EB$103*2/($F$5))^$E$98))</f>
        <v>4.1401182101313334E-2</v>
      </c>
      <c r="EH148" s="8">
        <f t="shared" ref="EH148:EH149" si="1380">ABS(SQRT(2)*($A$99*2*$D$98/($F$5*$G3^2))*(1-(EC$103*2/($F$5))^$E$98))</f>
        <v>4.0273298823554071E-2</v>
      </c>
      <c r="EI148" s="8">
        <f t="shared" ref="EI148:EI149" si="1381">ABS(SQRT(2)*($A$99*2*$D$98/($F$5*$G3^2))*(1-(ED$103*2/($F$5))^$E$98))</f>
        <v>3.9129053087311925E-2</v>
      </c>
      <c r="EJ148" s="8">
        <f t="shared" ref="EJ148:EJ149" si="1382">ABS(SQRT(2)*($A$99*2*$D$98/($F$5*$G3^2))*(1-(EE$103*2/($F$5))^$E$98))</f>
        <v>3.7968334176032743E-2</v>
      </c>
      <c r="EK148" s="8">
        <f t="shared" ref="EK148:EK149" si="1383">ABS(SQRT(2)*($A$99*2*$D$98/($F$5*$G3^2))*(1-(EF$103*2/($F$5))^$E$98))</f>
        <v>3.6791031468077801E-2</v>
      </c>
      <c r="EL148" s="8">
        <f t="shared" ref="EL148:EL149" si="1384">ABS(SQRT(2)*($A$99*2*$D$98/($F$5*$G3^2))*(1-(EG$103*2/($F$5))^$E$98))</f>
        <v>3.5597034435929743E-2</v>
      </c>
      <c r="EM148" s="8">
        <f t="shared" ref="EM148:EM149" si="1385">ABS(SQRT(2)*($A$99*2*$D$98/($F$5*$G3^2))*(1-(EH$103*2/($F$5))^$E$98))</f>
        <v>3.4386232645410797E-2</v>
      </c>
      <c r="EN148" s="8">
        <f t="shared" ref="EN148:EN149" si="1386">ABS(SQRT(2)*($A$99*2*$D$98/($F$5*$G3^2))*(1-(EI$103*2/($F$5))^$E$98))</f>
        <v>3.3158515754913534E-2</v>
      </c>
      <c r="EO148" s="8">
        <f t="shared" ref="EO148:EO149" si="1387">ABS(SQRT(2)*($A$99*2*$D$98/($F$5*$G3^2))*(1-(EJ$103*2/($F$5))^$E$98))</f>
        <v>3.1913773514643411E-2</v>
      </c>
      <c r="EP148" s="8">
        <f t="shared" ref="EP148:EP149" si="1388">ABS(SQRT(2)*($A$99*2*$D$98/($F$5*$G3^2))*(1-(EK$103*2/($F$5))^$E$98))</f>
        <v>3.0651895765872936E-2</v>
      </c>
      <c r="EQ148" s="8">
        <f t="shared" ref="EQ148:EQ149" si="1389">ABS(SQRT(2)*($A$99*2*$D$98/($F$5*$G3^2))*(1-(EL$103*2/($F$5))^$E$98))</f>
        <v>2.9372772440207411E-2</v>
      </c>
      <c r="ER148" s="8">
        <f t="shared" ref="ER148:ER149" si="1390">ABS(SQRT(2)*($A$99*2*$D$98/($F$5*$G3^2))*(1-(EM$103*2/($F$5))^$E$98))</f>
        <v>2.8076293558861761E-2</v>
      </c>
      <c r="ES148" s="8">
        <f t="shared" ref="ES148:ES149" si="1391">ABS(SQRT(2)*($A$99*2*$D$98/($F$5*$G3^2))*(1-(EN$103*2/($F$5))^$E$98))</f>
        <v>2.676234923194817E-2</v>
      </c>
      <c r="ET148" s="8">
        <f t="shared" ref="ET148:ET149" si="1392">ABS(SQRT(2)*($A$99*2*$D$98/($F$5*$G3^2))*(1-(EO$103*2/($F$5))^$E$98))</f>
        <v>2.5430829657774604E-2</v>
      </c>
      <c r="EU148" s="8">
        <f t="shared" ref="EU148:EU149" si="1393">ABS(SQRT(2)*($A$99*2*$D$98/($F$5*$G3^2))*(1-(EP$103*2/($F$5))^$E$98))</f>
        <v>2.4081625122153612E-2</v>
      </c>
      <c r="EV148" s="8">
        <f t="shared" ref="EV148:EV149" si="1394">ABS(SQRT(2)*($A$99*2*$D$98/($F$5*$G3^2))*(1-(EQ$103*2/($F$5))^$E$98))</f>
        <v>2.2714625997721311E-2</v>
      </c>
      <c r="EW148" s="8">
        <f t="shared" ref="EW148:EW149" si="1395">ABS(SQRT(2)*($A$99*2*$D$98/($F$5*$G3^2))*(1-(ER$103*2/($F$5))^$E$98))</f>
        <v>2.132972274326651E-2</v>
      </c>
      <c r="EX148" s="8">
        <f t="shared" ref="EX148:EX149" si="1396">ABS(SQRT(2)*($A$99*2*$D$98/($F$5*$G3^2))*(1-(ES$103*2/($F$5))^$E$98))</f>
        <v>1.9926805903069559E-2</v>
      </c>
      <c r="EY148" s="8">
        <f t="shared" ref="EY148:EY149" si="1397">ABS(SQRT(2)*($A$99*2*$D$98/($F$5*$G3^2))*(1-(ET$103*2/($F$5))^$E$98))</f>
        <v>1.8505766106250595E-2</v>
      </c>
      <c r="EZ148" s="8">
        <f t="shared" ref="EZ148:EZ149" si="1398">ABS(SQRT(2)*($A$99*2*$D$98/($F$5*$G3^2))*(1-(EU$103*2/($F$5))^$E$98))</f>
        <v>1.706649406612739E-2</v>
      </c>
      <c r="FA148" s="8">
        <f t="shared" ref="FA148:FA149" si="1399">ABS(SQRT(2)*($A$99*2*$D$98/($F$5*$G3^2))*(1-(EV$103*2/($F$5))^$E$98))</f>
        <v>1.5608880579582301E-2</v>
      </c>
      <c r="FB148" s="8">
        <f t="shared" ref="FB148:FB149" si="1400">ABS(SQRT(2)*($A$99*2*$D$98/($F$5*$G3^2))*(1-(EW$103*2/($F$5))^$E$98))</f>
        <v>1.4132816526438059E-2</v>
      </c>
      <c r="FC148" s="8">
        <f t="shared" ref="FC148:FC149" si="1401">ABS(SQRT(2)*($A$99*2*$D$98/($F$5*$G3^2))*(1-(EX$103*2/($F$5))^$E$98))</f>
        <v>1.2638192868842482E-2</v>
      </c>
      <c r="FD148" s="8">
        <f t="shared" ref="FD148:FD149" si="1402">ABS(SQRT(2)*($A$99*2*$D$98/($F$5*$G3^2))*(1-(EY$103*2/($F$5))^$E$98))</f>
        <v>1.1124900650661866E-2</v>
      </c>
      <c r="FE148" s="8">
        <f t="shared" ref="FE148:FE149" si="1403">ABS(SQRT(2)*($A$99*2*$D$98/($F$5*$G3^2))*(1-(EZ$103*2/($F$5))^$E$98))</f>
        <v>9.5928309968825263E-3</v>
      </c>
      <c r="FF148" s="8">
        <f t="shared" ref="FF148:FF149" si="1404">ABS(SQRT(2)*($A$99*2*$D$98/($F$5*$G3^2))*(1-(FA$103*2/($F$5))^$E$98))</f>
        <v>8.0418751130208969E-3</v>
      </c>
      <c r="FG148" s="8">
        <f t="shared" ref="FG148:FG149" si="1405">ABS(SQRT(2)*($A$99*2*$D$98/($F$5*$G3^2))*(1-(FB$103*2/($F$5))^$E$98))</f>
        <v>6.4719242845416493E-3</v>
      </c>
      <c r="FH148" s="8">
        <f t="shared" ref="FH148:FH149" si="1406">ABS(SQRT(2)*($A$99*2*$D$98/($F$5*$G3^2))*(1-(FC$103*2/($F$5))^$E$98))</f>
        <v>4.8828698762835576E-3</v>
      </c>
      <c r="FI148" s="8">
        <f t="shared" ref="FI148:FI149" si="1407">ABS(SQRT(2)*($A$99*2*$D$98/($F$5*$G3^2))*(1-(FD$103*2/($F$5))^$E$98))</f>
        <v>3.274603331893357E-3</v>
      </c>
      <c r="FJ148" s="8">
        <f t="shared" ref="FJ148:FJ149" si="1408">ABS(SQRT(2)*($A$99*2*$D$98/($F$5*$G3^2))*(1-(FE$103*2/($F$5))^$E$98))</f>
        <v>1.6470161732672097E-3</v>
      </c>
      <c r="FK148" s="8"/>
      <c r="FL148" s="8">
        <f t="shared" ref="FL148:FL149" si="1409">G153/G148</f>
        <v>5.511430402040806E-2</v>
      </c>
      <c r="FM148" s="8">
        <f t="shared" ref="FM148:FM149" si="1410">H153/H148</f>
        <v>5.0334001199564181E-2</v>
      </c>
      <c r="FN148" s="8">
        <f t="shared" ref="FN148:FN149" si="1411">I153/I148</f>
        <v>3.7436204840726364E-2</v>
      </c>
      <c r="FO148" s="8">
        <f t="shared" ref="FO148:FO149" si="1412">J153/J148</f>
        <v>1.7123004364593606E-2</v>
      </c>
      <c r="FP148" s="8">
        <f t="shared" ref="FP148:FP149" si="1413">K153/K148</f>
        <v>1.0262134375668421E-2</v>
      </c>
      <c r="FQ148" s="8">
        <f t="shared" ref="FQ148:FQ149" si="1414">L153/L148</f>
        <v>4.4489857840955813E-2</v>
      </c>
      <c r="FR148" s="8">
        <f t="shared" ref="FR148:FR149" si="1415">M153/M148</f>
        <v>8.5389306291251382E-2</v>
      </c>
      <c r="FS148" s="8">
        <f t="shared" ref="FS148:FS149" si="1416">N153/N148</f>
        <v>0.1328254383263707</v>
      </c>
      <c r="FT148" s="8">
        <f t="shared" ref="FT148:FT149" si="1417">O153/O148</f>
        <v>0.18668753686552403</v>
      </c>
      <c r="FU148" s="8">
        <f t="shared" ref="FU148:FU149" si="1418">P153/P148</f>
        <v>0.24688260061859141</v>
      </c>
      <c r="FV148" s="8">
        <f t="shared" ref="FV148:FV149" si="1419">Q153/Q148</f>
        <v>0.31333121423014293</v>
      </c>
      <c r="FW148" s="8">
        <f t="shared" ref="FW148:FW149" si="1420">R153/R148</f>
        <v>0.38596480992248555</v>
      </c>
      <c r="FX148" s="8">
        <f t="shared" ref="FX148:FX149" si="1421">S153/S148</f>
        <v>0.46472377017550265</v>
      </c>
      <c r="FY148" s="8">
        <f t="shared" ref="FY148:FY149" si="1422">T153/T148</f>
        <v>0.54955606832858095</v>
      </c>
      <c r="FZ148" s="8">
        <f t="shared" ref="FZ148:FZ149" si="1423">U153/U148</f>
        <v>0.64041626904377236</v>
      </c>
      <c r="GA148" s="8">
        <f t="shared" ref="GA148:GA149" si="1424">V153/V148</f>
        <v>0.73726477850448402</v>
      </c>
      <c r="GB148" s="8">
        <f t="shared" ref="GB148:GB149" si="1425">W153/W148</f>
        <v>0.84006727331858189</v>
      </c>
      <c r="GC148" s="8">
        <f t="shared" ref="GC148:GC149" si="1426">X153/X148</f>
        <v>0.94879426068307215</v>
      </c>
      <c r="GD148" s="8">
        <f t="shared" ref="GD148:GD149" si="1427">Y153/Y148</f>
        <v>1.0634207371763993</v>
      </c>
      <c r="GE148" s="8">
        <f t="shared" ref="GE148:GE149" si="1428">Z153/Z148</f>
        <v>1.1839259231606087</v>
      </c>
      <c r="GF148" s="8">
        <f t="shared" ref="GF148:GF149" si="1429">AA153/AA148</f>
        <v>1.3102930562049713</v>
      </c>
      <c r="GG148" s="8">
        <f t="shared" ref="GG148:GG149" si="1430">AB153/AB148</f>
        <v>1.4425092313522703</v>
      </c>
      <c r="GH148" s="8">
        <f t="shared" ref="GH148:GH149" si="1431">AC153/AC148</f>
        <v>1.5805652791416935</v>
      </c>
      <c r="GI148" s="8">
        <f t="shared" ref="GI148:GI149" si="1432">AD153/AD148</f>
        <v>1.7244556745157786</v>
      </c>
      <c r="GJ148" s="8">
        <f t="shared" ref="GJ148:GJ149" si="1433">AE153/AE148</f>
        <v>1.8741784713514229</v>
      </c>
      <c r="GK148" s="8">
        <f t="shared" ref="GK148:GK149" si="1434">AF153/AF148</f>
        <v>2.0297352585497053</v>
      </c>
      <c r="GL148" s="8">
        <f t="shared" ref="GL148:GL149" si="1435">AG153/AG148</f>
        <v>2.1911311345169895</v>
      </c>
      <c r="GM148" s="8">
        <f t="shared" ref="GM148:GM149" si="1436">AH153/AH148</f>
        <v>2.3583746975550324</v>
      </c>
      <c r="GN148" s="8">
        <f t="shared" ref="GN148:GN149" si="1437">AI153/AI148</f>
        <v>2.5314780502062817</v>
      </c>
      <c r="GO148" s="8">
        <f t="shared" ref="GO148:GO149" si="1438">AJ153/AJ148</f>
        <v>2.7104568160147036</v>
      </c>
      <c r="GP148" s="8">
        <f t="shared" ref="GP148:GP149" si="1439">AK153/AK148</f>
        <v>2.895330167489786</v>
      </c>
      <c r="GQ148" s="8">
        <f t="shared" ref="GQ148:GQ149" si="1440">AL153/AL148</f>
        <v>3.0861208643238092</v>
      </c>
      <c r="GR148" s="8">
        <f t="shared" ref="GR148:GR149" si="1441">AM153/AM148</f>
        <v>3.2828553011252044</v>
      </c>
      <c r="GS148" s="8">
        <f t="shared" ref="GS148:GS149" si="1442">AN153/AN148</f>
        <v>3.4855635641052696</v>
      </c>
      <c r="GT148" s="8">
        <f t="shared" ref="GT148:GT149" si="1443">AO153/AO148</f>
        <v>3.6942794963005219</v>
      </c>
      <c r="GU148" s="8">
        <f t="shared" ref="GU148:GU149" si="1444">AP153/AP148</f>
        <v>3.9090407710347317</v>
      </c>
      <c r="GV148" s="8">
        <f t="shared" ref="GV148:GV149" si="1445">AQ153/AQ148</f>
        <v>4.1298889734288098</v>
      </c>
      <c r="GW148" s="8">
        <f t="shared" ref="GW148:GW149" si="1446">AR153/AR148</f>
        <v>4.3568696898567243</v>
      </c>
      <c r="GX148" s="8">
        <f t="shared" ref="GX148:GX149" si="1447">AS153/AS148</f>
        <v>4.5900326053245273</v>
      </c>
      <c r="GY148" s="8">
        <f t="shared" ref="GY148:GY149" si="1448">AT153/AT148</f>
        <v>4.8294316088201619</v>
      </c>
      <c r="GZ148" s="8">
        <f t="shared" ref="GZ148:GZ149" si="1449">AU153/AU148</f>
        <v>5.0751249067457511</v>
      </c>
      <c r="HA148" s="8">
        <f t="shared" ref="HA148:HA149" si="1450">AV153/AV148</f>
        <v>5.3271751446029878</v>
      </c>
      <c r="HB148" s="8">
        <f t="shared" ref="HB148:HB149" si="1451">AW153/AW148</f>
        <v>5.5856495371577894</v>
      </c>
      <c r="HC148" s="8">
        <f t="shared" ref="HC148:HC149" si="1452">AX153/AX148</f>
        <v>5.850620007363081</v>
      </c>
      <c r="HD148" s="8">
        <f t="shared" ref="HD148:HD149" si="1453">AY153/AY148</f>
        <v>6.1221633343700805</v>
      </c>
      <c r="HE148" s="8">
        <f t="shared" ref="HE148:HE149" si="1454">AZ153/AZ148</f>
        <v>6.4003613110084236</v>
      </c>
      <c r="HF148" s="8">
        <f t="shared" ref="HF148:HF149" si="1455">BA153/BA148</f>
        <v>6.6853009111664958</v>
      </c>
      <c r="HG148" s="8">
        <f t="shared" ref="HG148:HG149" si="1456">BB153/BB148</f>
        <v>6.9770744675535656</v>
      </c>
      <c r="HH148" s="8">
        <f t="shared" ref="HH148:HH149" si="1457">BC153/BC148</f>
        <v>7.2757798603779422</v>
      </c>
      <c r="HI148" s="8">
        <f t="shared" ref="HI148:HI149" si="1458">BD153/BD148</f>
        <v>7.5815207175285328</v>
      </c>
      <c r="HJ148" s="8">
        <f t="shared" ref="HJ148:HJ149" si="1459">BE153/BE148</f>
        <v>7.8944066269037823</v>
      </c>
      <c r="HK148" s="8">
        <f t="shared" ref="HK148:HK149" si="1460">BF153/BF148</f>
        <v>8.214553361590248</v>
      </c>
      <c r="HL148" s="8">
        <f t="shared" ref="HL148:HL149" si="1461">BG153/BG148</f>
        <v>8.5420831186551656</v>
      </c>
      <c r="HM148" s="8">
        <f t="shared" ref="HM148:HM149" si="1462">BH153/BH148</f>
        <v>8.877124772383425</v>
      </c>
      <c r="HN148" s="8">
        <f t="shared" ref="HN148:HN149" si="1463">BI153/BI148</f>
        <v>9.2198141428592155</v>
      </c>
      <c r="HO148" s="8">
        <f t="shared" ref="HO148:HO149" si="1464">BJ153/BJ148</f>
        <v>9.5702942808684153</v>
      </c>
      <c r="HP148" s="8">
        <f t="shared" ref="HP148:HP149" si="1465">BK153/BK148</f>
        <v>9.9287157701779378</v>
      </c>
      <c r="HQ148" s="8">
        <f t="shared" ref="HQ148:HQ149" si="1466">BL153/BL148</f>
        <v>10.295237048335496</v>
      </c>
      <c r="HR148" s="8">
        <f t="shared" ref="HR148:HR149" si="1467">BM153/BM148</f>
        <v>10.67002474722824</v>
      </c>
      <c r="HS148" s="8">
        <f t="shared" ref="HS148:HS149" si="1468">BN153/BN148</f>
        <v>11.053254054738382</v>
      </c>
      <c r="HT148" s="8">
        <f t="shared" ref="HT148:HT149" si="1469">BO153/BO148</f>
        <v>11.445109098947622</v>
      </c>
      <c r="HU148" s="8">
        <f t="shared" ref="HU148:HU149" si="1470">BP153/BP148</f>
        <v>11.845783356458515</v>
      </c>
      <c r="HV148" s="8">
        <f t="shared" ref="HV148:HV149" si="1471">BQ153/BQ148</f>
        <v>12.255480086535291</v>
      </c>
      <c r="HW148" s="8">
        <f t="shared" ref="HW148:HW149" si="1472">BR153/BR148</f>
        <v>12.674412792905896</v>
      </c>
      <c r="HX148" s="8">
        <f t="shared" ref="HX148:HX149" si="1473">BS153/BS148</f>
        <v>13.102805715225012</v>
      </c>
      <c r="HY148" s="8">
        <f t="shared" ref="HY148:HY149" si="1474">BT153/BT148</f>
        <v>13.540894352366323</v>
      </c>
      <c r="HZ148" s="8">
        <f t="shared" ref="HZ148:HZ149" si="1475">BU153/BU148</f>
        <v>13.988926019898599</v>
      </c>
      <c r="IA148" s="8">
        <f t="shared" ref="IA148:IA149" si="1476">BV153/BV148</f>
        <v>14.447160444304428</v>
      </c>
      <c r="IB148" s="8">
        <f t="shared" ref="IB148:IB149" si="1477">BW153/BW148</f>
        <v>14.915870396723063</v>
      </c>
      <c r="IC148" s="8">
        <f t="shared" ref="IC148:IC149" si="1478">BX153/BX148</f>
        <v>15.395342369245638</v>
      </c>
      <c r="ID148" s="8">
        <f t="shared" ref="ID148:ID149" si="1479">BY153/BY148</f>
        <v>15.885877297059537</v>
      </c>
      <c r="IE148" s="8">
        <f t="shared" ref="IE148:IE149" si="1480">BZ153/BZ148</f>
        <v>16.387791330036276</v>
      </c>
      <c r="IF148" s="8">
        <f t="shared" ref="IF148:IF149" si="1481">CA153/CA148</f>
        <v>16.901416657685612</v>
      </c>
      <c r="IG148" s="8">
        <f t="shared" ref="IG148:IG149" si="1482">CB153/CB148</f>
        <v>17.427102391757334</v>
      </c>
      <c r="IH148" s="8">
        <f t="shared" ref="IH148:IH149" si="1483">CC153/CC148</f>
        <v>17.965215511173817</v>
      </c>
      <c r="II148" s="8">
        <f t="shared" ref="II148:II149" si="1484">CD153/CD148</f>
        <v>18.516141874415066</v>
      </c>
      <c r="IJ148" s="8">
        <f t="shared" ref="IJ148:IJ149" si="1485">CE153/CE148</f>
        <v>19.080287304967417</v>
      </c>
      <c r="IK148" s="8">
        <f t="shared" ref="IK148:IK149" si="1486">CF153/CF148</f>
        <v>19.658078755988008</v>
      </c>
      <c r="IL148" s="8">
        <f t="shared" ref="IL148:IL149" si="1487">CG153/CG148</f>
        <v>20.249965560936353</v>
      </c>
      <c r="IM148" s="8">
        <f t="shared" ref="IM148:IM149" si="1488">CH153/CH148</f>
        <v>20.856420777593367</v>
      </c>
      <c r="IN148" s="8">
        <f t="shared" ref="IN148:IN149" si="1489">CI153/CI148</f>
        <v>21.477942633628448</v>
      </c>
      <c r="IO148" s="8">
        <f t="shared" ref="IO148:IO149" si="1490">CJ153/CJ148</f>
        <v>22.115056082702505</v>
      </c>
      <c r="IP148" s="8">
        <f t="shared" ref="IP148:IQ149" si="1491">CK153/CK148</f>
        <v>22.768314481016983</v>
      </c>
      <c r="IQ148" s="8">
        <f t="shared" si="1491"/>
        <v>23.438301395247962</v>
      </c>
      <c r="IR148" s="8">
        <f t="shared" ref="IR148:IR149" si="1492">CM153/CM148</f>
        <v>24.12563255395651</v>
      </c>
      <c r="IS148" s="8">
        <f t="shared" ref="IS148:IS149" si="1493">CN153/CN148</f>
        <v>24.83095795585578</v>
      </c>
      <c r="IT148" s="8">
        <f t="shared" ref="IT148:IT149" si="1494">CO153/CO148</f>
        <v>25.554964149762259</v>
      </c>
      <c r="IU148" s="8">
        <f t="shared" ref="IU148:IU149" si="1495">CP153/CP148</f>
        <v>26.298376702683115</v>
      </c>
      <c r="IV148" s="8">
        <f t="shared" ref="IV148:IV149" si="1496">CQ153/CQ148</f>
        <v>27.06196287432039</v>
      </c>
      <c r="IW148" s="8">
        <f t="shared" ref="IW148:IW149" si="1497">CR153/CR148</f>
        <v>27.846534518330973</v>
      </c>
      <c r="IX148" s="8">
        <f t="shared" ref="IX148:IX149" si="1498">CS153/CS148</f>
        <v>28.652951233008178</v>
      </c>
      <c r="IY148" s="8">
        <f t="shared" ref="IY148:IY149" si="1499">CT153/CT148</f>
        <v>29.482123786675846</v>
      </c>
      <c r="IZ148" s="8">
        <f t="shared" ref="IZ148:IZ149" si="1500">CU153/CU148</f>
        <v>30.335017846064424</v>
      </c>
      <c r="JA148" s="8">
        <f t="shared" ref="JA148:JA149" si="1501">CV153/CV148</f>
        <v>31.212658039310291</v>
      </c>
      <c r="JB148" s="8">
        <f t="shared" ref="JB148:JB149" si="1502">CW153/CW148</f>
        <v>32.116132389058812</v>
      </c>
      <c r="JC148" s="8">
        <f t="shared" ref="JC148:JC149" si="1503">CX153/CX148</f>
        <v>33.04659715551518</v>
      </c>
      <c r="JD148" s="8">
        <f t="shared" ref="JD148:JD149" si="1504">CY153/CY148</f>
        <v>34.005282134269784</v>
      </c>
      <c r="JE148" s="8">
        <f t="shared" ref="JE148:JE149" si="1505">CZ153/CZ148</f>
        <v>34.993496459416029</v>
      </c>
      <c r="JF148" s="8">
        <f t="shared" ref="JF148:JF149" si="1506">DA153/DA148</f>
        <v>36.012634968997432</v>
      </c>
      <c r="JG148" s="8">
        <f t="shared" ref="JG148:JG149" si="1507">DB153/DB148</f>
        <v>37.064185197300858</v>
      </c>
      <c r="JH148" s="8">
        <f t="shared" ref="JH148:JH149" si="1508">DC153/DC148</f>
        <v>38.149735067115692</v>
      </c>
      <c r="JI148" s="8">
        <f t="shared" ref="JI148:JI149" si="1509">DD153/DD148</f>
        <v>39.270981364992075</v>
      </c>
      <c r="JJ148" s="8">
        <f t="shared" ref="JJ148:JJ149" si="1510">DE153/DE148</f>
        <v>40.429739093986385</v>
      </c>
      <c r="JK148" s="8">
        <f t="shared" ref="JK148:JK149" si="1511">DF153/DF148</f>
        <v>41.627951811640123</v>
      </c>
      <c r="JL148" s="8">
        <f t="shared" ref="JL148:JL149" si="1512">DG153/DG148</f>
        <v>42.867703076336191</v>
      </c>
      <c r="JM148" s="8">
        <f t="shared" ref="JM148:JM149" si="1513">DH153/DH148</f>
        <v>44.151229143081494</v>
      </c>
      <c r="JN148" s="8">
        <f t="shared" ref="JN148:JN149" si="1514">DI153/DI148</f>
        <v>45.480933070668932</v>
      </c>
      <c r="JO148" s="8">
        <f t="shared" ref="JO148:JO149" si="1515">DJ153/DJ148</f>
        <v>46.859400426609639</v>
      </c>
      <c r="JP148" s="8">
        <f t="shared" ref="JP148:JP149" si="1516">DK153/DK148</f>
        <v>48.289416804909223</v>
      </c>
      <c r="JQ148" s="8">
        <f t="shared" ref="JQ148:JQ149" si="1517">DL153/DL148</f>
        <v>49.773987405493521</v>
      </c>
      <c r="JR148" s="8">
        <f t="shared" ref="JR148:JR149" si="1518">DM153/DM148</f>
        <v>51.316358963900981</v>
      </c>
      <c r="JS148" s="8">
        <f t="shared" ref="JS148:JS149" si="1519">DN153/DN148</f>
        <v>52.920044366980754</v>
      </c>
      <c r="JT148" s="8">
        <f t="shared" ref="JT148:JT149" si="1520">DO153/DO148</f>
        <v>54.588850346289625</v>
      </c>
      <c r="JU148" s="8">
        <f t="shared" ref="JU148:JU149" si="1521">DP153/DP148</f>
        <v>56.326908707553891</v>
      </c>
      <c r="JV148" s="8">
        <f t="shared" ref="JV148:JV149" si="1522">DQ153/DQ148</f>
        <v>58.13871163427963</v>
      </c>
      <c r="JW148" s="8">
        <f t="shared" ref="JW148:JW149" si="1523">DR153/DR148</f>
        <v>60.02915169925069</v>
      </c>
      <c r="JX148" s="8">
        <f t="shared" ref="JX148:JX149" si="1524">DS153/DS148</f>
        <v>62.003567332882433</v>
      </c>
      <c r="JY148" s="8">
        <f t="shared" ref="JY148:JY149" si="1525">DT153/DT148</f>
        <v>64.067794636741667</v>
      </c>
      <c r="JZ148" s="8">
        <f t="shared" ref="JZ148:JZ149" si="1526">DU153/DU148</f>
        <v>66.228226599743664</v>
      </c>
      <c r="KA148" s="8">
        <f t="shared" ref="KA148:KA149" si="1527">DV153/DV148</f>
        <v>68.491880980882954</v>
      </c>
      <c r="KB148" s="8">
        <f t="shared" ref="KB148:KB149" si="1528">DW153/DW148</f>
        <v>70.86647837512551</v>
      </c>
      <c r="KC148" s="8">
        <f t="shared" ref="KC148:KC149" si="1529">DX153/DX148</f>
        <v>73.360532290193007</v>
      </c>
      <c r="KD148" s="8">
        <f t="shared" ref="KD148:KD149" si="1530">DY153/DY148</f>
        <v>75.983453446756201</v>
      </c>
      <c r="KE148" s="8">
        <f t="shared" ref="KE148:KE149" si="1531">DZ153/DZ148</f>
        <v>78.74567099293364</v>
      </c>
      <c r="KF148" s="8">
        <f t="shared" ref="KF148:KF149" si="1532">EA153/EA148</f>
        <v>81.658773921976348</v>
      </c>
      <c r="KG148" s="8">
        <f t="shared" ref="KG148:KG149" si="1533">EB153/EB148</f>
        <v>84.735676733754275</v>
      </c>
      <c r="KH148" s="8">
        <f t="shared" ref="KH148:KH149" si="1534">EC153/EC148</f>
        <v>87.990814331400657</v>
      </c>
      <c r="KI148" s="8">
        <f t="shared" ref="KI148:KI149" si="1535">ED153/ED148</f>
        <v>91.440372354494102</v>
      </c>
      <c r="KJ148" s="8">
        <f t="shared" ref="KJ148:KJ149" si="1536">EE153/EE148</f>
        <v>95.102560700502394</v>
      </c>
      <c r="KK148" s="8">
        <f t="shared" ref="KK148:KK149" si="1537">EF153/EF148</f>
        <v>98.99793998665919</v>
      </c>
      <c r="KL148" s="8">
        <f t="shared" ref="KL148:KL149" si="1538">EG153/EG148</f>
        <v>103.14981330502157</v>
      </c>
      <c r="KM148" s="8">
        <f t="shared" ref="KM148:KM149" si="1539">EH153/EH148</f>
        <v>107.58469903111593</v>
      </c>
      <c r="KN148" s="8">
        <f t="shared" ref="KN148:KN149" si="1540">EI153/EI148</f>
        <v>112.33290494954637</v>
      </c>
      <c r="KO148" s="8">
        <f t="shared" ref="KO148:KO149" si="1541">EJ153/EJ148</f>
        <v>117.42922996391079</v>
      </c>
      <c r="KP148" s="8">
        <f t="shared" ref="KP148:KP149" si="1542">EK153/EK148</f>
        <v>122.91382774062531</v>
      </c>
      <c r="KQ148" s="8">
        <f t="shared" ref="KQ148:KQ149" si="1543">EL153/EL148</f>
        <v>128.8332776281278</v>
      </c>
      <c r="KR148" s="8">
        <f t="shared" ref="KR148:KR149" si="1544">EM153/EM148</f>
        <v>135.24192330676632</v>
      </c>
      <c r="KS148" s="8">
        <f t="shared" ref="KS148:KS149" si="1545">EN153/EN148</f>
        <v>142.20356065259702</v>
      </c>
      <c r="KT148" s="8">
        <f t="shared" ref="KT148:KT149" si="1546">EO153/EO148</f>
        <v>149.79358592858674</v>
      </c>
      <c r="KU148" s="8">
        <f t="shared" ref="KU148:KU149" si="1547">EP153/EP148</f>
        <v>158.10175774567446</v>
      </c>
      <c r="KV148" s="8">
        <f t="shared" ref="KV148:KV149" si="1548">EQ153/EQ148</f>
        <v>167.23578761310637</v>
      </c>
      <c r="KW148" s="8">
        <f t="shared" ref="KW148:KW149" si="1549">ER153/ER148</f>
        <v>177.32606434776784</v>
      </c>
      <c r="KX148" s="8">
        <f t="shared" ref="KX148:KX149" si="1550">ES153/ES148</f>
        <v>188.531953287639</v>
      </c>
      <c r="KY148" s="8">
        <f t="shared" ref="KY148:KY149" si="1551">ET153/ET148</f>
        <v>201.05031875811952</v>
      </c>
      <c r="KZ148" s="8">
        <f t="shared" ref="KZ148:KZ149" si="1552">EU153/EU148</f>
        <v>215.12724246431577</v>
      </c>
      <c r="LA148" s="8">
        <f t="shared" ref="LA148:LA149" si="1553">EV153/EV148</f>
        <v>231.07442924138135</v>
      </c>
      <c r="LB148" s="8">
        <f t="shared" ref="LB148:LB149" si="1554">EW153/EW148</f>
        <v>249.29264384191728</v>
      </c>
      <c r="LC148" s="8">
        <f t="shared" ref="LC148:LC149" si="1555">EX153/EX148</f>
        <v>270.30596470341612</v>
      </c>
      <c r="LD148" s="8">
        <f t="shared" ref="LD148:LD149" si="1556">EY153/EY148</f>
        <v>294.81316460076425</v>
      </c>
      <c r="LE148" s="8">
        <f t="shared" ref="LE148:LE149" si="1557">EZ153/EZ148</f>
        <v>323.76711711060267</v>
      </c>
      <c r="LF148" s="8">
        <f t="shared" ref="LF148:LF149" si="1558">FA153/FA148</f>
        <v>358.50184695582777</v>
      </c>
      <c r="LG148" s="8">
        <f t="shared" ref="LG148:LG149" si="1559">FB153/FB148</f>
        <v>400.94428058139999</v>
      </c>
      <c r="LH148" s="8">
        <f t="shared" ref="LH148:LH149" si="1560">FC153/FC148</f>
        <v>453.98480966381453</v>
      </c>
      <c r="LI148" s="8">
        <f t="shared" ref="LI148:LI149" si="1561">FD153/FD148</f>
        <v>522.16548048784</v>
      </c>
      <c r="LJ148" s="8">
        <f t="shared" ref="LJ148:LJ149" si="1562">FE153/FE148</f>
        <v>613.05637270230909</v>
      </c>
      <c r="LK148" s="8">
        <f t="shared" ref="LK148:LK149" si="1563">FF153/FF148</f>
        <v>740.28363258551008</v>
      </c>
      <c r="LL148" s="8">
        <f t="shared" ref="LL148:LM149" si="1564">FG153/FG148</f>
        <v>931.09955621194865</v>
      </c>
      <c r="LM148" s="8">
        <f t="shared" si="1564"/>
        <v>1249.0928389569381</v>
      </c>
      <c r="LN148" s="8">
        <f t="shared" ref="LN148:LN149" si="1565">FI153/FI148</f>
        <v>1885.0295735211212</v>
      </c>
      <c r="LO148" s="8">
        <f t="shared" ref="LO148:LO149" si="1566">FJ153/FJ148</f>
        <v>3792.74023611442</v>
      </c>
      <c r="LQ148" s="8">
        <v>6.4999999999999997E-4</v>
      </c>
      <c r="LR148" s="8">
        <f t="shared" ref="LR148:LR149" si="1567">2*LQ148</f>
        <v>1.2999999999999999E-3</v>
      </c>
      <c r="LS148" s="8">
        <f t="shared" ref="LS148:LS149" si="1568">LR148/(1.6*10^-3)</f>
        <v>0.81249999999999989</v>
      </c>
      <c r="LT148" s="8">
        <f t="shared" ref="LT148:LT149" si="1569">FR53</f>
        <v>0.58278145695364236</v>
      </c>
      <c r="LU148" s="8">
        <f t="shared" ref="LU148:LU149" si="1570">LT148-LS148</f>
        <v>-0.22971854304635753</v>
      </c>
    </row>
    <row r="149" spans="7:356" x14ac:dyDescent="0.25">
      <c r="G149" s="8">
        <f t="shared" si="1249"/>
        <v>3.79485119371782E-2</v>
      </c>
      <c r="H149" s="8">
        <f t="shared" si="1250"/>
        <v>3.7948495479907238E-2</v>
      </c>
      <c r="I149" s="8">
        <f t="shared" si="1251"/>
        <v>3.7948390215217544E-2</v>
      </c>
      <c r="J149" s="8">
        <f t="shared" si="1252"/>
        <v>3.7948119556280122E-2</v>
      </c>
      <c r="K149" s="8">
        <f t="shared" si="1253"/>
        <v>3.7947611652085926E-2</v>
      </c>
      <c r="L149" s="8">
        <f t="shared" si="1254"/>
        <v>3.7946797430611162E-2</v>
      </c>
      <c r="M149" s="8">
        <f t="shared" si="1255"/>
        <v>3.794560979305292E-2</v>
      </c>
      <c r="N149" s="8">
        <f t="shared" si="1256"/>
        <v>3.7943983165108428E-2</v>
      </c>
      <c r="O149" s="8">
        <f t="shared" si="1257"/>
        <v>3.794185321065912E-2</v>
      </c>
      <c r="P149" s="8">
        <f t="shared" si="1258"/>
        <v>3.7939156633401486E-2</v>
      </c>
      <c r="Q149" s="8">
        <f t="shared" si="1259"/>
        <v>3.7935831031492832E-2</v>
      </c>
      <c r="R149" s="8">
        <f t="shared" si="1260"/>
        <v>3.7931814786605317E-2</v>
      </c>
      <c r="S149" s="8">
        <f t="shared" si="1261"/>
        <v>3.7927046976561844E-2</v>
      </c>
      <c r="T149" s="8">
        <f t="shared" si="1262"/>
        <v>3.792146730482588E-2</v>
      </c>
      <c r="U149" s="8">
        <f t="shared" si="1263"/>
        <v>3.7915016042445987E-2</v>
      </c>
      <c r="V149" s="8">
        <f t="shared" si="1264"/>
        <v>3.7907633979458184E-2</v>
      </c>
      <c r="W149" s="8">
        <f t="shared" si="1265"/>
        <v>3.7899262383635265E-2</v>
      </c>
      <c r="X149" s="8">
        <f t="shared" si="1266"/>
        <v>3.7889842965053717E-2</v>
      </c>
      <c r="Y149" s="8">
        <f t="shared" si="1267"/>
        <v>3.7879317845343791E-2</v>
      </c>
      <c r="Z149" s="8">
        <f t="shared" si="1268"/>
        <v>3.7867629530763475E-2</v>
      </c>
      <c r="AA149" s="8">
        <f t="shared" si="1269"/>
        <v>3.7854720888434154E-2</v>
      </c>
      <c r="AB149" s="8">
        <f t="shared" si="1270"/>
        <v>3.7840535125219357E-2</v>
      </c>
      <c r="AC149" s="8">
        <f t="shared" si="1271"/>
        <v>3.7825015768834756E-2</v>
      </c>
      <c r="AD149" s="8">
        <f t="shared" si="1272"/>
        <v>3.7808106650858583E-2</v>
      </c>
      <c r="AE149" s="8">
        <f t="shared" si="1273"/>
        <v>3.7789751891373284E-2</v>
      </c>
      <c r="AF149" s="8">
        <f t="shared" si="1274"/>
        <v>3.7769895885017682E-2</v>
      </c>
      <c r="AG149" s="8">
        <f t="shared" si="1275"/>
        <v>3.7748483288266584E-2</v>
      </c>
      <c r="AH149" s="8">
        <f t="shared" si="1276"/>
        <v>3.772545900778497E-2</v>
      </c>
      <c r="AI149" s="8">
        <f t="shared" si="1277"/>
        <v>3.7700768189728215E-2</v>
      </c>
      <c r="AJ149" s="8">
        <f t="shared" si="1278"/>
        <v>3.7674356209879099E-2</v>
      </c>
      <c r="AK149" s="8">
        <f t="shared" si="1279"/>
        <v>3.7646168664528745E-2</v>
      </c>
      <c r="AL149" s="8">
        <f t="shared" si="1280"/>
        <v>3.7616151362021601E-2</v>
      </c>
      <c r="AM149" s="8">
        <f t="shared" si="1281"/>
        <v>3.7584250314895498E-2</v>
      </c>
      <c r="AN149" s="8">
        <f t="shared" si="1282"/>
        <v>3.7550411732557173E-2</v>
      </c>
      <c r="AO149" s="8">
        <f t="shared" si="1283"/>
        <v>3.7514582014441106E-2</v>
      </c>
      <c r="AP149" s="8">
        <f t="shared" si="1284"/>
        <v>3.747670774360605E-2</v>
      </c>
      <c r="AQ149" s="8">
        <f t="shared" si="1285"/>
        <v>3.7436735680729367E-2</v>
      </c>
      <c r="AR149" s="8">
        <f t="shared" si="1286"/>
        <v>3.7394612758463577E-2</v>
      </c>
      <c r="AS149" s="8">
        <f t="shared" si="1287"/>
        <v>3.7350286076124013E-2</v>
      </c>
      <c r="AT149" s="8">
        <f t="shared" si="1288"/>
        <v>3.7303702894679568E-2</v>
      </c>
      <c r="AU149" s="8">
        <f t="shared" si="1289"/>
        <v>3.7254810632021872E-2</v>
      </c>
      <c r="AV149" s="8">
        <f t="shared" si="1290"/>
        <v>3.7203556858490562E-2</v>
      </c>
      <c r="AW149" s="8">
        <f t="shared" si="1291"/>
        <v>3.7149889292634783E-2</v>
      </c>
      <c r="AX149" s="8">
        <f t="shared" si="1292"/>
        <v>3.7093755797192998E-2</v>
      </c>
      <c r="AY149" s="8">
        <f t="shared" si="1293"/>
        <v>3.7035104375274887E-2</v>
      </c>
      <c r="AZ149" s="8">
        <f t="shared" si="1294"/>
        <v>3.6973883166730767E-2</v>
      </c>
      <c r="BA149" s="8">
        <f t="shared" si="1295"/>
        <v>3.6910040444695251E-2</v>
      </c>
      <c r="BB149" s="8">
        <f t="shared" si="1296"/>
        <v>3.6843524612293045E-2</v>
      </c>
      <c r="BC149" s="8">
        <f t="shared" si="1297"/>
        <v>3.677428419949607E-2</v>
      </c>
      <c r="BD149" s="8">
        <f t="shared" si="1298"/>
        <v>3.6702267860121672E-2</v>
      </c>
      <c r="BE149" s="8">
        <f t="shared" si="1299"/>
        <v>3.6627424368962956E-2</v>
      </c>
      <c r="BF149" s="8">
        <f t="shared" si="1300"/>
        <v>3.6549702619042793E-2</v>
      </c>
      <c r="BG149" s="8">
        <f t="shared" si="1301"/>
        <v>3.6469051618983769E-2</v>
      </c>
      <c r="BH149" s="8">
        <f t="shared" si="1302"/>
        <v>3.6385420490487055E-2</v>
      </c>
      <c r="BI149" s="8">
        <f t="shared" si="1303"/>
        <v>3.6298758465913648E-2</v>
      </c>
      <c r="BJ149" s="8">
        <f t="shared" si="1304"/>
        <v>3.6209014885961996E-2</v>
      </c>
      <c r="BK149" s="8">
        <f t="shared" si="1305"/>
        <v>3.6116139197436434E-2</v>
      </c>
      <c r="BL149" s="8">
        <f t="shared" si="1306"/>
        <v>3.6020080951101305E-2</v>
      </c>
      <c r="BM149" s="8">
        <f t="shared" si="1307"/>
        <v>3.5920789799616E-2</v>
      </c>
      <c r="BN149" s="8">
        <f t="shared" si="1308"/>
        <v>3.58182154955465E-2</v>
      </c>
      <c r="BO149" s="8">
        <f t="shared" si="1309"/>
        <v>3.5712307889449353E-2</v>
      </c>
      <c r="BP149" s="8">
        <f t="shared" si="1310"/>
        <v>3.5603016928024131E-2</v>
      </c>
      <c r="BQ149" s="8">
        <f t="shared" si="1311"/>
        <v>3.5490292652331078E-2</v>
      </c>
      <c r="BR149" s="8">
        <f t="shared" si="1312"/>
        <v>3.5374085196070285E-2</v>
      </c>
      <c r="BS149" s="8">
        <f t="shared" si="1313"/>
        <v>3.5254344783919624E-2</v>
      </c>
      <c r="BT149" s="8">
        <f t="shared" si="1314"/>
        <v>3.5131021729928297E-2</v>
      </c>
      <c r="BU149" s="8">
        <f t="shared" si="1315"/>
        <v>3.5004066435963474E-2</v>
      </c>
      <c r="BV149" s="8">
        <f t="shared" si="1316"/>
        <v>3.4873429390207315E-2</v>
      </c>
      <c r="BW149" s="8">
        <f t="shared" si="1317"/>
        <v>3.473906116570219E-2</v>
      </c>
      <c r="BX149" s="8">
        <f t="shared" si="1318"/>
        <v>3.4600912418941629E-2</v>
      </c>
      <c r="BY149" s="8">
        <f t="shared" si="1319"/>
        <v>3.4458933888505169E-2</v>
      </c>
      <c r="BZ149" s="8">
        <f t="shared" si="1320"/>
        <v>3.4313076393734869E-2</v>
      </c>
      <c r="CA149" s="8">
        <f t="shared" si="1321"/>
        <v>3.416329083345182E-2</v>
      </c>
      <c r="CB149" s="8">
        <f t="shared" si="1322"/>
        <v>3.4009528184710827E-2</v>
      </c>
      <c r="CC149" s="8">
        <f t="shared" si="1323"/>
        <v>3.3851739501591593E-2</v>
      </c>
      <c r="CD149" s="8">
        <f t="shared" si="1324"/>
        <v>3.3689875914024912E-2</v>
      </c>
      <c r="CE149" s="8">
        <f t="shared" si="1325"/>
        <v>3.3523888626652308E-2</v>
      </c>
      <c r="CF149" s="8">
        <f t="shared" si="1326"/>
        <v>3.335372891771788E-2</v>
      </c>
      <c r="CG149" s="8">
        <f t="shared" si="1327"/>
        <v>3.3179348137990824E-2</v>
      </c>
      <c r="CH149" s="8">
        <f t="shared" si="1328"/>
        <v>3.3000697709717593E-2</v>
      </c>
      <c r="CI149" s="8">
        <f t="shared" si="1329"/>
        <v>3.2817729125602442E-2</v>
      </c>
      <c r="CJ149" s="8">
        <f t="shared" si="1330"/>
        <v>3.2630393947815126E-2</v>
      </c>
      <c r="CK149" s="8">
        <f t="shared" si="1331"/>
        <v>3.2438643807024888E-2</v>
      </c>
      <c r="CL149" s="8">
        <f t="shared" si="1332"/>
        <v>3.2242430401459639E-2</v>
      </c>
      <c r="CM149" s="8">
        <f t="shared" si="1333"/>
        <v>3.2041705495989302E-2</v>
      </c>
      <c r="CN149" s="8">
        <f t="shared" si="1334"/>
        <v>3.1836420921232525E-2</v>
      </c>
      <c r="CO149" s="8">
        <f t="shared" si="1335"/>
        <v>3.1626528572685865E-2</v>
      </c>
      <c r="CP149" s="8">
        <f t="shared" si="1336"/>
        <v>3.1411980409874599E-2</v>
      </c>
      <c r="CQ149" s="8">
        <f t="shared" si="1337"/>
        <v>3.1192728455524336E-2</v>
      </c>
      <c r="CR149" s="8">
        <f t="shared" si="1338"/>
        <v>3.0968724794752881E-2</v>
      </c>
      <c r="CS149" s="8">
        <f t="shared" si="1339"/>
        <v>3.0739921574281317E-2</v>
      </c>
      <c r="CT149" s="8">
        <f t="shared" si="1340"/>
        <v>3.0506271001663938E-2</v>
      </c>
      <c r="CU149" s="8">
        <f t="shared" si="1341"/>
        <v>3.0267725344536235E-2</v>
      </c>
      <c r="CV149" s="8">
        <f t="shared" si="1342"/>
        <v>3.0024236929880255E-2</v>
      </c>
      <c r="CW149" s="8">
        <f t="shared" si="1343"/>
        <v>2.9775758143306953E-2</v>
      </c>
      <c r="CX149" s="8">
        <f t="shared" si="1344"/>
        <v>2.9522241428354721E-2</v>
      </c>
      <c r="CY149" s="8">
        <f t="shared" si="1345"/>
        <v>2.9263639285803771E-2</v>
      </c>
      <c r="CZ149" s="8">
        <f t="shared" si="1346"/>
        <v>2.8999904273005705E-2</v>
      </c>
      <c r="DA149" s="8">
        <f t="shared" si="1347"/>
        <v>2.8730989003227882E-2</v>
      </c>
      <c r="DB149" s="8">
        <f t="shared" si="1348"/>
        <v>2.8456846145011989E-2</v>
      </c>
      <c r="DC149" s="8">
        <f t="shared" si="1349"/>
        <v>2.8177428421546514E-2</v>
      </c>
      <c r="DD149" s="8">
        <f t="shared" si="1350"/>
        <v>2.7892688610052611E-2</v>
      </c>
      <c r="DE149" s="8">
        <f t="shared" si="1351"/>
        <v>2.7602579541182806E-2</v>
      </c>
      <c r="DF149" s="8">
        <f t="shared" si="1352"/>
        <v>2.7307054098432489E-2</v>
      </c>
      <c r="DG149" s="8">
        <f t="shared" si="1353"/>
        <v>2.7006065217563394E-2</v>
      </c>
      <c r="DH149" s="8">
        <f t="shared" si="1354"/>
        <v>2.6699565886039018E-2</v>
      </c>
      <c r="DI149" s="8">
        <f t="shared" si="1355"/>
        <v>2.6387509142471489E-2</v>
      </c>
      <c r="DJ149" s="8">
        <f t="shared" si="1356"/>
        <v>2.6069848076079528E-2</v>
      </c>
      <c r="DK149" s="8">
        <f t="shared" si="1357"/>
        <v>2.5746535826157213E-2</v>
      </c>
      <c r="DL149" s="8">
        <f t="shared" si="1358"/>
        <v>2.5417525581553316E-2</v>
      </c>
      <c r="DM149" s="8">
        <f t="shared" si="1359"/>
        <v>2.5082770580160677E-2</v>
      </c>
      <c r="DN149" s="8">
        <f t="shared" si="1360"/>
        <v>2.4742224108415603E-2</v>
      </c>
      <c r="DO149" s="8">
        <f t="shared" si="1361"/>
        <v>2.4395839500806812E-2</v>
      </c>
      <c r="DP149" s="8">
        <f t="shared" si="1362"/>
        <v>2.404357013939375E-2</v>
      </c>
      <c r="DQ149" s="8">
        <f t="shared" si="1363"/>
        <v>2.3685369453333955E-2</v>
      </c>
      <c r="DR149" s="8">
        <f t="shared" si="1364"/>
        <v>2.3321190918419332E-2</v>
      </c>
      <c r="DS149" s="8">
        <f t="shared" si="1365"/>
        <v>2.2950988056620904E-2</v>
      </c>
      <c r="DT149" s="8">
        <f t="shared" si="1366"/>
        <v>2.2574714435642053E-2</v>
      </c>
      <c r="DU149" s="8">
        <f t="shared" si="1367"/>
        <v>2.2192323668479806E-2</v>
      </c>
      <c r="DV149" s="8">
        <f t="shared" si="1368"/>
        <v>2.180376941299407E-2</v>
      </c>
      <c r="DW149" s="8">
        <f t="shared" si="1369"/>
        <v>2.1409005371484591E-2</v>
      </c>
      <c r="DX149" s="8">
        <f t="shared" si="1370"/>
        <v>2.1007985290275404E-2</v>
      </c>
      <c r="DY149" s="8">
        <f t="shared" si="1371"/>
        <v>2.0600662959306612E-2</v>
      </c>
      <c r="DZ149" s="8">
        <f t="shared" si="1372"/>
        <v>2.018699221173326E-2</v>
      </c>
      <c r="EA149" s="8">
        <f t="shared" si="1373"/>
        <v>1.9766926923531217E-2</v>
      </c>
      <c r="EB149" s="8">
        <f t="shared" si="1374"/>
        <v>1.934042101310976E-2</v>
      </c>
      <c r="EC149" s="8">
        <f t="shared" si="1375"/>
        <v>1.8907428440930782E-2</v>
      </c>
      <c r="ED149" s="8">
        <f t="shared" si="1376"/>
        <v>1.8467903209134474E-2</v>
      </c>
      <c r="EE149" s="8">
        <f t="shared" si="1377"/>
        <v>1.8021799361171202E-2</v>
      </c>
      <c r="EF149" s="8">
        <f t="shared" si="1378"/>
        <v>1.7569070981439585E-2</v>
      </c>
      <c r="EG149" s="8">
        <f t="shared" si="1379"/>
        <v>1.7109672194930509E-2</v>
      </c>
      <c r="EH149" s="8">
        <f t="shared" si="1380"/>
        <v>1.6643557166876936E-2</v>
      </c>
      <c r="EI149" s="8">
        <f t="shared" si="1381"/>
        <v>1.6170680102409518E-2</v>
      </c>
      <c r="EJ149" s="8">
        <f t="shared" si="1382"/>
        <v>1.5690995246217608E-2</v>
      </c>
      <c r="EK149" s="8">
        <f t="shared" si="1383"/>
        <v>1.5204456882215825E-2</v>
      </c>
      <c r="EL149" s="8">
        <f t="shared" si="1384"/>
        <v>1.471101933321586E-2</v>
      </c>
      <c r="EM149" s="8">
        <f t="shared" si="1385"/>
        <v>1.4210636960603441E-2</v>
      </c>
      <c r="EN149" s="8">
        <f t="shared" si="1386"/>
        <v>1.3703264164020387E-2</v>
      </c>
      <c r="EO149" s="8">
        <f t="shared" si="1387"/>
        <v>1.3188855381051611E-2</v>
      </c>
      <c r="EP149" s="8">
        <f t="shared" si="1388"/>
        <v>1.2667365086916875E-2</v>
      </c>
      <c r="EQ149" s="8">
        <f t="shared" si="1389"/>
        <v>1.2138747794167347E-2</v>
      </c>
      <c r="ER149" s="8">
        <f t="shared" si="1390"/>
        <v>1.1602958052386746E-2</v>
      </c>
      <c r="ES149" s="8">
        <f t="shared" si="1391"/>
        <v>1.1059950447896946E-2</v>
      </c>
      <c r="ET149" s="8">
        <f t="shared" si="1392"/>
        <v>1.0509679603468075E-2</v>
      </c>
      <c r="EU149" s="8">
        <f t="shared" si="1393"/>
        <v>9.9521001780328681E-3</v>
      </c>
      <c r="EV149" s="8">
        <f t="shared" si="1394"/>
        <v>9.3871668664052346E-3</v>
      </c>
      <c r="EW149" s="8">
        <f t="shared" si="1395"/>
        <v>8.8148343990029961E-3</v>
      </c>
      <c r="EX149" s="8">
        <f t="shared" si="1396"/>
        <v>8.2350575415746623E-3</v>
      </c>
      <c r="EY149" s="8">
        <f t="shared" si="1397"/>
        <v>7.6477910949300917E-3</v>
      </c>
      <c r="EZ149" s="8">
        <f t="shared" si="1398"/>
        <v>7.0529898946750935E-3</v>
      </c>
      <c r="FA149" s="8">
        <f t="shared" si="1399"/>
        <v>6.4506088109498273E-3</v>
      </c>
      <c r="FB149" s="8">
        <f t="shared" si="1400"/>
        <v>5.8406027481708294E-3</v>
      </c>
      <c r="FC149" s="8">
        <f t="shared" si="1401"/>
        <v>5.2229266447767391E-3</v>
      </c>
      <c r="FD149" s="8">
        <f t="shared" si="1402"/>
        <v>4.5975354729776074E-3</v>
      </c>
      <c r="FE149" s="8">
        <f t="shared" si="1403"/>
        <v>3.9643842385075744E-3</v>
      </c>
      <c r="FF149" s="8">
        <f t="shared" si="1404"/>
        <v>3.3234279803810844E-3</v>
      </c>
      <c r="FG149" s="8">
        <f t="shared" si="1405"/>
        <v>2.6746217706524159E-3</v>
      </c>
      <c r="FH149" s="8">
        <f t="shared" si="1406"/>
        <v>2.017920714178409E-3</v>
      </c>
      <c r="FI149" s="8">
        <f t="shared" si="1407"/>
        <v>1.3532799483844994E-3</v>
      </c>
      <c r="FJ149" s="8">
        <f t="shared" si="1408"/>
        <v>6.8065464303389777E-4</v>
      </c>
      <c r="FK149" s="8"/>
      <c r="FL149" s="8">
        <f t="shared" si="1409"/>
        <v>8.573336180952365E-2</v>
      </c>
      <c r="FM149" s="8">
        <f t="shared" si="1410"/>
        <v>7.8297335199322055E-2</v>
      </c>
      <c r="FN149" s="8">
        <f t="shared" si="1411"/>
        <v>5.8234096418907685E-2</v>
      </c>
      <c r="FO149" s="8">
        <f t="shared" si="1412"/>
        <v>2.6635784567145607E-2</v>
      </c>
      <c r="FP149" s="8">
        <f t="shared" si="1413"/>
        <v>1.5963320139928652E-2</v>
      </c>
      <c r="FQ149" s="8">
        <f t="shared" si="1414"/>
        <v>6.9206445530375693E-2</v>
      </c>
      <c r="FR149" s="8">
        <f t="shared" si="1415"/>
        <v>0.132827809786391</v>
      </c>
      <c r="FS149" s="8">
        <f t="shared" si="1416"/>
        <v>0.20661734850768773</v>
      </c>
      <c r="FT149" s="8">
        <f t="shared" si="1417"/>
        <v>0.29040283512414844</v>
      </c>
      <c r="FU149" s="8">
        <f t="shared" si="1418"/>
        <v>0.38403960096225326</v>
      </c>
      <c r="FV149" s="8">
        <f t="shared" si="1419"/>
        <v>0.48740411102466669</v>
      </c>
      <c r="FW149" s="8">
        <f t="shared" si="1420"/>
        <v>0.60038970432386629</v>
      </c>
      <c r="FX149" s="8">
        <f t="shared" si="1421"/>
        <v>0.72290364249522632</v>
      </c>
      <c r="FY149" s="8">
        <f t="shared" si="1422"/>
        <v>0.85486499517779235</v>
      </c>
      <c r="FZ149" s="8">
        <f t="shared" si="1423"/>
        <v>0.99620308517920153</v>
      </c>
      <c r="GA149" s="8">
        <f t="shared" si="1424"/>
        <v>1.1468563221180863</v>
      </c>
      <c r="GB149" s="8">
        <f t="shared" si="1425"/>
        <v>1.306771314051127</v>
      </c>
      <c r="GC149" s="8">
        <f t="shared" si="1426"/>
        <v>1.4759021832847787</v>
      </c>
      <c r="GD149" s="8">
        <f t="shared" si="1427"/>
        <v>1.6542100356077321</v>
      </c>
      <c r="GE149" s="8">
        <f t="shared" si="1428"/>
        <v>1.8416625471387249</v>
      </c>
      <c r="GF149" s="8">
        <f t="shared" si="1429"/>
        <v>2.038233642985511</v>
      </c>
      <c r="GG149" s="8">
        <f t="shared" si="1430"/>
        <v>2.2439032487701982</v>
      </c>
      <c r="GH149" s="8">
        <f t="shared" si="1431"/>
        <v>2.4586571008870792</v>
      </c>
      <c r="GI149" s="8">
        <f t="shared" si="1432"/>
        <v>2.6824866048023215</v>
      </c>
      <c r="GJ149" s="8">
        <f t="shared" si="1433"/>
        <v>2.9153887332133239</v>
      </c>
      <c r="GK149" s="8">
        <f t="shared" si="1434"/>
        <v>3.1573659577439854</v>
      </c>
      <c r="GL149" s="8">
        <f t="shared" si="1435"/>
        <v>3.408426209248649</v>
      </c>
      <c r="GM149" s="8">
        <f t="shared" si="1436"/>
        <v>3.6685828628633832</v>
      </c>
      <c r="GN149" s="8">
        <f t="shared" si="1437"/>
        <v>3.9378547447653269</v>
      </c>
      <c r="GO149" s="8">
        <f t="shared" si="1438"/>
        <v>4.2162661582450935</v>
      </c>
      <c r="GP149" s="8">
        <f t="shared" si="1439"/>
        <v>4.5038469272063333</v>
      </c>
      <c r="GQ149" s="8">
        <f t="shared" si="1440"/>
        <v>4.8006324556148137</v>
      </c>
      <c r="GR149" s="8">
        <f t="shared" si="1441"/>
        <v>5.106663801750317</v>
      </c>
      <c r="GS149" s="8">
        <f t="shared" si="1442"/>
        <v>5.4219877663859757</v>
      </c>
      <c r="GT149" s="8">
        <f t="shared" si="1443"/>
        <v>5.7466569942452557</v>
      </c>
      <c r="GU149" s="8">
        <f t="shared" si="1444"/>
        <v>6.0807300882762494</v>
      </c>
      <c r="GV149" s="8">
        <f t="shared" si="1445"/>
        <v>6.4242717364448136</v>
      </c>
      <c r="GW149" s="8">
        <f t="shared" si="1446"/>
        <v>6.7773528508882386</v>
      </c>
      <c r="GX149" s="8">
        <f t="shared" si="1447"/>
        <v>7.1400507193937086</v>
      </c>
      <c r="GY149" s="8">
        <f t="shared" si="1448"/>
        <v>7.5124491692758069</v>
      </c>
      <c r="GZ149" s="8">
        <f t="shared" si="1449"/>
        <v>7.8946387438267234</v>
      </c>
      <c r="HA149" s="8">
        <f t="shared" si="1450"/>
        <v>8.2867168916046463</v>
      </c>
      <c r="HB149" s="8">
        <f t="shared" si="1451"/>
        <v>8.6887881689121169</v>
      </c>
      <c r="HC149" s="8">
        <f t="shared" si="1452"/>
        <v>9.100964455898124</v>
      </c>
      <c r="HD149" s="8">
        <f t="shared" si="1453"/>
        <v>9.5233651867978999</v>
      </c>
      <c r="HE149" s="8">
        <f t="shared" si="1454"/>
        <v>9.9561175949019898</v>
      </c>
      <c r="HF149" s="8">
        <f t="shared" si="1455"/>
        <v>10.399356972925659</v>
      </c>
      <c r="HG149" s="8">
        <f t="shared" si="1456"/>
        <v>10.85322694952777</v>
      </c>
      <c r="HH149" s="8">
        <f t="shared" si="1457"/>
        <v>11.317879782810133</v>
      </c>
      <c r="HI149" s="8">
        <f t="shared" si="1458"/>
        <v>11.793476671711051</v>
      </c>
      <c r="HJ149" s="8">
        <f t="shared" si="1459"/>
        <v>12.280188086294771</v>
      </c>
      <c r="HK149" s="8">
        <f t="shared" si="1460"/>
        <v>12.778194118029274</v>
      </c>
      <c r="HL149" s="8">
        <f t="shared" si="1461"/>
        <v>13.287684851241368</v>
      </c>
      <c r="HM149" s="8">
        <f t="shared" si="1462"/>
        <v>13.808860757040884</v>
      </c>
      <c r="HN149" s="8">
        <f t="shared" si="1463"/>
        <v>14.341933111114335</v>
      </c>
      <c r="HO149" s="8">
        <f t="shared" si="1464"/>
        <v>14.887124436906422</v>
      </c>
      <c r="HP149" s="8">
        <f t="shared" si="1465"/>
        <v>15.444668975832348</v>
      </c>
      <c r="HQ149" s="8">
        <f t="shared" si="1466"/>
        <v>16.014813186299659</v>
      </c>
      <c r="HR149" s="8">
        <f t="shared" si="1467"/>
        <v>16.597816273466151</v>
      </c>
      <c r="HS149" s="8">
        <f t="shared" si="1468"/>
        <v>17.193950751815258</v>
      </c>
      <c r="HT149" s="8">
        <f t="shared" si="1469"/>
        <v>17.80350304280741</v>
      </c>
      <c r="HU149" s="8">
        <f t="shared" si="1470"/>
        <v>18.426774110046576</v>
      </c>
      <c r="HV149" s="8">
        <f t="shared" si="1471"/>
        <v>19.064080134610453</v>
      </c>
      <c r="HW149" s="8">
        <f t="shared" si="1472"/>
        <v>19.715753233409171</v>
      </c>
      <c r="HX149" s="8">
        <f t="shared" si="1473"/>
        <v>20.382142223683349</v>
      </c>
      <c r="HY149" s="8">
        <f t="shared" si="1474"/>
        <v>21.063613437014279</v>
      </c>
      <c r="HZ149" s="8">
        <f t="shared" si="1475"/>
        <v>21.760551586508925</v>
      </c>
      <c r="IA149" s="8">
        <f t="shared" si="1476"/>
        <v>22.473360691140218</v>
      </c>
      <c r="IB149" s="8">
        <f t="shared" si="1477"/>
        <v>23.202465061569207</v>
      </c>
      <c r="IC149" s="8">
        <f t="shared" si="1478"/>
        <v>23.948310352159883</v>
      </c>
      <c r="ID149" s="8">
        <f t="shared" si="1479"/>
        <v>24.711364684314837</v>
      </c>
      <c r="IE149" s="8">
        <f t="shared" si="1480"/>
        <v>25.492119846723092</v>
      </c>
      <c r="IF149" s="8">
        <f t="shared" si="1481"/>
        <v>26.29109257862206</v>
      </c>
      <c r="IG149" s="8">
        <f t="shared" si="1482"/>
        <v>27.108825942733631</v>
      </c>
      <c r="IH149" s="8">
        <f t="shared" si="1483"/>
        <v>27.945890795159272</v>
      </c>
      <c r="II149" s="8">
        <f t="shared" si="1484"/>
        <v>28.802887360201211</v>
      </c>
      <c r="IJ149" s="8">
        <f t="shared" si="1485"/>
        <v>29.680446918838204</v>
      </c>
      <c r="IK149" s="8">
        <f t="shared" si="1486"/>
        <v>30.579233620425789</v>
      </c>
      <c r="IL149" s="8">
        <f t="shared" si="1487"/>
        <v>31.499946428123209</v>
      </c>
      <c r="IM149" s="8">
        <f t="shared" si="1488"/>
        <v>32.443321209589691</v>
      </c>
      <c r="IN149" s="8">
        <f t="shared" si="1489"/>
        <v>33.410132985644253</v>
      </c>
      <c r="IO149" s="8">
        <f t="shared" si="1490"/>
        <v>34.401198350870558</v>
      </c>
      <c r="IP149" s="8">
        <f t="shared" si="1491"/>
        <v>35.417378081581965</v>
      </c>
      <c r="IQ149" s="8">
        <f t="shared" ref="IQ149" si="1571">CL154/CL149</f>
        <v>36.459579948163501</v>
      </c>
      <c r="IR149" s="8">
        <f t="shared" si="1492"/>
        <v>37.52876175059901</v>
      </c>
      <c r="IS149" s="8">
        <f t="shared" si="1493"/>
        <v>38.625934597997876</v>
      </c>
      <c r="IT149" s="8">
        <f t="shared" si="1494"/>
        <v>39.752166455185737</v>
      </c>
      <c r="IU149" s="8">
        <f t="shared" si="1495"/>
        <v>40.908585981951504</v>
      </c>
      <c r="IV149" s="8">
        <f t="shared" si="1496"/>
        <v>42.096386693387267</v>
      </c>
      <c r="IW149" s="8">
        <f t="shared" si="1497"/>
        <v>43.316831472959279</v>
      </c>
      <c r="IX149" s="8">
        <f t="shared" si="1498"/>
        <v>44.571257473568267</v>
      </c>
      <c r="IY149" s="8">
        <f t="shared" si="1499"/>
        <v>45.861081445940201</v>
      </c>
      <c r="IZ149" s="8">
        <f t="shared" si="1500"/>
        <v>47.187805538322436</v>
      </c>
      <c r="JA149" s="8">
        <f t="shared" si="1501"/>
        <v>48.553023616704898</v>
      </c>
      <c r="JB149" s="8">
        <f t="shared" si="1502"/>
        <v>49.958428160758139</v>
      </c>
      <c r="JC149" s="8">
        <f t="shared" si="1503"/>
        <v>51.40581779746806</v>
      </c>
      <c r="JD149" s="8">
        <f t="shared" si="1504"/>
        <v>52.89710554219743</v>
      </c>
      <c r="JE149" s="8">
        <f t="shared" si="1505"/>
        <v>54.434327825758274</v>
      </c>
      <c r="JF149" s="8">
        <f t="shared" si="1506"/>
        <v>56.019654396218222</v>
      </c>
      <c r="JG149" s="8">
        <f t="shared" si="1507"/>
        <v>57.65539919580133</v>
      </c>
      <c r="JH149" s="8">
        <f t="shared" si="1508"/>
        <v>59.344032326624387</v>
      </c>
      <c r="JI149" s="8">
        <f t="shared" si="1509"/>
        <v>61.088193234432104</v>
      </c>
      <c r="JJ149" s="8">
        <f t="shared" si="1510"/>
        <v>62.890705257312142</v>
      </c>
      <c r="JK149" s="8">
        <f t="shared" si="1511"/>
        <v>64.754591706995754</v>
      </c>
      <c r="JL149" s="8">
        <f t="shared" si="1512"/>
        <v>66.683093674300721</v>
      </c>
      <c r="JM149" s="8">
        <f t="shared" si="1513"/>
        <v>68.679689778126772</v>
      </c>
      <c r="JN149" s="8">
        <f t="shared" si="1514"/>
        <v>70.74811810992945</v>
      </c>
      <c r="JO149" s="8">
        <f t="shared" si="1515"/>
        <v>72.892400663614978</v>
      </c>
      <c r="JP149" s="8">
        <f t="shared" si="1516"/>
        <v>75.116870585414347</v>
      </c>
      <c r="JQ149" s="8">
        <f t="shared" si="1517"/>
        <v>77.42620263076769</v>
      </c>
      <c r="JR149" s="8">
        <f t="shared" si="1518"/>
        <v>79.825447277179293</v>
      </c>
      <c r="JS149" s="8">
        <f t="shared" si="1519"/>
        <v>82.320069015303375</v>
      </c>
      <c r="JT149" s="8">
        <f t="shared" si="1520"/>
        <v>84.915989427561641</v>
      </c>
      <c r="JU149" s="8">
        <f t="shared" si="1521"/>
        <v>87.619635767306036</v>
      </c>
      <c r="JV149" s="8">
        <f t="shared" si="1522"/>
        <v>90.437995875546093</v>
      </c>
      <c r="JW149" s="8">
        <f t="shared" si="1523"/>
        <v>93.378680421056615</v>
      </c>
      <c r="JX149" s="8">
        <f t="shared" si="1524"/>
        <v>96.449993628928226</v>
      </c>
      <c r="JY149" s="8">
        <f t="shared" si="1525"/>
        <v>99.661013879375915</v>
      </c>
      <c r="JZ149" s="8">
        <f t="shared" si="1526"/>
        <v>103.02168582182347</v>
      </c>
      <c r="KA149" s="8">
        <f t="shared" si="1527"/>
        <v>106.54292597026237</v>
      </c>
      <c r="KB149" s="8">
        <f t="shared" si="1528"/>
        <v>110.23674413908411</v>
      </c>
      <c r="KC149" s="8">
        <f t="shared" si="1529"/>
        <v>114.11638356252244</v>
      </c>
      <c r="KD149" s="8">
        <f t="shared" si="1530"/>
        <v>118.19648313939852</v>
      </c>
      <c r="KE149" s="8">
        <f t="shared" si="1531"/>
        <v>122.49326598900788</v>
      </c>
      <c r="KF149" s="8">
        <f t="shared" si="1532"/>
        <v>127.0247594341854</v>
      </c>
      <c r="KG149" s="8">
        <f t="shared" si="1533"/>
        <v>131.81105269695109</v>
      </c>
      <c r="KH149" s="8">
        <f t="shared" si="1534"/>
        <v>136.87460007106768</v>
      </c>
      <c r="KI149" s="8">
        <f t="shared" si="1535"/>
        <v>142.24057921810191</v>
      </c>
      <c r="KJ149" s="8">
        <f t="shared" si="1536"/>
        <v>147.93731664522593</v>
      </c>
      <c r="KK149" s="8">
        <f t="shared" si="1537"/>
        <v>153.99679553480317</v>
      </c>
      <c r="KL149" s="8">
        <f t="shared" si="1538"/>
        <v>160.45526514114465</v>
      </c>
      <c r="KM149" s="8">
        <f t="shared" si="1539"/>
        <v>167.35397627062474</v>
      </c>
      <c r="KN149" s="8">
        <f t="shared" si="1540"/>
        <v>174.74007436596099</v>
      </c>
      <c r="KO149" s="8">
        <f t="shared" si="1541"/>
        <v>182.66769105497235</v>
      </c>
      <c r="KP149" s="8">
        <f t="shared" si="1542"/>
        <v>191.19928759652822</v>
      </c>
      <c r="KQ149" s="8">
        <f t="shared" si="1543"/>
        <v>200.40732075486548</v>
      </c>
      <c r="KR149" s="8">
        <f t="shared" si="1544"/>
        <v>210.37632514385868</v>
      </c>
      <c r="KS149" s="8">
        <f t="shared" si="1545"/>
        <v>221.20553879292865</v>
      </c>
      <c r="KT149" s="8">
        <f t="shared" si="1546"/>
        <v>233.01224477780156</v>
      </c>
      <c r="KU149" s="8">
        <f t="shared" si="1547"/>
        <v>245.93606760438246</v>
      </c>
      <c r="KV149" s="8">
        <f t="shared" si="1548"/>
        <v>260.14455850927652</v>
      </c>
      <c r="KW149" s="8">
        <f t="shared" si="1549"/>
        <v>275.84054454097219</v>
      </c>
      <c r="KX149" s="8">
        <f t="shared" si="1550"/>
        <v>293.27192733632734</v>
      </c>
      <c r="KY149" s="8">
        <f t="shared" si="1551"/>
        <v>312.74494029040812</v>
      </c>
      <c r="KZ149" s="8">
        <f t="shared" si="1552"/>
        <v>334.6423771667134</v>
      </c>
      <c r="LA149" s="8">
        <f t="shared" si="1553"/>
        <v>359.44911215325988</v>
      </c>
      <c r="LB149" s="8">
        <f t="shared" si="1554"/>
        <v>387.7885570874268</v>
      </c>
      <c r="LC149" s="8">
        <f t="shared" si="1555"/>
        <v>420.47594509420287</v>
      </c>
      <c r="LD149" s="8">
        <f t="shared" si="1556"/>
        <v>458.59825604563332</v>
      </c>
      <c r="LE149" s="8">
        <f t="shared" si="1557"/>
        <v>503.63773772760413</v>
      </c>
      <c r="LF149" s="8">
        <f t="shared" si="1558"/>
        <v>557.66953970906536</v>
      </c>
      <c r="LG149" s="8">
        <f t="shared" si="1559"/>
        <v>623.69110312662224</v>
      </c>
      <c r="LH149" s="8">
        <f t="shared" si="1560"/>
        <v>706.19859281037805</v>
      </c>
      <c r="LI149" s="8">
        <f t="shared" si="1561"/>
        <v>812.25741409219552</v>
      </c>
      <c r="LJ149" s="8">
        <f t="shared" si="1562"/>
        <v>953.64324642581391</v>
      </c>
      <c r="LK149" s="8">
        <f t="shared" si="1563"/>
        <v>1151.5523173552378</v>
      </c>
      <c r="LL149" s="8">
        <f t="shared" si="1564"/>
        <v>1448.377087440809</v>
      </c>
      <c r="LM149" s="8">
        <f t="shared" ref="LM149" si="1572">FH154/FH149</f>
        <v>1943.0333050441254</v>
      </c>
      <c r="LN149" s="8">
        <f t="shared" si="1565"/>
        <v>2932.268225477299</v>
      </c>
      <c r="LO149" s="8">
        <f t="shared" si="1566"/>
        <v>5899.8181450668744</v>
      </c>
      <c r="LQ149" s="8">
        <f>0.00062</f>
        <v>6.2E-4</v>
      </c>
      <c r="LR149" s="8">
        <f t="shared" si="1567"/>
        <v>1.24E-3</v>
      </c>
      <c r="LS149" s="8">
        <f t="shared" si="1568"/>
        <v>0.77499999999999991</v>
      </c>
      <c r="LT149" s="8">
        <f t="shared" si="1569"/>
        <v>0.54794520547945202</v>
      </c>
      <c r="LU149" s="8">
        <f t="shared" si="1570"/>
        <v>-0.22705479452054789</v>
      </c>
    </row>
    <row r="150" spans="7:356" x14ac:dyDescent="0.25">
      <c r="G150" s="8"/>
      <c r="H150" s="8"/>
      <c r="I150" s="8"/>
      <c r="J150" s="8"/>
      <c r="K150" s="8"/>
      <c r="L150" s="8"/>
      <c r="M150" s="8"/>
      <c r="N150" s="8"/>
      <c r="O150" s="8"/>
      <c r="P150" s="8"/>
      <c r="Q150" s="8"/>
      <c r="R150" s="8"/>
      <c r="S150" s="8"/>
      <c r="T150" s="8"/>
      <c r="U150" s="8"/>
      <c r="V150" s="8"/>
      <c r="W150" s="8"/>
      <c r="X150" s="8"/>
      <c r="Y150" s="8"/>
      <c r="Z150" s="8"/>
      <c r="AA150" s="8"/>
      <c r="AB150" s="8"/>
      <c r="AC150" s="8"/>
      <c r="AD150" s="8"/>
      <c r="AE150" s="8"/>
      <c r="AF150" s="8"/>
      <c r="AG150" s="8"/>
      <c r="AH150" s="8"/>
      <c r="AI150" s="8"/>
      <c r="AJ150" s="8"/>
      <c r="AK150" s="8"/>
      <c r="AL150" s="8"/>
      <c r="AM150" s="8"/>
      <c r="AN150" s="8"/>
      <c r="AO150" s="8"/>
      <c r="AP150" s="8"/>
      <c r="AQ150" s="8"/>
      <c r="AR150" s="8"/>
      <c r="AS150" s="8"/>
      <c r="AT150" s="8"/>
      <c r="AU150" s="8"/>
      <c r="AV150" s="8"/>
      <c r="AW150" s="8"/>
      <c r="AX150" s="8"/>
      <c r="AY150" s="8"/>
      <c r="AZ150" s="8"/>
      <c r="BA150" s="8"/>
      <c r="BB150" s="8"/>
      <c r="BC150" s="8"/>
      <c r="BD150" s="8"/>
      <c r="BE150" s="8"/>
      <c r="BF150" s="8"/>
      <c r="BG150" s="8"/>
      <c r="BH150" s="8"/>
      <c r="BI150" s="8"/>
      <c r="BJ150" s="8"/>
      <c r="BK150" s="8"/>
      <c r="BL150" s="8"/>
      <c r="BM150" s="8"/>
      <c r="BN150" s="8"/>
      <c r="BO150" s="8"/>
      <c r="BP150" s="8"/>
      <c r="BQ150" s="8"/>
      <c r="BR150" s="8"/>
      <c r="BS150" s="8"/>
      <c r="BT150" s="8"/>
      <c r="BU150" s="8"/>
      <c r="BV150" s="8"/>
      <c r="BW150" s="8"/>
      <c r="BX150" s="8"/>
      <c r="BY150" s="8"/>
      <c r="BZ150" s="8"/>
      <c r="CA150" s="8"/>
      <c r="CB150" s="8"/>
      <c r="CC150" s="8"/>
      <c r="CD150" s="8"/>
      <c r="CE150" s="8"/>
      <c r="CF150" s="8"/>
      <c r="CG150" s="8"/>
      <c r="CH150" s="8"/>
      <c r="CI150" s="8"/>
      <c r="CJ150" s="8"/>
      <c r="CK150" s="8"/>
      <c r="CL150" s="8"/>
      <c r="CM150" s="8"/>
      <c r="CN150" s="8"/>
      <c r="CO150" s="8"/>
      <c r="CP150" s="8"/>
      <c r="CQ150" s="8"/>
      <c r="CR150" s="8"/>
      <c r="CS150" s="8"/>
      <c r="CT150" s="8"/>
      <c r="CU150" s="8"/>
      <c r="CV150" s="8"/>
      <c r="CW150" s="8"/>
      <c r="CX150" s="8"/>
      <c r="CY150" s="8"/>
      <c r="CZ150" s="8"/>
      <c r="DA150" s="8"/>
      <c r="DB150" s="8"/>
      <c r="DC150" s="8"/>
      <c r="DD150" s="8"/>
      <c r="DE150" s="8"/>
      <c r="DF150" s="8"/>
      <c r="DG150" s="8"/>
      <c r="DH150" s="8"/>
      <c r="DI150" s="8"/>
      <c r="DJ150" s="8"/>
      <c r="DK150" s="8"/>
      <c r="DL150" s="8"/>
      <c r="DM150" s="8"/>
      <c r="DN150" s="8"/>
      <c r="DO150" s="8"/>
      <c r="DP150" s="8"/>
      <c r="DQ150" s="8"/>
      <c r="DR150" s="8"/>
      <c r="DS150" s="8"/>
      <c r="DT150" s="8"/>
      <c r="DU150" s="8"/>
      <c r="DV150" s="8"/>
      <c r="DW150" s="8"/>
      <c r="DX150" s="8"/>
      <c r="DY150" s="8"/>
      <c r="DZ150" s="8"/>
      <c r="EA150" s="8"/>
      <c r="EB150" s="8"/>
      <c r="EC150" s="8"/>
      <c r="ED150" s="8"/>
      <c r="EE150" s="8"/>
      <c r="EF150" s="8"/>
      <c r="EG150" s="8"/>
      <c r="EH150" s="8"/>
      <c r="EI150" s="8"/>
      <c r="EJ150" s="8"/>
      <c r="EK150" s="8"/>
      <c r="EL150" s="8"/>
      <c r="EM150" s="8"/>
      <c r="EN150" s="8"/>
      <c r="EO150" s="8"/>
      <c r="EP150" s="8"/>
      <c r="EQ150" s="8"/>
      <c r="ER150" s="8"/>
      <c r="ES150" s="8"/>
      <c r="ET150" s="8"/>
      <c r="EU150" s="8"/>
      <c r="EV150" s="8"/>
      <c r="EW150" s="8"/>
      <c r="EX150" s="8"/>
      <c r="EY150" s="8"/>
      <c r="EZ150" s="8"/>
      <c r="FA150" s="8"/>
      <c r="FB150" s="8"/>
      <c r="FC150" s="8"/>
      <c r="FD150" s="8"/>
      <c r="FE150" s="8"/>
      <c r="FF150" s="8"/>
      <c r="FG150" s="8"/>
      <c r="FH150" s="8"/>
      <c r="FI150" s="8"/>
      <c r="FJ150" s="8"/>
      <c r="FK150" s="8"/>
      <c r="FL150" s="8"/>
      <c r="FM150" s="8"/>
    </row>
    <row r="151" spans="7:356" x14ac:dyDescent="0.25">
      <c r="G151" s="10" t="s">
        <v>136</v>
      </c>
      <c r="H151" s="8"/>
      <c r="I151" s="8"/>
      <c r="J151" s="8"/>
      <c r="K151" s="8"/>
      <c r="L151" s="8"/>
      <c r="M151" s="8"/>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c r="BC151" s="8"/>
      <c r="BD151" s="8"/>
      <c r="BE151" s="8"/>
      <c r="BF151" s="8"/>
      <c r="BG151" s="8"/>
      <c r="BH151" s="8"/>
      <c r="BI151" s="8"/>
      <c r="BJ151" s="8"/>
      <c r="BK151" s="8"/>
      <c r="BL151" s="8"/>
      <c r="BM151" s="8"/>
      <c r="BN151" s="8"/>
      <c r="BO151" s="8"/>
      <c r="BP151" s="8"/>
      <c r="BQ151" s="8"/>
      <c r="BR151" s="8"/>
      <c r="BS151" s="8"/>
      <c r="BT151" s="8"/>
      <c r="BU151" s="8"/>
      <c r="BV151" s="8"/>
      <c r="BW151" s="8"/>
      <c r="BX151" s="8"/>
      <c r="BY151" s="8"/>
      <c r="BZ151" s="8"/>
      <c r="CA151" s="8"/>
      <c r="CB151" s="8"/>
      <c r="CC151" s="8"/>
      <c r="CD151" s="8"/>
      <c r="CE151" s="8"/>
      <c r="CF151" s="8"/>
      <c r="CG151" s="8"/>
      <c r="CH151" s="8"/>
      <c r="CI151" s="8"/>
      <c r="CJ151" s="8"/>
      <c r="CK151" s="8"/>
      <c r="CL151" s="8"/>
      <c r="CM151" s="8"/>
      <c r="CN151" s="8"/>
      <c r="CO151" s="8"/>
      <c r="CP151" s="8"/>
      <c r="CQ151" s="8"/>
      <c r="CR151" s="8"/>
      <c r="CS151" s="8"/>
      <c r="CT151" s="8"/>
      <c r="CU151" s="8"/>
      <c r="CV151" s="8"/>
      <c r="CW151" s="8"/>
      <c r="CX151" s="8"/>
      <c r="CY151" s="8"/>
      <c r="CZ151" s="8"/>
      <c r="DA151" s="8"/>
      <c r="DB151" s="8"/>
      <c r="DC151" s="8"/>
      <c r="DD151" s="8"/>
      <c r="DE151" s="8"/>
      <c r="DF151" s="8"/>
      <c r="DG151" s="8"/>
      <c r="DH151" s="8"/>
      <c r="DI151" s="8"/>
      <c r="DJ151" s="8"/>
      <c r="DK151" s="8"/>
      <c r="DL151" s="8"/>
      <c r="DM151" s="8"/>
      <c r="DN151" s="8"/>
      <c r="DO151" s="8"/>
      <c r="DP151" s="8"/>
      <c r="DQ151" s="8"/>
      <c r="DR151" s="8"/>
      <c r="DS151" s="8"/>
      <c r="DT151" s="8"/>
      <c r="DU151" s="8"/>
      <c r="DV151" s="8"/>
      <c r="DW151" s="8"/>
      <c r="DX151" s="8"/>
      <c r="DY151" s="8"/>
      <c r="DZ151" s="8"/>
      <c r="EA151" s="8"/>
      <c r="EB151" s="8"/>
      <c r="EC151" s="8"/>
      <c r="ED151" s="8"/>
      <c r="EE151" s="8"/>
      <c r="EF151" s="8"/>
      <c r="EG151" s="8"/>
      <c r="EH151" s="8"/>
      <c r="EI151" s="8"/>
      <c r="EJ151" s="8"/>
      <c r="EK151" s="8"/>
      <c r="EL151" s="8"/>
      <c r="EM151" s="8"/>
      <c r="EN151" s="8"/>
      <c r="EO151" s="8"/>
      <c r="EP151" s="8"/>
      <c r="EQ151" s="8"/>
      <c r="ER151" s="8"/>
      <c r="ES151" s="8"/>
      <c r="ET151" s="8"/>
      <c r="EU151" s="8"/>
      <c r="EV151" s="8"/>
      <c r="EW151" s="8"/>
      <c r="EX151" s="8"/>
      <c r="EY151" s="8"/>
      <c r="EZ151" s="8"/>
      <c r="FA151" s="8"/>
      <c r="FB151" s="8"/>
      <c r="FC151" s="8"/>
      <c r="FD151" s="8"/>
      <c r="FE151" s="8"/>
      <c r="FF151" s="8"/>
      <c r="FG151" s="8"/>
      <c r="FH151" s="8"/>
      <c r="FI151" s="8"/>
      <c r="FJ151" s="8"/>
      <c r="FK151" s="8"/>
      <c r="FL151" s="8"/>
      <c r="FM151" s="8"/>
    </row>
    <row r="152" spans="7:356" x14ac:dyDescent="0.25">
      <c r="G152" s="8">
        <f>ABS(($A$99*2/($G2*$F$5))*$B$98*$F$98*(1-(B$103^$F$98)/(($F$5/2)^$E$98)))</f>
        <v>1.138708726415094E-2</v>
      </c>
      <c r="H152" s="8">
        <f t="shared" ref="H152:BS152" si="1573">ABS(($A$99*2/($G2*$F$5))*$B$98*$F$98*(1-(C$103^$F$98)/(($F$5/2)^$E$98)))</f>
        <v>1.0399431248150891E-2</v>
      </c>
      <c r="I152" s="8">
        <f t="shared" si="1573"/>
        <v>7.7346157515735892E-3</v>
      </c>
      <c r="J152" s="8">
        <f t="shared" si="1573"/>
        <v>3.5377227803027687E-3</v>
      </c>
      <c r="K152" s="8">
        <f t="shared" si="1573"/>
        <v>2.1201945567177706E-3</v>
      </c>
      <c r="L152" s="8">
        <f t="shared" si="1573"/>
        <v>9.1915703930182703E-3</v>
      </c>
      <c r="M152" s="8">
        <f t="shared" si="1573"/>
        <v>1.764081283937087E-2</v>
      </c>
      <c r="N152" s="8">
        <f t="shared" si="1573"/>
        <v>2.7439598176882657E-2</v>
      </c>
      <c r="O152" s="8">
        <f t="shared" si="1573"/>
        <v>3.856447609783889E-2</v>
      </c>
      <c r="P152" s="8">
        <f t="shared" si="1573"/>
        <v>5.0995485010175756E-2</v>
      </c>
      <c r="Q152" s="8">
        <f t="shared" si="1573"/>
        <v>6.4715279999603553E-2</v>
      </c>
      <c r="R152" s="8">
        <f t="shared" si="1573"/>
        <v>7.97085487246917E-2</v>
      </c>
      <c r="S152" s="8">
        <f t="shared" si="1573"/>
        <v>9.5961601429554413E-2</v>
      </c>
      <c r="T152" s="8">
        <f t="shared" si="1573"/>
        <v>0.11346207237636176</v>
      </c>
      <c r="U152" s="8">
        <f t="shared" si="1573"/>
        <v>0.13219869584636262</v>
      </c>
      <c r="V152" s="8">
        <f t="shared" si="1573"/>
        <v>0.15216113390058003</v>
      </c>
      <c r="W152" s="8">
        <f t="shared" si="1573"/>
        <v>0.17333984117321027</v>
      </c>
      <c r="X152" s="8">
        <f t="shared" si="1573"/>
        <v>0.19572595684754068</v>
      </c>
      <c r="Y152" s="8">
        <f t="shared" si="1573"/>
        <v>0.21931121702609963</v>
      </c>
      <c r="Z152" s="8">
        <f t="shared" si="1573"/>
        <v>0.24408788269506007</v>
      </c>
      <c r="AA152" s="8">
        <f t="shared" si="1573"/>
        <v>0.27004867981221503</v>
      </c>
      <c r="AB152" s="8">
        <f t="shared" si="1573"/>
        <v>0.29718674895938879</v>
      </c>
      <c r="AC152" s="8">
        <f t="shared" si="1573"/>
        <v>0.3254956026392396</v>
      </c>
      <c r="AD152" s="8">
        <f t="shared" si="1573"/>
        <v>0.35496908875353</v>
      </c>
      <c r="AE152" s="8">
        <f t="shared" si="1573"/>
        <v>0.385601359132628</v>
      </c>
      <c r="AF152" s="8">
        <f t="shared" si="1573"/>
        <v>0.41738684223211309</v>
      </c>
      <c r="AG152" s="8">
        <f t="shared" si="1573"/>
        <v>0.45032021929689353</v>
      </c>
      <c r="AH152" s="8">
        <f t="shared" si="1573"/>
        <v>0.48439640343365248</v>
      </c>
      <c r="AI152" s="8">
        <f t="shared" si="1573"/>
        <v>0.51961052114026629</v>
      </c>
      <c r="AJ152" s="8">
        <f t="shared" si="1573"/>
        <v>0.55595789592484446</v>
      </c>
      <c r="AK152" s="8">
        <f t="shared" si="1573"/>
        <v>0.59343403371290204</v>
      </c>
      <c r="AL152" s="8">
        <f t="shared" si="1573"/>
        <v>0.63203460979344095</v>
      </c>
      <c r="AM152" s="8">
        <f t="shared" si="1573"/>
        <v>0.67175545709649931</v>
      </c>
      <c r="AN152" s="8">
        <f t="shared" si="1573"/>
        <v>0.71259255562838486</v>
      </c>
      <c r="AO152" s="8">
        <f t="shared" si="1573"/>
        <v>0.7545420229181633</v>
      </c>
      <c r="AP152" s="8">
        <f t="shared" si="1573"/>
        <v>0.79760010535128278</v>
      </c>
      <c r="AQ152" s="8">
        <f t="shared" si="1573"/>
        <v>0.84176317028462666</v>
      </c>
      <c r="AR152" s="8">
        <f t="shared" si="1573"/>
        <v>0.88702769885252186</v>
      </c>
      <c r="AS152" s="8">
        <f t="shared" si="1573"/>
        <v>0.93339027938586527</v>
      </c>
      <c r="AT152" s="8">
        <f t="shared" si="1573"/>
        <v>0.98084760137716454</v>
      </c>
      <c r="AU152" s="8">
        <f t="shared" si="1573"/>
        <v>1.0293964499332067</v>
      </c>
      <c r="AV152" s="8">
        <f t="shared" si="1573"/>
        <v>1.0790337006645967</v>
      </c>
      <c r="AW152" s="8">
        <f t="shared" si="1573"/>
        <v>1.12975631496784</v>
      </c>
      <c r="AX152" s="8">
        <f t="shared" si="1573"/>
        <v>1.1815613356610646</v>
      </c>
      <c r="AY152" s="8">
        <f t="shared" si="1573"/>
        <v>1.2344458829392182</v>
      </c>
      <c r="AZ152" s="8">
        <f t="shared" si="1573"/>
        <v>1.2884071506184855</v>
      </c>
      <c r="BA152" s="8">
        <f t="shared" si="1573"/>
        <v>1.3434424026432836</v>
      </c>
      <c r="BB152" s="8">
        <f t="shared" si="1573"/>
        <v>1.3995489698320498</v>
      </c>
      <c r="BC152" s="8">
        <f t="shared" si="1573"/>
        <v>1.4567242468407673</v>
      </c>
      <c r="BD152" s="8">
        <f t="shared" si="1573"/>
        <v>1.5149656893253232</v>
      </c>
      <c r="BE152" s="8">
        <f t="shared" si="1573"/>
        <v>1.5742708112859061</v>
      </c>
      <c r="BF152" s="8">
        <f t="shared" si="1573"/>
        <v>1.6346371825783013</v>
      </c>
      <c r="BG152" s="8">
        <f t="shared" si="1573"/>
        <v>1.6960624265784852</v>
      </c>
      <c r="BH152" s="8">
        <f t="shared" si="1573"/>
        <v>1.7585442179883126</v>
      </c>
      <c r="BI152" s="8">
        <f t="shared" si="1573"/>
        <v>1.8220802807712002</v>
      </c>
      <c r="BJ152" s="8">
        <f t="shared" si="1573"/>
        <v>1.8866683862078963</v>
      </c>
      <c r="BK152" s="8">
        <f t="shared" si="1573"/>
        <v>1.9523063510632115</v>
      </c>
      <c r="BL152" s="8">
        <f t="shared" si="1573"/>
        <v>2.018992035855474</v>
      </c>
      <c r="BM152" s="8">
        <f t="shared" si="1573"/>
        <v>2.0867233432213816</v>
      </c>
      <c r="BN152" s="8">
        <f t="shared" si="1573"/>
        <v>2.1554982163691645</v>
      </c>
      <c r="BO152" s="8">
        <f t="shared" si="1573"/>
        <v>2.2253146376142032</v>
      </c>
      <c r="BP152" s="8">
        <f t="shared" si="1573"/>
        <v>2.2961706269910276</v>
      </c>
      <c r="BQ152" s="8">
        <f t="shared" si="1573"/>
        <v>2.3680642409368566</v>
      </c>
      <c r="BR152" s="8">
        <f t="shared" si="1573"/>
        <v>2.4409935710415995</v>
      </c>
      <c r="BS152" s="8">
        <f t="shared" si="1573"/>
        <v>2.5149567428601665</v>
      </c>
      <c r="BT152" s="8">
        <f t="shared" ref="BT152:EE152" si="1574">ABS(($A$99*2/($G2*$F$5))*$B$98*$F$98*(1-(BO$103^$F$98)/(($F$5/2)^$E$98)))</f>
        <v>2.5899519147829539</v>
      </c>
      <c r="BU152" s="8">
        <f t="shared" si="1574"/>
        <v>2.6659772769607906</v>
      </c>
      <c r="BV152" s="8">
        <f t="shared" si="1574"/>
        <v>2.7430310502809871</v>
      </c>
      <c r="BW152" s="8">
        <f t="shared" si="1574"/>
        <v>2.821111485391222</v>
      </c>
      <c r="BX152" s="8">
        <f t="shared" si="1574"/>
        <v>2.9002168617685102</v>
      </c>
      <c r="BY152" s="8">
        <f t="shared" si="1574"/>
        <v>2.9803454868304122</v>
      </c>
      <c r="BZ152" s="8">
        <f t="shared" si="1574"/>
        <v>3.06149569508599</v>
      </c>
      <c r="CA152" s="8">
        <f t="shared" si="1574"/>
        <v>3.1436658473243524</v>
      </c>
      <c r="CB152" s="8">
        <f t="shared" si="1574"/>
        <v>3.2268543298383681</v>
      </c>
      <c r="CC152" s="8">
        <f t="shared" si="1574"/>
        <v>3.3110595536818028</v>
      </c>
      <c r="CD152" s="8">
        <f t="shared" si="1574"/>
        <v>3.3962799539578534</v>
      </c>
      <c r="CE152" s="8">
        <f t="shared" si="1574"/>
        <v>3.4825139891373915</v>
      </c>
      <c r="CF152" s="8">
        <f t="shared" si="1574"/>
        <v>3.569760140405362</v>
      </c>
      <c r="CG152" s="8">
        <f t="shared" si="1574"/>
        <v>3.6580169110336618</v>
      </c>
      <c r="CH152" s="8">
        <f t="shared" si="1574"/>
        <v>3.7472828257792847</v>
      </c>
      <c r="CI152" s="8">
        <f t="shared" si="1574"/>
        <v>3.8375564303062988</v>
      </c>
      <c r="CJ152" s="8">
        <f t="shared" si="1574"/>
        <v>3.9288362906304202</v>
      </c>
      <c r="CK152" s="8">
        <f t="shared" si="1574"/>
        <v>4.0211209925850868</v>
      </c>
      <c r="CL152" s="8">
        <f t="shared" si="1574"/>
        <v>4.1144091413079025</v>
      </c>
      <c r="CM152" s="8">
        <f t="shared" si="1574"/>
        <v>4.2086993607464454</v>
      </c>
      <c r="CN152" s="8">
        <f t="shared" si="1574"/>
        <v>4.3039902931825056</v>
      </c>
      <c r="CO152" s="8">
        <f t="shared" si="1574"/>
        <v>4.4002805987738371</v>
      </c>
      <c r="CP152" s="8">
        <f t="shared" si="1574"/>
        <v>4.4975689551125591</v>
      </c>
      <c r="CQ152" s="8">
        <f t="shared" si="1574"/>
        <v>4.5958540567995199</v>
      </c>
      <c r="CR152" s="8">
        <f t="shared" si="1574"/>
        <v>4.6951346150336803</v>
      </c>
      <c r="CS152" s="8">
        <f t="shared" si="1574"/>
        <v>4.7954093572160597</v>
      </c>
      <c r="CT152" s="8">
        <f t="shared" si="1574"/>
        <v>4.8966770265673167</v>
      </c>
      <c r="CU152" s="8">
        <f t="shared" si="1574"/>
        <v>4.9989363817586527</v>
      </c>
      <c r="CV152" s="8">
        <f t="shared" si="1574"/>
        <v>5.1021861965550679</v>
      </c>
      <c r="CW152" s="8">
        <f t="shared" si="1574"/>
        <v>5.2064252594707838</v>
      </c>
      <c r="CX152" s="8">
        <f t="shared" si="1574"/>
        <v>5.311652373436031</v>
      </c>
      <c r="CY152" s="8">
        <f t="shared" si="1574"/>
        <v>5.4178663554748496</v>
      </c>
      <c r="CZ152" s="8">
        <f t="shared" si="1574"/>
        <v>5.5250660363934028</v>
      </c>
      <c r="DA152" s="8">
        <f t="shared" si="1574"/>
        <v>5.6332502604783024</v>
      </c>
      <c r="DB152" s="8">
        <f t="shared" si="1574"/>
        <v>5.7424178852045831</v>
      </c>
      <c r="DC152" s="8">
        <f t="shared" si="1574"/>
        <v>5.8525677809529038</v>
      </c>
      <c r="DD152" s="8">
        <f t="shared" si="1574"/>
        <v>5.9636988307355807</v>
      </c>
      <c r="DE152" s="8">
        <f t="shared" si="1574"/>
        <v>6.0758099299311468</v>
      </c>
      <c r="DF152" s="8">
        <f t="shared" si="1574"/>
        <v>6.188899986026942</v>
      </c>
      <c r="DG152" s="8">
        <f t="shared" si="1574"/>
        <v>6.3029679183696903</v>
      </c>
      <c r="DH152" s="8">
        <f t="shared" si="1574"/>
        <v>6.4180126579233558</v>
      </c>
      <c r="DI152" s="8">
        <f t="shared" si="1574"/>
        <v>6.5340331470344566</v>
      </c>
      <c r="DJ152" s="8">
        <f t="shared" si="1574"/>
        <v>6.6510283392040641</v>
      </c>
      <c r="DK152" s="8">
        <f t="shared" si="1574"/>
        <v>6.7689971988666482</v>
      </c>
      <c r="DL152" s="8">
        <f t="shared" si="1574"/>
        <v>6.8879387011752398</v>
      </c>
      <c r="DM152" s="8">
        <f t="shared" si="1574"/>
        <v>7.0078518317927001</v>
      </c>
      <c r="DN152" s="8">
        <f t="shared" si="1574"/>
        <v>7.1287355866890643</v>
      </c>
      <c r="DO152" s="8">
        <f t="shared" si="1574"/>
        <v>7.2505889719445067</v>
      </c>
      <c r="DP152" s="8">
        <f t="shared" si="1574"/>
        <v>7.3734110035577469</v>
      </c>
      <c r="DQ152" s="8">
        <f t="shared" si="1574"/>
        <v>7.4972007072599043</v>
      </c>
      <c r="DR152" s="8">
        <f t="shared" si="1574"/>
        <v>7.6219571183333441</v>
      </c>
      <c r="DS152" s="8">
        <f t="shared" si="1574"/>
        <v>7.7476792814354285</v>
      </c>
      <c r="DT152" s="8">
        <f t="shared" si="1574"/>
        <v>7.8743662504271468</v>
      </c>
      <c r="DU152" s="8">
        <f t="shared" si="1574"/>
        <v>8.0020170882062018</v>
      </c>
      <c r="DV152" s="8">
        <f t="shared" si="1574"/>
        <v>8.1306308665445428</v>
      </c>
      <c r="DW152" s="8">
        <f t="shared" si="1574"/>
        <v>8.260206665930184</v>
      </c>
      <c r="DX152" s="8">
        <f t="shared" si="1574"/>
        <v>8.3907435754131399</v>
      </c>
      <c r="DY152" s="8">
        <f t="shared" si="1574"/>
        <v>8.5222406924554051</v>
      </c>
      <c r="DZ152" s="8">
        <f t="shared" si="1574"/>
        <v>8.6546971227845528</v>
      </c>
      <c r="EA152" s="8">
        <f t="shared" si="1574"/>
        <v>8.7881119802513634</v>
      </c>
      <c r="EB152" s="8">
        <f t="shared" si="1574"/>
        <v>8.9224843866908063</v>
      </c>
      <c r="EC152" s="8">
        <f t="shared" si="1574"/>
        <v>9.0578134717865595</v>
      </c>
      <c r="ED152" s="8">
        <f t="shared" si="1574"/>
        <v>9.1940983729389583</v>
      </c>
      <c r="EE152" s="8">
        <f t="shared" si="1574"/>
        <v>9.3313382351361014</v>
      </c>
      <c r="EF152" s="8">
        <f t="shared" ref="EF152:FI152" si="1575">ABS(($A$99*2/($G2*$F$5))*$B$98*$F$98*(1-(EA$103^$F$98)/(($F$5/2)^$E$98)))</f>
        <v>9.4695322108281843</v>
      </c>
      <c r="EG152" s="8">
        <f t="shared" si="1575"/>
        <v>9.6086794598047565</v>
      </c>
      <c r="EH152" s="8">
        <f t="shared" si="1575"/>
        <v>9.7487791490750819</v>
      </c>
      <c r="EI152" s="8">
        <f t="shared" si="1575"/>
        <v>9.8898304527512177</v>
      </c>
      <c r="EJ152" s="8">
        <f t="shared" si="1575"/>
        <v>10.031832551933912</v>
      </c>
      <c r="EK152" s="8">
        <f t="shared" si="1575"/>
        <v>10.174784634601286</v>
      </c>
      <c r="EL152" s="8">
        <f t="shared" si="1575"/>
        <v>10.318685895499863</v>
      </c>
      <c r="EM152" s="8">
        <f t="shared" si="1575"/>
        <v>10.463535536038359</v>
      </c>
      <c r="EN152" s="8">
        <f t="shared" si="1575"/>
        <v>10.609332764183863</v>
      </c>
      <c r="EO152" s="8">
        <f t="shared" si="1575"/>
        <v>10.756076794360181</v>
      </c>
      <c r="EP152" s="8">
        <f t="shared" si="1575"/>
        <v>10.903766847348839</v>
      </c>
      <c r="EQ152" s="8">
        <f t="shared" si="1575"/>
        <v>11.052402150191917</v>
      </c>
      <c r="ER152" s="8">
        <f t="shared" si="1575"/>
        <v>11.201981936097463</v>
      </c>
      <c r="ES152" s="8">
        <f t="shared" si="1575"/>
        <v>11.35250544434655</v>
      </c>
      <c r="ET152" s="8">
        <f t="shared" si="1575"/>
        <v>11.503971920202801</v>
      </c>
      <c r="EU152" s="8">
        <f t="shared" si="1575"/>
        <v>11.656380614823668</v>
      </c>
      <c r="EV152" s="8">
        <f t="shared" si="1575"/>
        <v>11.80973078517351</v>
      </c>
      <c r="EW152" s="8">
        <f t="shared" si="1575"/>
        <v>11.964021693938953</v>
      </c>
      <c r="EX152" s="8">
        <f t="shared" si="1575"/>
        <v>12.119252609445621</v>
      </c>
      <c r="EY152" s="8">
        <f t="shared" si="1575"/>
        <v>12.275422805576925</v>
      </c>
      <c r="EZ152" s="8">
        <f t="shared" si="1575"/>
        <v>12.432531561694359</v>
      </c>
      <c r="FA152" s="8">
        <f t="shared" si="1575"/>
        <v>12.590578162559709</v>
      </c>
      <c r="FB152" s="8">
        <f t="shared" si="1575"/>
        <v>12.74956189825866</v>
      </c>
      <c r="FC152" s="8">
        <f t="shared" si="1575"/>
        <v>12.909482064126069</v>
      </c>
      <c r="FD152" s="8">
        <f t="shared" si="1575"/>
        <v>13.070337960672754</v>
      </c>
      <c r="FE152" s="8">
        <f t="shared" si="1575"/>
        <v>13.23212889351392</v>
      </c>
      <c r="FF152" s="8">
        <f t="shared" si="1575"/>
        <v>13.394854173298764</v>
      </c>
      <c r="FG152" s="8">
        <f t="shared" si="1575"/>
        <v>13.558513115641638</v>
      </c>
      <c r="FH152" s="8">
        <f t="shared" si="1575"/>
        <v>13.723105041054765</v>
      </c>
      <c r="FI152" s="8">
        <f t="shared" si="1575"/>
        <v>13.888629274881994</v>
      </c>
      <c r="FJ152" s="8">
        <f>ABS(($A$99*2/($G2*$F$5))*$B$98*$F$98*(1-(FE$103^$F$98)/(($F$5/2)^$E$98)))</f>
        <v>14.055085147233923</v>
      </c>
      <c r="FK152" s="8"/>
      <c r="FL152" s="8"/>
      <c r="FM152" s="8"/>
    </row>
    <row r="153" spans="7:356" x14ac:dyDescent="0.25">
      <c r="G153" s="8">
        <f t="shared" ref="G153:G154" si="1576">ABS(($A$99*2/($G3*$F$5))*$B$98*$F$98*(1-(B$103^$F$98)/(($F$5/2)^$E$98)))</f>
        <v>5.0609276729559746E-3</v>
      </c>
      <c r="H153" s="8">
        <f t="shared" ref="H153:H154" si="1577">ABS(($A$99*2/($G3*$F$5))*$B$98*$F$98*(1-(C$103^$F$98)/(($F$5/2)^$E$98)))</f>
        <v>4.6219694436226196E-3</v>
      </c>
      <c r="I153" s="8">
        <f t="shared" ref="I153:I154" si="1578">ABS(($A$99*2/($G3*$F$5))*$B$98*$F$98*(1-(D$103^$F$98)/(($F$5/2)^$E$98)))</f>
        <v>3.4376070006993738E-3</v>
      </c>
      <c r="J153" s="8">
        <f t="shared" ref="J153:J154" si="1579">ABS(($A$99*2/($G3*$F$5))*$B$98*$F$98*(1-(E$103^$F$98)/(($F$5/2)^$E$98)))</f>
        <v>1.5723212356901198E-3</v>
      </c>
      <c r="K153" s="8">
        <f t="shared" ref="K153:K154" si="1580">ABS(($A$99*2/($G3*$F$5))*$B$98*$F$98*(1-(F$103^$F$98)/(($F$5/2)^$E$98)))</f>
        <v>9.4230869187456501E-4</v>
      </c>
      <c r="L153" s="8">
        <f t="shared" ref="L153:L154" si="1581">ABS(($A$99*2/($G3*$F$5))*$B$98*$F$98*(1-(G$103^$F$98)/(($F$5/2)^$E$98)))</f>
        <v>4.0851423968970109E-3</v>
      </c>
      <c r="M153" s="8">
        <f t="shared" ref="M153:M154" si="1582">ABS(($A$99*2/($G3*$F$5))*$B$98*$F$98*(1-(H$103^$F$98)/(($F$5/2)^$E$98)))</f>
        <v>7.8403612619426123E-3</v>
      </c>
      <c r="N153" s="8">
        <f t="shared" ref="N153:N154" si="1583">ABS(($A$99*2/($G3*$F$5))*$B$98*$F$98*(1-(I$103^$F$98)/(($F$5/2)^$E$98)))</f>
        <v>1.2195376967503406E-2</v>
      </c>
      <c r="O153" s="8">
        <f t="shared" ref="O153:O154" si="1584">ABS(($A$99*2/($G3*$F$5))*$B$98*$F$98*(1-(J$103^$F$98)/(($F$5/2)^$E$98)))</f>
        <v>1.7139767154595066E-2</v>
      </c>
      <c r="P153" s="8">
        <f t="shared" ref="P153:P154" si="1585">ABS(($A$99*2/($G3*$F$5))*$B$98*$F$98*(1-(K$103^$F$98)/(($F$5/2)^$E$98)))</f>
        <v>2.2664660004522566E-2</v>
      </c>
      <c r="Q153" s="8">
        <f t="shared" ref="Q153:Q154" si="1586">ABS(($A$99*2/($G3*$F$5))*$B$98*$F$98*(1-(L$103^$F$98)/(($F$5/2)^$E$98)))</f>
        <v>2.8762346666490475E-2</v>
      </c>
      <c r="R153" s="8">
        <f t="shared" ref="R153:R154" si="1587">ABS(($A$99*2/($G3*$F$5))*$B$98*$F$98*(1-(M$103^$F$98)/(($F$5/2)^$E$98)))</f>
        <v>3.5426021655418541E-2</v>
      </c>
      <c r="S153" s="8">
        <f t="shared" ref="S153:S154" si="1588">ABS(($A$99*2/($G3*$F$5))*$B$98*$F$98*(1-(N$103^$F$98)/(($F$5/2)^$E$98)))</f>
        <v>4.2649600635357526E-2</v>
      </c>
      <c r="T153" s="8">
        <f t="shared" ref="T153:T154" si="1589">ABS(($A$99*2/($G3*$F$5))*$B$98*$F$98*(1-(O$103^$F$98)/(($F$5/2)^$E$98)))</f>
        <v>5.0427587722827467E-2</v>
      </c>
      <c r="U153" s="8">
        <f t="shared" ref="U153:U154" si="1590">ABS(($A$99*2/($G3*$F$5))*$B$98*$F$98*(1-(P$103^$F$98)/(($F$5/2)^$E$98)))</f>
        <v>5.8754975931716739E-2</v>
      </c>
      <c r="V153" s="8">
        <f t="shared" ref="V153:V154" si="1591">ABS(($A$99*2/($G3*$F$5))*$B$98*$F$98*(1-(Q$103^$F$98)/(($F$5/2)^$E$98)))</f>
        <v>6.7627170622480026E-2</v>
      </c>
      <c r="W153" s="8">
        <f t="shared" ref="W153:W154" si="1592">ABS(($A$99*2/($G3*$F$5))*$B$98*$F$98*(1-(R$103^$F$98)/(($F$5/2)^$E$98)))</f>
        <v>7.7039929410315705E-2</v>
      </c>
      <c r="X153" s="8">
        <f t="shared" ref="X153:X154" si="1593">ABS(($A$99*2/($G3*$F$5))*$B$98*$F$98*(1-(S$103^$F$98)/(($F$5/2)^$E$98)))</f>
        <v>8.6989314154462552E-2</v>
      </c>
      <c r="Y153" s="8">
        <f t="shared" ref="Y153:Y154" si="1594">ABS(($A$99*2/($G3*$F$5))*$B$98*$F$98*(1-(T$103^$F$98)/(($F$5/2)^$E$98)))</f>
        <v>9.7471652011599866E-2</v>
      </c>
      <c r="Z153" s="8">
        <f t="shared" ref="Z153:Z154" si="1595">ABS(($A$99*2/($G3*$F$5))*$B$98*$F$98*(1-(U$103^$F$98)/(($F$5/2)^$E$98)))</f>
        <v>0.10848350342002673</v>
      </c>
      <c r="AA153" s="8">
        <f t="shared" ref="AA153:AA154" si="1596">ABS(($A$99*2/($G3*$F$5))*$B$98*$F$98*(1-(V$103^$F$98)/(($F$5/2)^$E$98)))</f>
        <v>0.1200216354720956</v>
      </c>
      <c r="AB153" s="8">
        <f t="shared" ref="AB153:AB154" si="1597">ABS(($A$99*2/($G3*$F$5))*$B$98*$F$98*(1-(W$103^$F$98)/(($F$5/2)^$E$98)))</f>
        <v>0.13208299953750616</v>
      </c>
      <c r="AC153" s="8">
        <f t="shared" ref="AC153:AC154" si="1598">ABS(($A$99*2/($G3*$F$5))*$B$98*$F$98*(1-(X$103^$F$98)/(($F$5/2)^$E$98)))</f>
        <v>0.14466471228410652</v>
      </c>
      <c r="AD153" s="8">
        <f t="shared" ref="AD153:AD154" si="1599">ABS(($A$99*2/($G3*$F$5))*$B$98*$F$98*(1-(Y$103^$F$98)/(($F$5/2)^$E$98)))</f>
        <v>0.15776403944601339</v>
      </c>
      <c r="AE153" s="8">
        <f t="shared" ref="AE153:AE154" si="1600">ABS(($A$99*2/($G3*$F$5))*$B$98*$F$98*(1-(Z$103^$F$98)/(($F$5/2)^$E$98)))</f>
        <v>0.1713783818367236</v>
      </c>
      <c r="AF153" s="8">
        <f t="shared" ref="AF153:AF154" si="1601">ABS(($A$99*2/($G3*$F$5))*$B$98*$F$98*(1-(AA$103^$F$98)/(($F$5/2)^$E$98)))</f>
        <v>0.18550526321427255</v>
      </c>
      <c r="AG153" s="8">
        <f t="shared" ref="AG153:AG154" si="1602">ABS(($A$99*2/($G3*$F$5))*$B$98*$F$98*(1-(AB$103^$F$98)/(($F$5/2)^$E$98)))</f>
        <v>0.20014231968750831</v>
      </c>
      <c r="AH153" s="8">
        <f t="shared" ref="AH153:AH154" si="1603">ABS(($A$99*2/($G3*$F$5))*$B$98*$F$98*(1-(AC$103^$F$98)/(($F$5/2)^$E$98)))</f>
        <v>0.2152872904149567</v>
      </c>
      <c r="AI153" s="8">
        <f t="shared" ref="AI153:AI154" si="1604">ABS(($A$99*2/($G3*$F$5))*$B$98*$F$98*(1-(AD$103^$F$98)/(($F$5/2)^$E$98)))</f>
        <v>0.23093800939567397</v>
      </c>
      <c r="AJ153" s="8">
        <f t="shared" ref="AJ153:AJ154" si="1605">ABS(($A$99*2/($G3*$F$5))*$B$98*$F$98*(1-(AE$103^$F$98)/(($F$5/2)^$E$98)))</f>
        <v>0.24709239818881984</v>
      </c>
      <c r="AK153" s="8">
        <f t="shared" ref="AK153:AK154" si="1606">ABS(($A$99*2/($G3*$F$5))*$B$98*$F$98*(1-(AF$103^$F$98)/(($F$5/2)^$E$98)))</f>
        <v>0.26374845942795655</v>
      </c>
      <c r="AL153" s="8">
        <f t="shared" ref="AL153:AL154" si="1607">ABS(($A$99*2/($G3*$F$5))*$B$98*$F$98*(1-(AG$103^$F$98)/(($F$5/2)^$E$98)))</f>
        <v>0.28090427101930715</v>
      </c>
      <c r="AM153" s="8">
        <f t="shared" ref="AM153:AM154" si="1608">ABS(($A$99*2/($G3*$F$5))*$B$98*$F$98*(1-(AH$103^$F$98)/(($F$5/2)^$E$98)))</f>
        <v>0.29855798093177754</v>
      </c>
      <c r="AN153" s="8">
        <f t="shared" ref="AN153:AN154" si="1609">ABS(($A$99*2/($G3*$F$5))*$B$98*$F$98*(1-(AI$103^$F$98)/(($F$5/2)^$E$98)))</f>
        <v>0.31670780250150443</v>
      </c>
      <c r="AO153" s="8">
        <f t="shared" ref="AO153:AO154" si="1610">ABS(($A$99*2/($G3*$F$5))*$B$98*$F$98*(1-(AJ$103^$F$98)/(($F$5/2)^$E$98)))</f>
        <v>0.33535201018585048</v>
      </c>
      <c r="AP153" s="8">
        <f t="shared" ref="AP153:AP154" si="1611">ABS(($A$99*2/($G3*$F$5))*$B$98*$F$98*(1-(AK$103^$F$98)/(($F$5/2)^$E$98)))</f>
        <v>0.35448893571168133</v>
      </c>
      <c r="AQ153" s="8">
        <f t="shared" ref="AQ153:AQ154" si="1612">ABS(($A$99*2/($G3*$F$5))*$B$98*$F$98*(1-(AL$103^$F$98)/(($F$5/2)^$E$98)))</f>
        <v>0.37411696457094529</v>
      </c>
      <c r="AR153" s="8">
        <f t="shared" ref="AR153:AR154" si="1613">ABS(($A$99*2/($G3*$F$5))*$B$98*$F$98*(1-(AM$103^$F$98)/(($F$5/2)^$E$98)))</f>
        <v>0.39423453282334314</v>
      </c>
      <c r="AS153" s="8">
        <f t="shared" ref="AS153:AS154" si="1614">ABS(($A$99*2/($G3*$F$5))*$B$98*$F$98*(1-(AN$103^$F$98)/(($F$5/2)^$E$98)))</f>
        <v>0.41484012417149579</v>
      </c>
      <c r="AT153" s="8">
        <f t="shared" ref="AT153:AT154" si="1615">ABS(($A$99*2/($G3*$F$5))*$B$98*$F$98*(1-(AO$103^$F$98)/(($F$5/2)^$E$98)))</f>
        <v>0.43593226727873996</v>
      </c>
      <c r="AU153" s="8">
        <f t="shared" ref="AU153:AU154" si="1616">ABS(($A$99*2/($G3*$F$5))*$B$98*$F$98*(1-(AP$103^$F$98)/(($F$5/2)^$E$98)))</f>
        <v>0.45750953330364758</v>
      </c>
      <c r="AV153" s="8">
        <f t="shared" ref="AV153:AV154" si="1617">ABS(($A$99*2/($G3*$F$5))*$B$98*$F$98*(1-(AQ$103^$F$98)/(($F$5/2)^$E$98)))</f>
        <v>0.47957053362870977</v>
      </c>
      <c r="AW153" s="8">
        <f t="shared" ref="AW153:AW154" si="1618">ABS(($A$99*2/($G3*$F$5))*$B$98*$F$98*(1-(AR$103^$F$98)/(($F$5/2)^$E$98)))</f>
        <v>0.50211391776348457</v>
      </c>
      <c r="AX153" s="8">
        <f t="shared" ref="AX153:AX154" si="1619">ABS(($A$99*2/($G3*$F$5))*$B$98*$F$98*(1-(AS$103^$F$98)/(($F$5/2)^$E$98)))</f>
        <v>0.5251383714049177</v>
      </c>
      <c r="AY153" s="8">
        <f t="shared" ref="AY153:AY154" si="1620">ABS(($A$99*2/($G3*$F$5))*$B$98*$F$98*(1-(AT$103^$F$98)/(($F$5/2)^$E$98)))</f>
        <v>0.54864261463965269</v>
      </c>
      <c r="AZ153" s="8">
        <f t="shared" ref="AZ153:AZ154" si="1621">ABS(($A$99*2/($G3*$F$5))*$B$98*$F$98*(1-(AU$103^$F$98)/(($F$5/2)^$E$98)))</f>
        <v>0.57262540027488262</v>
      </c>
      <c r="BA153" s="8">
        <f t="shared" ref="BA153:BA154" si="1622">ABS(($A$99*2/($G3*$F$5))*$B$98*$F$98*(1-(AV$103^$F$98)/(($F$5/2)^$E$98)))</f>
        <v>0.59708551228590401</v>
      </c>
      <c r="BB153" s="8">
        <f t="shared" ref="BB153:BB154" si="1623">ABS(($A$99*2/($G3*$F$5))*$B$98*$F$98*(1-(AW$103^$F$98)/(($F$5/2)^$E$98)))</f>
        <v>0.62202176436980006</v>
      </c>
      <c r="BC153" s="8">
        <f t="shared" ref="BC153:BC154" si="1624">ABS(($A$99*2/($G3*$F$5))*$B$98*$F$98*(1-(AX$103^$F$98)/(($F$5/2)^$E$98)))</f>
        <v>0.64743299859589676</v>
      </c>
      <c r="BD153" s="8">
        <f t="shared" ref="BD153:BD154" si="1625">ABS(($A$99*2/($G3*$F$5))*$B$98*$F$98*(1-(AY$103^$F$98)/(($F$5/2)^$E$98)))</f>
        <v>0.67331808414458827</v>
      </c>
      <c r="BE153" s="8">
        <f t="shared" ref="BE153:BE154" si="1626">ABS(($A$99*2/($G3*$F$5))*$B$98*$F$98*(1-(AZ$103^$F$98)/(($F$5/2)^$E$98)))</f>
        <v>0.69967591612706947</v>
      </c>
      <c r="BF153" s="8">
        <f t="shared" ref="BF153:BF154" si="1627">ABS(($A$99*2/($G3*$F$5))*$B$98*$F$98*(1-(BA$103^$F$98)/(($F$5/2)^$E$98)))</f>
        <v>0.72650541447924522</v>
      </c>
      <c r="BG153" s="8">
        <f t="shared" ref="BG153:BG154" si="1628">ABS(($A$99*2/($G3*$F$5))*$B$98*$F$98*(1-(BB$103^$F$98)/(($F$5/2)^$E$98)))</f>
        <v>0.75380552292377145</v>
      </c>
      <c r="BH153" s="8">
        <f t="shared" ref="BH153:BH154" si="1629">ABS(($A$99*2/($G3*$F$5))*$B$98*$F$98*(1-(BC$103^$F$98)/(($F$5/2)^$E$98)))</f>
        <v>0.78157520799480584</v>
      </c>
      <c r="BI153" s="8">
        <f t="shared" ref="BI153:BI154" si="1630">ABS(($A$99*2/($G3*$F$5))*$B$98*$F$98*(1-(BD$103^$F$98)/(($F$5/2)^$E$98)))</f>
        <v>0.80981345812053374</v>
      </c>
      <c r="BJ153" s="8">
        <f t="shared" ref="BJ153:BJ154" si="1631">ABS(($A$99*2/($G3*$F$5))*$B$98*$F$98*(1-(BE$103^$F$98)/(($F$5/2)^$E$98)))</f>
        <v>0.83851928275906529</v>
      </c>
      <c r="BK153" s="8">
        <f t="shared" ref="BK153:BK154" si="1632">ABS(($A$99*2/($G3*$F$5))*$B$98*$F$98*(1-(BF$103^$F$98)/(($F$5/2)^$E$98)))</f>
        <v>0.86769171158364977</v>
      </c>
      <c r="BL153" s="8">
        <f t="shared" ref="BL153:BL154" si="1633">ABS(($A$99*2/($G3*$F$5))*$B$98*$F$98*(1-(BG$103^$F$98)/(($F$5/2)^$E$98)))</f>
        <v>0.89732979371354427</v>
      </c>
      <c r="BM153" s="8">
        <f t="shared" ref="BM153:BM154" si="1634">ABS(($A$99*2/($G3*$F$5))*$B$98*$F$98*(1-(BH$103^$F$98)/(($F$5/2)^$E$98)))</f>
        <v>0.92743259698728087</v>
      </c>
      <c r="BN153" s="8">
        <f t="shared" ref="BN153:BN154" si="1635">ABS(($A$99*2/($G3*$F$5))*$B$98*$F$98*(1-(BI$103^$F$98)/(($F$5/2)^$E$98)))</f>
        <v>0.95799920727518451</v>
      </c>
      <c r="BO153" s="8">
        <f t="shared" ref="BO153:BO154" si="1636">ABS(($A$99*2/($G3*$F$5))*$B$98*$F$98*(1-(BJ$103^$F$98)/(($F$5/2)^$E$98)))</f>
        <v>0.98902872782853501</v>
      </c>
      <c r="BP153" s="8">
        <f t="shared" ref="BP153:BP154" si="1637">ABS(($A$99*2/($G3*$F$5))*$B$98*$F$98*(1-(BK$103^$F$98)/(($F$5/2)^$E$98)))</f>
        <v>1.0205202786626792</v>
      </c>
      <c r="BQ153" s="8">
        <f t="shared" ref="BQ153:BQ154" si="1638">ABS(($A$99*2/($G3*$F$5))*$B$98*$F$98*(1-(BL$103^$F$98)/(($F$5/2)^$E$98)))</f>
        <v>1.0524729959719366</v>
      </c>
      <c r="BR153" s="8">
        <f t="shared" ref="BR153:BR154" si="1639">ABS(($A$99*2/($G3*$F$5))*$B$98*$F$98*(1-(BM$103^$F$98)/(($F$5/2)^$E$98)))</f>
        <v>1.0848860315740445</v>
      </c>
      <c r="BS153" s="8">
        <f t="shared" ref="BS153:BS154" si="1640">ABS(($A$99*2/($G3*$F$5))*$B$98*$F$98*(1-(BN$103^$F$98)/(($F$5/2)^$E$98)))</f>
        <v>1.1177585523822966</v>
      </c>
      <c r="BT153" s="8">
        <f t="shared" ref="BT153:BT154" si="1641">ABS(($A$99*2/($G3*$F$5))*$B$98*$F$98*(1-(BO$103^$F$98)/(($F$5/2)^$E$98)))</f>
        <v>1.1510897399035354</v>
      </c>
      <c r="BU153" s="8">
        <f t="shared" ref="BU153:BU154" si="1642">ABS(($A$99*2/($G3*$F$5))*$B$98*$F$98*(1-(BP$103^$F$98)/(($F$5/2)^$E$98)))</f>
        <v>1.1848787897603519</v>
      </c>
      <c r="BV153" s="8">
        <f t="shared" ref="BV153:BV154" si="1643">ABS(($A$99*2/($G3*$F$5))*$B$98*$F$98*(1-(BQ$103^$F$98)/(($F$5/2)^$E$98)))</f>
        <v>1.2191249112359945</v>
      </c>
      <c r="BW153" s="8">
        <f t="shared" ref="BW153:BW154" si="1644">ABS(($A$99*2/($G3*$F$5))*$B$98*$F$98*(1-(BR$103^$F$98)/(($F$5/2)^$E$98)))</f>
        <v>1.2538273268405435</v>
      </c>
      <c r="BX153" s="8">
        <f t="shared" ref="BX153:BX154" si="1645">ABS(($A$99*2/($G3*$F$5))*$B$98*$F$98*(1-(BS$103^$F$98)/(($F$5/2)^$E$98)))</f>
        <v>1.288985271897116</v>
      </c>
      <c r="BY153" s="8">
        <f t="shared" ref="BY153:BY154" si="1646">ABS(($A$99*2/($G3*$F$5))*$B$98*$F$98*(1-(BT$103^$F$98)/(($F$5/2)^$E$98)))</f>
        <v>1.3245979941468502</v>
      </c>
      <c r="BZ153" s="8">
        <f t="shared" ref="BZ153:BZ154" si="1647">ABS(($A$99*2/($G3*$F$5))*$B$98*$F$98*(1-(BU$103^$F$98)/(($F$5/2)^$E$98)))</f>
        <v>1.3606647533715515</v>
      </c>
      <c r="CA153" s="8">
        <f t="shared" ref="CA153:CA154" si="1648">ABS(($A$99*2/($G3*$F$5))*$B$98*$F$98*(1-(BV$103^$F$98)/(($F$5/2)^$E$98)))</f>
        <v>1.397184821033046</v>
      </c>
      <c r="CB153" s="8">
        <f t="shared" ref="CB153:CB154" si="1649">ABS(($A$99*2/($G3*$F$5))*$B$98*$F$98*(1-(BW$103^$F$98)/(($F$5/2)^$E$98)))</f>
        <v>1.434157479928164</v>
      </c>
      <c r="CC153" s="8">
        <f t="shared" ref="CC153:CC154" si="1650">ABS(($A$99*2/($G3*$F$5))*$B$98*$F$98*(1-(BX$103^$F$98)/(($F$5/2)^$E$98)))</f>
        <v>1.4715820238585795</v>
      </c>
      <c r="CD153" s="8">
        <f t="shared" ref="CD153:CD154" si="1651">ABS(($A$99*2/($G3*$F$5))*$B$98*$F$98*(1-(BY$103^$F$98)/(($F$5/2)^$E$98)))</f>
        <v>1.509457757314602</v>
      </c>
      <c r="CE153" s="8">
        <f t="shared" ref="CE153:CE154" si="1652">ABS(($A$99*2/($G3*$F$5))*$B$98*$F$98*(1-(BZ$103^$F$98)/(($F$5/2)^$E$98)))</f>
        <v>1.5477839951721744</v>
      </c>
      <c r="CF153" s="8">
        <f t="shared" ref="CF153:CF154" si="1653">ABS(($A$99*2/($G3*$F$5))*$B$98*$F$98*(1-(CA$103^$F$98)/(($F$5/2)^$E$98)))</f>
        <v>1.5865600624023837</v>
      </c>
      <c r="CG153" s="8">
        <f t="shared" ref="CG153:CG154" si="1654">ABS(($A$99*2/($G3*$F$5))*$B$98*$F$98*(1-(CB$103^$F$98)/(($F$5/2)^$E$98)))</f>
        <v>1.6257852937927391</v>
      </c>
      <c r="CH153" s="8">
        <f t="shared" ref="CH153:CH154" si="1655">ABS(($A$99*2/($G3*$F$5))*$B$98*$F$98*(1-(CC$103^$F$98)/(($F$5/2)^$E$98)))</f>
        <v>1.6654590336796826</v>
      </c>
      <c r="CI153" s="8">
        <f t="shared" ref="CI153:CI154" si="1656">ABS(($A$99*2/($G3*$F$5))*$B$98*$F$98*(1-(CD$103^$F$98)/(($F$5/2)^$E$98)))</f>
        <v>1.7055806356916889</v>
      </c>
      <c r="CJ153" s="8">
        <f t="shared" ref="CJ153:CJ154" si="1657">ABS(($A$99*2/($G3*$F$5))*$B$98*$F$98*(1-(CE$103^$F$98)/(($F$5/2)^$E$98)))</f>
        <v>1.7461494625024094</v>
      </c>
      <c r="CK153" s="8">
        <f t="shared" ref="CK153:CK154" si="1658">ABS(($A$99*2/($G3*$F$5))*$B$98*$F$98*(1-(CF$103^$F$98)/(($F$5/2)^$E$98)))</f>
        <v>1.7871648855933726</v>
      </c>
      <c r="CL153" s="8">
        <f t="shared" ref="CL153:CL154" si="1659">ABS(($A$99*2/($G3*$F$5))*$B$98*$F$98*(1-(CG$103^$F$98)/(($F$5/2)^$E$98)))</f>
        <v>1.8286262850257349</v>
      </c>
      <c r="CM153" s="8">
        <f t="shared" ref="CM153:CM154" si="1660">ABS(($A$99*2/($G3*$F$5))*$B$98*$F$98*(1-(CH$103^$F$98)/(($F$5/2)^$E$98)))</f>
        <v>1.8705330492206429</v>
      </c>
      <c r="CN153" s="8">
        <f t="shared" ref="CN153:CN154" si="1661">ABS(($A$99*2/($G3*$F$5))*$B$98*$F$98*(1-(CI$103^$F$98)/(($F$5/2)^$E$98)))</f>
        <v>1.9128845747477807</v>
      </c>
      <c r="CO153" s="8">
        <f t="shared" ref="CO153:CO154" si="1662">ABS(($A$99*2/($G3*$F$5))*$B$98*$F$98*(1-(CJ$103^$F$98)/(($F$5/2)^$E$98)))</f>
        <v>1.9556802661217059</v>
      </c>
      <c r="CP153" s="8">
        <f t="shared" ref="CP153:CP154" si="1663">ABS(($A$99*2/($G3*$F$5))*$B$98*$F$98*(1-(CK$103^$F$98)/(($F$5/2)^$E$98)))</f>
        <v>1.9989195356055822</v>
      </c>
      <c r="CQ153" s="8">
        <f t="shared" ref="CQ153:CQ154" si="1664">ABS(($A$99*2/($G3*$F$5))*$B$98*$F$98*(1-(CL$103^$F$98)/(($F$5/2)^$E$98)))</f>
        <v>2.0426018030220092</v>
      </c>
      <c r="CR153" s="8">
        <f t="shared" ref="CR153:CR154" si="1665">ABS(($A$99*2/($G3*$F$5))*$B$98*$F$98*(1-(CM$103^$F$98)/(($F$5/2)^$E$98)))</f>
        <v>2.0867264955705256</v>
      </c>
      <c r="CS153" s="8">
        <f t="shared" ref="CS153:CS154" si="1666">ABS(($A$99*2/($G3*$F$5))*$B$98*$F$98*(1-(CN$103^$F$98)/(($F$5/2)^$E$98)))</f>
        <v>2.131293047651583</v>
      </c>
      <c r="CT153" s="8">
        <f t="shared" ref="CT153:CT154" si="1667">ABS(($A$99*2/($G3*$F$5))*$B$98*$F$98*(1-(CO$103^$F$98)/(($F$5/2)^$E$98)))</f>
        <v>2.1763009006965861</v>
      </c>
      <c r="CU153" s="8">
        <f t="shared" ref="CU153:CU154" si="1668">ABS(($A$99*2/($G3*$F$5))*$B$98*$F$98*(1-(CP$103^$F$98)/(($F$5/2)^$E$98)))</f>
        <v>2.2217495030038461</v>
      </c>
      <c r="CV153" s="8">
        <f t="shared" ref="CV153:CV154" si="1669">ABS(($A$99*2/($G3*$F$5))*$B$98*$F$98*(1-(CQ$103^$F$98)/(($F$5/2)^$E$98)))</f>
        <v>2.2676383095800308</v>
      </c>
      <c r="CW153" s="8">
        <f t="shared" ref="CW153:CW154" si="1670">ABS(($A$99*2/($G3*$F$5))*$B$98*$F$98*(1-(CR$103^$F$98)/(($F$5/2)^$E$98)))</f>
        <v>2.3139667819870158</v>
      </c>
      <c r="CX153" s="8">
        <f t="shared" ref="CX153:CX154" si="1671">ABS(($A$99*2/($G3*$F$5))*$B$98*$F$98*(1-(CS$103^$F$98)/(($F$5/2)^$E$98)))</f>
        <v>2.3607343881937921</v>
      </c>
      <c r="CY153" s="8">
        <f t="shared" ref="CY153:CY154" si="1672">ABS(($A$99*2/($G3*$F$5))*$B$98*$F$98*(1-(CT$103^$F$98)/(($F$5/2)^$E$98)))</f>
        <v>2.4079406024332672</v>
      </c>
      <c r="CZ153" s="8">
        <f t="shared" ref="CZ153:CZ154" si="1673">ABS(($A$99*2/($G3*$F$5))*$B$98*$F$98*(1-(CU$103^$F$98)/(($F$5/2)^$E$98)))</f>
        <v>2.4555849050637351</v>
      </c>
      <c r="DA153" s="8">
        <f t="shared" ref="DA153:DA154" si="1674">ABS(($A$99*2/($G3*$F$5))*$B$98*$F$98*(1-(CV$103^$F$98)/(($F$5/2)^$E$98)))</f>
        <v>2.5036667824348018</v>
      </c>
      <c r="DB153" s="8">
        <f t="shared" ref="DB153:DB154" si="1675">ABS(($A$99*2/($G3*$F$5))*$B$98*$F$98*(1-(CW$103^$F$98)/(($F$5/2)^$E$98)))</f>
        <v>2.5521857267575929</v>
      </c>
      <c r="DC153" s="8">
        <f t="shared" ref="DC153:DC154" si="1676">ABS(($A$99*2/($G3*$F$5))*$B$98*$F$98*(1-(CX$103^$F$98)/(($F$5/2)^$E$98)))</f>
        <v>2.6011412359790693</v>
      </c>
      <c r="DD153" s="8">
        <f t="shared" ref="DD153:DD154" si="1677">ABS(($A$99*2/($G3*$F$5))*$B$98*$F$98*(1-(CY$103^$F$98)/(($F$5/2)^$E$98)))</f>
        <v>2.6505328136602588</v>
      </c>
      <c r="DE153" s="8">
        <f t="shared" ref="DE153:DE154" si="1678">ABS(($A$99*2/($G3*$F$5))*$B$98*$F$98*(1-(CZ$103^$F$98)/(($F$5/2)^$E$98)))</f>
        <v>2.7003599688582884</v>
      </c>
      <c r="DF153" s="8">
        <f t="shared" ref="DF153:DF154" si="1679">ABS(($A$99*2/($G3*$F$5))*$B$98*$F$98*(1-(DA$103^$F$98)/(($F$5/2)^$E$98)))</f>
        <v>2.7506222160119749</v>
      </c>
      <c r="DG153" s="8">
        <f t="shared" ref="DG153:DG154" si="1680">ABS(($A$99*2/($G3*$F$5))*$B$98*$F$98*(1-(DB$103^$F$98)/(($F$5/2)^$E$98)))</f>
        <v>2.8013190748309742</v>
      </c>
      <c r="DH153" s="8">
        <f t="shared" ref="DH153:DH154" si="1681">ABS(($A$99*2/($G3*$F$5))*$B$98*$F$98*(1-(DC$103^$F$98)/(($F$5/2)^$E$98)))</f>
        <v>2.852450070188159</v>
      </c>
      <c r="DI153" s="8">
        <f t="shared" ref="DI153:DI154" si="1682">ABS(($A$99*2/($G3*$F$5))*$B$98*$F$98*(1-(DD$103^$F$98)/(($F$5/2)^$E$98)))</f>
        <v>2.9040147320153147</v>
      </c>
      <c r="DJ153" s="8">
        <f t="shared" ref="DJ153:DJ154" si="1683">ABS(($A$99*2/($G3*$F$5))*$B$98*$F$98*(1-(DE$103^$F$98)/(($F$5/2)^$E$98)))</f>
        <v>2.9560125952018068</v>
      </c>
      <c r="DK153" s="8">
        <f t="shared" ref="DK153:DK154" si="1684">ABS(($A$99*2/($G3*$F$5))*$B$98*$F$98*(1-(DF$103^$F$98)/(($F$5/2)^$E$98)))</f>
        <v>3.008443199496289</v>
      </c>
      <c r="DL153" s="8">
        <f t="shared" ref="DL153:DL154" si="1685">ABS(($A$99*2/($G3*$F$5))*$B$98*$F$98*(1-(DG$103^$F$98)/(($F$5/2)^$E$98)))</f>
        <v>3.0613060894112185</v>
      </c>
      <c r="DM153" s="8">
        <f t="shared" ref="DM153:DM154" si="1686">ABS(($A$99*2/($G3*$F$5))*$B$98*$F$98*(1-(DH$103^$F$98)/(($F$5/2)^$E$98)))</f>
        <v>3.1146008141300898</v>
      </c>
      <c r="DN153" s="8">
        <f t="shared" ref="DN153:DN154" si="1687">ABS(($A$99*2/($G3*$F$5))*$B$98*$F$98*(1-(DI$103^$F$98)/(($F$5/2)^$E$98)))</f>
        <v>3.1683269274173629</v>
      </c>
      <c r="DO153" s="8">
        <f t="shared" ref="DO153:DO154" si="1688">ABS(($A$99*2/($G3*$F$5))*$B$98*$F$98*(1-(DJ$103^$F$98)/(($F$5/2)^$E$98)))</f>
        <v>3.2224839875308926</v>
      </c>
      <c r="DP153" s="8">
        <f t="shared" ref="DP153:DP154" si="1689">ABS(($A$99*2/($G3*$F$5))*$B$98*$F$98*(1-(DK$103^$F$98)/(($F$5/2)^$E$98)))</f>
        <v>3.2770715571367774</v>
      </c>
      <c r="DQ153" s="8">
        <f t="shared" ref="DQ153:DQ154" si="1690">ABS(($A$99*2/($G3*$F$5))*$B$98*$F$98*(1-(DL$103^$F$98)/(($F$5/2)^$E$98)))</f>
        <v>3.3320892032266252</v>
      </c>
      <c r="DR153" s="8">
        <f t="shared" ref="DR153:DR154" si="1691">ABS(($A$99*2/($G3*$F$5))*$B$98*$F$98*(1-(DM$103^$F$98)/(($F$5/2)^$E$98)))</f>
        <v>3.3875364970370425</v>
      </c>
      <c r="DS153" s="8">
        <f t="shared" ref="DS153:DS154" si="1692">ABS(($A$99*2/($G3*$F$5))*$B$98*$F$98*(1-(DN$103^$F$98)/(($F$5/2)^$E$98)))</f>
        <v>3.4434130139713024</v>
      </c>
      <c r="DT153" s="8">
        <f t="shared" ref="DT153:DT154" si="1693">ABS(($A$99*2/($G3*$F$5))*$B$98*$F$98*(1-(DO$103^$F$98)/(($F$5/2)^$E$98)))</f>
        <v>3.4997183335231772</v>
      </c>
      <c r="DU153" s="8">
        <f t="shared" ref="DU153:DU154" si="1694">ABS(($A$99*2/($G3*$F$5))*$B$98*$F$98*(1-(DP$103^$F$98)/(($F$5/2)^$E$98)))</f>
        <v>3.5564520392027572</v>
      </c>
      <c r="DV153" s="8">
        <f t="shared" ref="DV153:DV154" si="1695">ABS(($A$99*2/($G3*$F$5))*$B$98*$F$98*(1-(DQ$103^$F$98)/(($F$5/2)^$E$98)))</f>
        <v>3.6136137184642423</v>
      </c>
      <c r="DW153" s="8">
        <f t="shared" ref="DW153:DW154" si="1696">ABS(($A$99*2/($G3*$F$5))*$B$98*$F$98*(1-(DR$103^$F$98)/(($F$5/2)^$E$98)))</f>
        <v>3.6712029626356388</v>
      </c>
      <c r="DX153" s="8">
        <f t="shared" ref="DX153:DX154" si="1697">ABS(($A$99*2/($G3*$F$5))*$B$98*$F$98*(1-(DS$103^$F$98)/(($F$5/2)^$E$98)))</f>
        <v>3.7292193668502858</v>
      </c>
      <c r="DY153" s="8">
        <f t="shared" ref="DY153:DY154" si="1698">ABS(($A$99*2/($G3*$F$5))*$B$98*$F$98*(1-(DT$103^$F$98)/(($F$5/2)^$E$98)))</f>
        <v>3.7876625299801812</v>
      </c>
      <c r="DZ153" s="8">
        <f t="shared" ref="DZ153:DZ154" si="1699">ABS(($A$99*2/($G3*$F$5))*$B$98*$F$98*(1-(DU$103^$F$98)/(($F$5/2)^$E$98)))</f>
        <v>3.8465320545709139</v>
      </c>
      <c r="EA153" s="8">
        <f t="shared" ref="EA153:EA154" si="1700">ABS(($A$99*2/($G3*$F$5))*$B$98*$F$98*(1-(DV$103^$F$98)/(($F$5/2)^$E$98)))</f>
        <v>3.9058275467783847</v>
      </c>
      <c r="EB153" s="8">
        <f t="shared" ref="EB153:EB154" si="1701">ABS(($A$99*2/($G3*$F$5))*$B$98*$F$98*(1-(DW$103^$F$98)/(($F$5/2)^$E$98)))</f>
        <v>3.9655486163070264</v>
      </c>
      <c r="EC153" s="8">
        <f t="shared" ref="EC153:EC154" si="1702">ABS(($A$99*2/($G3*$F$5))*$B$98*$F$98*(1-(DX$103^$F$98)/(($F$5/2)^$E$98)))</f>
        <v>4.0256948763495828</v>
      </c>
      <c r="ED153" s="8">
        <f t="shared" ref="ED153:ED154" si="1703">ABS(($A$99*2/($G3*$F$5))*$B$98*$F$98*(1-(DY$103^$F$98)/(($F$5/2)^$E$98)))</f>
        <v>4.086265943528427</v>
      </c>
      <c r="EE153" s="8">
        <f t="shared" ref="EE153:EE154" si="1704">ABS(($A$99*2/($G3*$F$5))*$B$98*$F$98*(1-(DZ$103^$F$98)/(($F$5/2)^$E$98)))</f>
        <v>4.1472614378382682</v>
      </c>
      <c r="EF153" s="8">
        <f t="shared" ref="EF153:EF154" si="1705">ABS(($A$99*2/($G3*$F$5))*$B$98*$F$98*(1-(EA$103^$F$98)/(($F$5/2)^$E$98)))</f>
        <v>4.2086809825903053</v>
      </c>
      <c r="EG153" s="8">
        <f t="shared" ref="EG153:EG154" si="1706">ABS(($A$99*2/($G3*$F$5))*$B$98*$F$98*(1-(EB$103^$F$98)/(($F$5/2)^$E$98)))</f>
        <v>4.2705242043576712</v>
      </c>
      <c r="EH153" s="8">
        <f t="shared" ref="EH153:EH154" si="1707">ABS(($A$99*2/($G3*$F$5))*$B$98*$F$98*(1-(EC$103^$F$98)/(($F$5/2)^$E$98)))</f>
        <v>4.3327907329222599</v>
      </c>
      <c r="EI153" s="8">
        <f t="shared" ref="EI153:EI154" si="1708">ABS(($A$99*2/($G3*$F$5))*$B$98*$F$98*(1-(ED$103^$F$98)/(($F$5/2)^$E$98)))</f>
        <v>4.3954802012227647</v>
      </c>
      <c r="EJ153" s="8">
        <f t="shared" ref="EJ153:EJ154" si="1709">ABS(($A$99*2/($G3*$F$5))*$B$98*$F$98*(1-(EE$103^$F$98)/(($F$5/2)^$E$98)))</f>
        <v>4.4585922453039624</v>
      </c>
      <c r="EK153" s="8">
        <f t="shared" ref="EK153:EK154" si="1710">ABS(($A$99*2/($G3*$F$5))*$B$98*$F$98*(1-(EF$103^$F$98)/(($F$5/2)^$E$98)))</f>
        <v>4.5221265042672396</v>
      </c>
      <c r="EL153" s="8">
        <f t="shared" ref="EL153:EL154" si="1711">ABS(($A$99*2/($G3*$F$5))*$B$98*$F$98*(1-(EG$103^$F$98)/(($F$5/2)^$E$98)))</f>
        <v>4.5860826202221627</v>
      </c>
      <c r="EM153" s="8">
        <f t="shared" ref="EM153:EM154" si="1712">ABS(($A$99*2/($G3*$F$5))*$B$98*$F$98*(1-(EH$103^$F$98)/(($F$5/2)^$E$98)))</f>
        <v>4.6504602382392717</v>
      </c>
      <c r="EN153" s="8">
        <f t="shared" ref="EN153:EN154" si="1713">ABS(($A$99*2/($G3*$F$5))*$B$98*$F$98*(1-(EI$103^$F$98)/(($F$5/2)^$E$98)))</f>
        <v>4.7152590063039401</v>
      </c>
      <c r="EO153" s="8">
        <f t="shared" ref="EO153:EO154" si="1714">ABS(($A$99*2/($G3*$F$5))*$B$98*$F$98*(1-(EJ$103^$F$98)/(($F$5/2)^$E$98)))</f>
        <v>4.7804785752711929</v>
      </c>
      <c r="EP153" s="8">
        <f t="shared" ref="EP153:EP154" si="1715">ABS(($A$99*2/($G3*$F$5))*$B$98*$F$98*(1-(EK$103^$F$98)/(($F$5/2)^$E$98)))</f>
        <v>4.8461185988217075</v>
      </c>
      <c r="EQ153" s="8">
        <f t="shared" ref="EQ153:EQ154" si="1716">ABS(($A$99*2/($G3*$F$5))*$B$98*$F$98*(1-(EL$103^$F$98)/(($F$5/2)^$E$98)))</f>
        <v>4.9121787334186306</v>
      </c>
      <c r="ER153" s="8">
        <f t="shared" ref="ER153:ER154" si="1717">ABS(($A$99*2/($G3*$F$5))*$B$98*$F$98*(1-(EM$103^$F$98)/(($F$5/2)^$E$98)))</f>
        <v>4.9786586382655402</v>
      </c>
      <c r="ES153" s="8">
        <f t="shared" ref="ES153:ES154" si="1718">ABS(($A$99*2/($G3*$F$5))*$B$98*$F$98*(1-(EN$103^$F$98)/(($F$5/2)^$E$98)))</f>
        <v>5.0455579752651341</v>
      </c>
      <c r="ET153" s="8">
        <f t="shared" ref="ET153:ET154" si="1719">ABS(($A$99*2/($G3*$F$5))*$B$98*$F$98*(1-(EO$103^$F$98)/(($F$5/2)^$E$98)))</f>
        <v>5.112876408979024</v>
      </c>
      <c r="EU153" s="8">
        <f t="shared" ref="EU153:EU154" si="1720">ABS(($A$99*2/($G3*$F$5))*$B$98*$F$98*(1-(EP$103^$F$98)/(($F$5/2)^$E$98)))</f>
        <v>5.1806136065882979</v>
      </c>
      <c r="EV153" s="8">
        <f t="shared" ref="EV153:EV154" si="1721">ABS(($A$99*2/($G3*$F$5))*$B$98*$F$98*(1-(EQ$103^$F$98)/(($F$5/2)^$E$98)))</f>
        <v>5.2487692378548942</v>
      </c>
      <c r="EW153" s="8">
        <f t="shared" ref="EW153:EW154" si="1722">ABS(($A$99*2/($G3*$F$5))*$B$98*$F$98*(1-(ER$103^$F$98)/(($F$5/2)^$E$98)))</f>
        <v>5.3173429750839807</v>
      </c>
      <c r="EX153" s="8">
        <f t="shared" ref="EX153:EX154" si="1723">ABS(($A$99*2/($G3*$F$5))*$B$98*$F$98*(1-(ES$103^$F$98)/(($F$5/2)^$E$98)))</f>
        <v>5.3863344930869443</v>
      </c>
      <c r="EY153" s="8">
        <f t="shared" ref="EY153:EY154" si="1724">ABS(($A$99*2/($G3*$F$5))*$B$98*$F$98*(1-(ET$103^$F$98)/(($F$5/2)^$E$98)))</f>
        <v>5.4557434691453013</v>
      </c>
      <c r="EZ153" s="8">
        <f t="shared" ref="EZ153:EZ154" si="1725">ABS(($A$99*2/($G3*$F$5))*$B$98*$F$98*(1-(EU$103^$F$98)/(($F$5/2)^$E$98)))</f>
        <v>5.5255695829752725</v>
      </c>
      <c r="FA153" s="8">
        <f t="shared" ref="FA153:FA154" si="1726">ABS(($A$99*2/($G3*$F$5))*$B$98*$F$98*(1-(EV$103^$F$98)/(($F$5/2)^$E$98)))</f>
        <v>5.595812516693206</v>
      </c>
      <c r="FB153" s="8">
        <f t="shared" ref="FB153:FB154" si="1727">ABS(($A$99*2/($G3*$F$5))*$B$98*$F$98*(1-(EW$103^$F$98)/(($F$5/2)^$E$98)))</f>
        <v>5.6664719547816285</v>
      </c>
      <c r="FC153" s="8">
        <f t="shared" ref="FC153:FC154" si="1728">ABS(($A$99*2/($G3*$F$5))*$B$98*$F$98*(1-(EX$103^$F$98)/(($F$5/2)^$E$98)))</f>
        <v>5.7375475840560322</v>
      </c>
      <c r="FD153" s="8">
        <f t="shared" ref="FD153:FD154" si="1729">ABS(($A$99*2/($G3*$F$5))*$B$98*$F$98*(1-(EY$103^$F$98)/(($F$5/2)^$E$98)))</f>
        <v>5.8090390936323368</v>
      </c>
      <c r="FE153" s="8">
        <f t="shared" ref="FE153:FE154" si="1730">ABS(($A$99*2/($G3*$F$5))*$B$98*$F$98*(1-(EZ$103^$F$98)/(($F$5/2)^$E$98)))</f>
        <v>5.8809461748950778</v>
      </c>
      <c r="FF153" s="8">
        <f t="shared" ref="FF153:FF154" si="1731">ABS(($A$99*2/($G3*$F$5))*$B$98*$F$98*(1-(FA$103^$F$98)/(($F$5/2)^$E$98)))</f>
        <v>5.9532685214661187</v>
      </c>
      <c r="FG153" s="8">
        <f t="shared" ref="FG153:FG154" si="1732">ABS(($A$99*2/($G3*$F$5))*$B$98*$F$98*(1-(FB$103^$F$98)/(($F$5/2)^$E$98)))</f>
        <v>6.0260058291740632</v>
      </c>
      <c r="FH153" s="8">
        <f t="shared" ref="FH153:FH154" si="1733">ABS(($A$99*2/($G3*$F$5))*$B$98*$F$98*(1-(FC$103^$F$98)/(($F$5/2)^$E$98)))</f>
        <v>6.0991577960243424</v>
      </c>
      <c r="FI153" s="8">
        <f t="shared" ref="FI153:FI154" si="1734">ABS(($A$99*2/($G3*$F$5))*$B$98*$F$98*(1-(FD$103^$F$98)/(($F$5/2)^$E$98)))</f>
        <v>6.1727241221697771</v>
      </c>
      <c r="FJ153" s="8">
        <f t="shared" ref="FJ153:FJ154" si="1735">ABS(($A$99*2/($G3*$F$5))*$B$98*$F$98*(1-(FE$103^$F$98)/(($F$5/2)^$E$98)))</f>
        <v>6.2467045098817451</v>
      </c>
      <c r="FK153" s="8"/>
      <c r="FL153" s="8"/>
      <c r="FM153" s="8"/>
    </row>
    <row r="154" spans="7:356" x14ac:dyDescent="0.25">
      <c r="G154" s="8">
        <f t="shared" si="1576"/>
        <v>3.2534535040431257E-3</v>
      </c>
      <c r="H154" s="8">
        <f t="shared" si="1577"/>
        <v>2.9712660709002546E-3</v>
      </c>
      <c r="I154" s="8">
        <f t="shared" si="1578"/>
        <v>2.2098902147353115E-3</v>
      </c>
      <c r="J154" s="8">
        <f t="shared" si="1579"/>
        <v>1.0107779372293625E-3</v>
      </c>
      <c r="K154" s="8">
        <f t="shared" si="1580"/>
        <v>6.0576987334793448E-4</v>
      </c>
      <c r="L154" s="8">
        <f t="shared" si="1581"/>
        <v>2.626162969433792E-3</v>
      </c>
      <c r="M154" s="8">
        <f t="shared" si="1582"/>
        <v>5.0402322398202491E-3</v>
      </c>
      <c r="N154" s="8">
        <f t="shared" si="1583"/>
        <v>7.8398851933950443E-3</v>
      </c>
      <c r="O154" s="8">
        <f t="shared" si="1584"/>
        <v>1.1018421742239683E-2</v>
      </c>
      <c r="P154" s="8">
        <f t="shared" si="1585"/>
        <v>1.4570138574335931E-2</v>
      </c>
      <c r="Q154" s="8">
        <f t="shared" si="1586"/>
        <v>1.8490079999886729E-2</v>
      </c>
      <c r="R154" s="8">
        <f t="shared" si="1587"/>
        <v>2.2773871064197627E-2</v>
      </c>
      <c r="S154" s="8">
        <f t="shared" si="1588"/>
        <v>2.7417600408444119E-2</v>
      </c>
      <c r="T154" s="8">
        <f t="shared" si="1589"/>
        <v>3.2417734964674788E-2</v>
      </c>
      <c r="U154" s="8">
        <f t="shared" si="1590"/>
        <v>3.7771055956103611E-2</v>
      </c>
      <c r="V154" s="8">
        <f t="shared" si="1591"/>
        <v>4.347460968588001E-2</v>
      </c>
      <c r="W154" s="8">
        <f t="shared" si="1592"/>
        <v>4.9525668906631508E-2</v>
      </c>
      <c r="X154" s="8">
        <f t="shared" si="1593"/>
        <v>5.5921701956440195E-2</v>
      </c>
      <c r="Y154" s="8">
        <f t="shared" si="1594"/>
        <v>6.2660347721742754E-2</v>
      </c>
      <c r="Z154" s="8">
        <f t="shared" si="1595"/>
        <v>6.9739395055731457E-2</v>
      </c>
      <c r="AA154" s="8">
        <f t="shared" si="1596"/>
        <v>7.715676566063287E-2</v>
      </c>
      <c r="AB154" s="8">
        <f t="shared" si="1597"/>
        <v>8.491049970268251E-2</v>
      </c>
      <c r="AC154" s="8">
        <f t="shared" si="1598"/>
        <v>9.2998743611211312E-2</v>
      </c>
      <c r="AD154" s="8">
        <f t="shared" si="1599"/>
        <v>0.10141973964386572</v>
      </c>
      <c r="AE154" s="8">
        <f t="shared" si="1600"/>
        <v>0.11017181689503658</v>
      </c>
      <c r="AF154" s="8">
        <f t="shared" si="1601"/>
        <v>0.11925338349488947</v>
      </c>
      <c r="AG154" s="8">
        <f t="shared" si="1602"/>
        <v>0.12866291979911246</v>
      </c>
      <c r="AH154" s="8">
        <f t="shared" si="1603"/>
        <v>0.13839897240961499</v>
      </c>
      <c r="AI154" s="8">
        <f t="shared" si="1604"/>
        <v>0.14846014889721895</v>
      </c>
      <c r="AJ154" s="8">
        <f t="shared" si="1605"/>
        <v>0.15884511312138413</v>
      </c>
      <c r="AK154" s="8">
        <f t="shared" si="1606"/>
        <v>0.16955258106082916</v>
      </c>
      <c r="AL154" s="8">
        <f t="shared" si="1607"/>
        <v>0.18058131708384029</v>
      </c>
      <c r="AM154" s="8">
        <f t="shared" si="1608"/>
        <v>0.1919301305989998</v>
      </c>
      <c r="AN154" s="8">
        <f t="shared" si="1609"/>
        <v>0.20359787303668139</v>
      </c>
      <c r="AO154" s="8">
        <f t="shared" si="1610"/>
        <v>0.21558343511947525</v>
      </c>
      <c r="AP154" s="8">
        <f t="shared" si="1611"/>
        <v>0.22788574438608081</v>
      </c>
      <c r="AQ154" s="8">
        <f t="shared" si="1612"/>
        <v>0.24050376293846476</v>
      </c>
      <c r="AR154" s="8">
        <f t="shared" si="1613"/>
        <v>0.25343648538643482</v>
      </c>
      <c r="AS154" s="8">
        <f t="shared" si="1614"/>
        <v>0.26668293696739009</v>
      </c>
      <c r="AT154" s="8">
        <f t="shared" si="1615"/>
        <v>0.28024217182204703</v>
      </c>
      <c r="AU154" s="8">
        <f t="shared" si="1616"/>
        <v>0.29411327140948762</v>
      </c>
      <c r="AV154" s="8">
        <f t="shared" si="1617"/>
        <v>0.30829534304702766</v>
      </c>
      <c r="AW154" s="8">
        <f t="shared" si="1618"/>
        <v>0.32278751856224003</v>
      </c>
      <c r="AX154" s="8">
        <f t="shared" si="1619"/>
        <v>0.33758895304601844</v>
      </c>
      <c r="AY154" s="8">
        <f t="shared" si="1620"/>
        <v>0.35269882369691946</v>
      </c>
      <c r="AZ154" s="8">
        <f t="shared" si="1621"/>
        <v>0.36811632874813871</v>
      </c>
      <c r="BA154" s="8">
        <f t="shared" si="1622"/>
        <v>0.38384068646950964</v>
      </c>
      <c r="BB154" s="8">
        <f t="shared" si="1623"/>
        <v>0.39987113423772852</v>
      </c>
      <c r="BC154" s="8">
        <f t="shared" si="1624"/>
        <v>0.41620692766879069</v>
      </c>
      <c r="BD154" s="8">
        <f t="shared" si="1625"/>
        <v>0.43284733980723522</v>
      </c>
      <c r="BE154" s="8">
        <f t="shared" si="1626"/>
        <v>0.4497916603674017</v>
      </c>
      <c r="BF154" s="8">
        <f t="shared" si="1627"/>
        <v>0.46703919502237179</v>
      </c>
      <c r="BG154" s="8">
        <f t="shared" si="1628"/>
        <v>0.4845892647367101</v>
      </c>
      <c r="BH154" s="8">
        <f t="shared" si="1629"/>
        <v>0.50244120513951795</v>
      </c>
      <c r="BI154" s="8">
        <f t="shared" si="1630"/>
        <v>0.52059436593462871</v>
      </c>
      <c r="BJ154" s="8">
        <f t="shared" si="1631"/>
        <v>0.53904811034511324</v>
      </c>
      <c r="BK154" s="8">
        <f t="shared" si="1632"/>
        <v>0.55780181458948908</v>
      </c>
      <c r="BL154" s="8">
        <f t="shared" si="1633"/>
        <v>0.57685486738727831</v>
      </c>
      <c r="BM154" s="8">
        <f t="shared" si="1634"/>
        <v>0.59620666949182333</v>
      </c>
      <c r="BN154" s="8">
        <f t="shared" si="1635"/>
        <v>0.61585663324833273</v>
      </c>
      <c r="BO154" s="8">
        <f t="shared" si="1636"/>
        <v>0.63580418217548662</v>
      </c>
      <c r="BP154" s="8">
        <f t="shared" si="1637"/>
        <v>0.65604875056886502</v>
      </c>
      <c r="BQ154" s="8">
        <f t="shared" si="1638"/>
        <v>0.67658978312481621</v>
      </c>
      <c r="BR154" s="8">
        <f t="shared" si="1639"/>
        <v>0.69742673458331417</v>
      </c>
      <c r="BS154" s="8">
        <f t="shared" si="1640"/>
        <v>0.71855906938861902</v>
      </c>
      <c r="BT154" s="8">
        <f t="shared" si="1641"/>
        <v>0.73998626136655832</v>
      </c>
      <c r="BU154" s="8">
        <f t="shared" si="1642"/>
        <v>0.76170779341736883</v>
      </c>
      <c r="BV154" s="8">
        <f t="shared" si="1643"/>
        <v>0.78372315722313912</v>
      </c>
      <c r="BW154" s="8">
        <f t="shared" si="1644"/>
        <v>0.80603185296892066</v>
      </c>
      <c r="BX154" s="8">
        <f t="shared" si="1645"/>
        <v>0.82863338907671724</v>
      </c>
      <c r="BY154" s="8">
        <f t="shared" si="1646"/>
        <v>0.85152728195154637</v>
      </c>
      <c r="BZ154" s="8">
        <f t="shared" si="1647"/>
        <v>0.87471305573885427</v>
      </c>
      <c r="CA154" s="8">
        <f t="shared" si="1648"/>
        <v>0.89819024209267218</v>
      </c>
      <c r="CB154" s="8">
        <f t="shared" si="1649"/>
        <v>0.92195837995381946</v>
      </c>
      <c r="CC154" s="8">
        <f t="shared" si="1650"/>
        <v>0.94601701533765803</v>
      </c>
      <c r="CD154" s="8">
        <f t="shared" si="1651"/>
        <v>0.97036570113081533</v>
      </c>
      <c r="CE154" s="8">
        <f t="shared" si="1652"/>
        <v>0.99500399689639762</v>
      </c>
      <c r="CF154" s="8">
        <f t="shared" si="1653"/>
        <v>1.0199314686872465</v>
      </c>
      <c r="CG154" s="8">
        <f t="shared" si="1654"/>
        <v>1.0451476888667606</v>
      </c>
      <c r="CH154" s="8">
        <f t="shared" si="1655"/>
        <v>1.0706522359369386</v>
      </c>
      <c r="CI154" s="8">
        <f t="shared" si="1656"/>
        <v>1.0964446943732282</v>
      </c>
      <c r="CJ154" s="8">
        <f t="shared" si="1657"/>
        <v>1.1225246544658343</v>
      </c>
      <c r="CK154" s="8">
        <f t="shared" si="1658"/>
        <v>1.1488917121671678</v>
      </c>
      <c r="CL154" s="8">
        <f t="shared" si="1659"/>
        <v>1.175545468945115</v>
      </c>
      <c r="CM154" s="8">
        <f t="shared" si="1660"/>
        <v>1.2024855316418415</v>
      </c>
      <c r="CN154" s="8">
        <f t="shared" si="1661"/>
        <v>1.2297115123378588</v>
      </c>
      <c r="CO154" s="8">
        <f t="shared" si="1662"/>
        <v>1.2572230282210963</v>
      </c>
      <c r="CP154" s="8">
        <f t="shared" si="1663"/>
        <v>1.2850197014607312</v>
      </c>
      <c r="CQ154" s="8">
        <f t="shared" si="1664"/>
        <v>1.313101159085577</v>
      </c>
      <c r="CR154" s="8">
        <f t="shared" si="1665"/>
        <v>1.3414670328667659</v>
      </c>
      <c r="CS154" s="8">
        <f t="shared" si="1666"/>
        <v>1.3701169592045885</v>
      </c>
      <c r="CT154" s="8">
        <f t="shared" si="1667"/>
        <v>1.3990505790192336</v>
      </c>
      <c r="CU154" s="8">
        <f t="shared" si="1668"/>
        <v>1.4282675376453293</v>
      </c>
      <c r="CV154" s="8">
        <f t="shared" si="1669"/>
        <v>1.4577674847300195</v>
      </c>
      <c r="CW154" s="8">
        <f t="shared" si="1670"/>
        <v>1.4875500741345096</v>
      </c>
      <c r="CX154" s="8">
        <f t="shared" si="1671"/>
        <v>1.5176149638388661</v>
      </c>
      <c r="CY154" s="8">
        <f t="shared" si="1672"/>
        <v>1.5479618158499571</v>
      </c>
      <c r="CZ154" s="8">
        <f t="shared" si="1673"/>
        <v>1.5785902961124008</v>
      </c>
      <c r="DA154" s="8">
        <f t="shared" si="1674"/>
        <v>1.6095000744223722</v>
      </c>
      <c r="DB154" s="8">
        <f t="shared" si="1675"/>
        <v>1.6406908243441665</v>
      </c>
      <c r="DC154" s="8">
        <f t="shared" si="1676"/>
        <v>1.6721622231294011</v>
      </c>
      <c r="DD154" s="8">
        <f t="shared" si="1677"/>
        <v>1.7039139516387374</v>
      </c>
      <c r="DE154" s="8">
        <f t="shared" si="1678"/>
        <v>1.7359456942660421</v>
      </c>
      <c r="DF154" s="8">
        <f t="shared" si="1679"/>
        <v>1.7682571388648407</v>
      </c>
      <c r="DG154" s="8">
        <f t="shared" si="1680"/>
        <v>1.8008479766770542</v>
      </c>
      <c r="DH154" s="8">
        <f t="shared" si="1681"/>
        <v>1.8337179022638161</v>
      </c>
      <c r="DI154" s="8">
        <f t="shared" si="1682"/>
        <v>1.8668666134384162</v>
      </c>
      <c r="DJ154" s="8">
        <f t="shared" si="1683"/>
        <v>1.9002938112011611</v>
      </c>
      <c r="DK154" s="8">
        <f t="shared" si="1684"/>
        <v>1.9339991996761854</v>
      </c>
      <c r="DL154" s="8">
        <f t="shared" si="1685"/>
        <v>1.9679824860500685</v>
      </c>
      <c r="DM154" s="8">
        <f t="shared" si="1686"/>
        <v>2.0022433805122</v>
      </c>
      <c r="DN154" s="8">
        <f t="shared" si="1687"/>
        <v>2.0367815961968754</v>
      </c>
      <c r="DO154" s="8">
        <f t="shared" si="1688"/>
        <v>2.071596849127002</v>
      </c>
      <c r="DP154" s="8">
        <f t="shared" si="1689"/>
        <v>2.1066888581593561</v>
      </c>
      <c r="DQ154" s="8">
        <f t="shared" si="1690"/>
        <v>2.1420573449314015</v>
      </c>
      <c r="DR154" s="8">
        <f t="shared" si="1691"/>
        <v>2.1777020338095268</v>
      </c>
      <c r="DS154" s="8">
        <f t="shared" si="1692"/>
        <v>2.2136226518386941</v>
      </c>
      <c r="DT154" s="8">
        <f t="shared" si="1693"/>
        <v>2.2498189286934704</v>
      </c>
      <c r="DU154" s="8">
        <f t="shared" si="1694"/>
        <v>2.2862905966303435</v>
      </c>
      <c r="DV154" s="8">
        <f t="shared" si="1695"/>
        <v>2.3230373904412982</v>
      </c>
      <c r="DW154" s="8">
        <f t="shared" si="1696"/>
        <v>2.3600590474086243</v>
      </c>
      <c r="DX154" s="8">
        <f t="shared" si="1697"/>
        <v>2.3973553072608973</v>
      </c>
      <c r="DY154" s="8">
        <f t="shared" si="1698"/>
        <v>2.4349259121301157</v>
      </c>
      <c r="DZ154" s="8">
        <f t="shared" si="1699"/>
        <v>2.4727706065098727</v>
      </c>
      <c r="EA154" s="8">
        <f t="shared" si="1700"/>
        <v>2.5108891372146753</v>
      </c>
      <c r="EB154" s="8">
        <f t="shared" si="1701"/>
        <v>2.5492812533402307</v>
      </c>
      <c r="EC154" s="8">
        <f t="shared" si="1702"/>
        <v>2.5879467062247312</v>
      </c>
      <c r="ED154" s="8">
        <f t="shared" si="1703"/>
        <v>2.626885249411131</v>
      </c>
      <c r="EE154" s="8">
        <f t="shared" si="1704"/>
        <v>2.6660966386103144</v>
      </c>
      <c r="EF154" s="8">
        <f t="shared" si="1705"/>
        <v>2.7055806316651956</v>
      </c>
      <c r="EG154" s="8">
        <f t="shared" si="1706"/>
        <v>2.7453369885156449</v>
      </c>
      <c r="EH154" s="8">
        <f t="shared" si="1707"/>
        <v>2.785365471164309</v>
      </c>
      <c r="EI154" s="8">
        <f t="shared" si="1708"/>
        <v>2.8256658436432049</v>
      </c>
      <c r="EJ154" s="8">
        <f t="shared" si="1709"/>
        <v>2.8662378719811179</v>
      </c>
      <c r="EK154" s="8">
        <f t="shared" si="1710"/>
        <v>2.9070813241717963</v>
      </c>
      <c r="EL154" s="8">
        <f t="shared" si="1711"/>
        <v>2.9481959701428182</v>
      </c>
      <c r="EM154" s="8">
        <f t="shared" si="1712"/>
        <v>2.9895815817252451</v>
      </c>
      <c r="EN154" s="8">
        <f t="shared" si="1713"/>
        <v>3.0312379326239607</v>
      </c>
      <c r="EO154" s="8">
        <f t="shared" si="1714"/>
        <v>3.0731647983886234</v>
      </c>
      <c r="EP154" s="8">
        <f t="shared" si="1715"/>
        <v>3.1153619563853825</v>
      </c>
      <c r="EQ154" s="8">
        <f t="shared" si="1716"/>
        <v>3.1578291857691188</v>
      </c>
      <c r="ER154" s="8">
        <f t="shared" si="1717"/>
        <v>3.2005662674564181</v>
      </c>
      <c r="ES154" s="8">
        <f t="shared" si="1718"/>
        <v>3.2435729840990142</v>
      </c>
      <c r="ET154" s="8">
        <f t="shared" si="1719"/>
        <v>3.2868491200579433</v>
      </c>
      <c r="EU154" s="8">
        <f t="shared" si="1720"/>
        <v>3.3303944613781908</v>
      </c>
      <c r="EV154" s="8">
        <f t="shared" si="1721"/>
        <v>3.37420879576386</v>
      </c>
      <c r="EW154" s="8">
        <f t="shared" si="1722"/>
        <v>3.418291912553987</v>
      </c>
      <c r="EX154" s="8">
        <f t="shared" si="1723"/>
        <v>3.462643602698749</v>
      </c>
      <c r="EY154" s="8">
        <f t="shared" si="1724"/>
        <v>3.5072636587362647</v>
      </c>
      <c r="EZ154" s="8">
        <f t="shared" si="1725"/>
        <v>3.5521518747698169</v>
      </c>
      <c r="FA154" s="8">
        <f t="shared" si="1726"/>
        <v>3.5973080464456313</v>
      </c>
      <c r="FB154" s="8">
        <f t="shared" si="1727"/>
        <v>3.6427319709310457</v>
      </c>
      <c r="FC154" s="8">
        <f t="shared" si="1728"/>
        <v>3.6884234468931623</v>
      </c>
      <c r="FD154" s="8">
        <f t="shared" si="1729"/>
        <v>3.7343822744779303</v>
      </c>
      <c r="FE154" s="8">
        <f t="shared" si="1730"/>
        <v>3.7806082552896916</v>
      </c>
      <c r="FF154" s="8">
        <f t="shared" si="1731"/>
        <v>3.8271011923710754</v>
      </c>
      <c r="FG154" s="8">
        <f t="shared" si="1732"/>
        <v>3.8738608901833254</v>
      </c>
      <c r="FH154" s="8">
        <f t="shared" si="1733"/>
        <v>3.920887154587076</v>
      </c>
      <c r="FI154" s="8">
        <f t="shared" si="1734"/>
        <v>3.968179792823427</v>
      </c>
      <c r="FJ154" s="8">
        <f t="shared" si="1735"/>
        <v>4.0157386134954063</v>
      </c>
    </row>
    <row r="161" spans="1:30" x14ac:dyDescent="0.25">
      <c r="Q161" t="s">
        <v>193</v>
      </c>
    </row>
    <row r="162" spans="1:30" x14ac:dyDescent="0.25">
      <c r="C162" t="s">
        <v>184</v>
      </c>
      <c r="V162" t="s">
        <v>189</v>
      </c>
    </row>
    <row r="163" spans="1:30" x14ac:dyDescent="0.25">
      <c r="C163">
        <f>0.012</f>
        <v>1.2E-2</v>
      </c>
      <c r="D163">
        <f>0.027</f>
        <v>2.7E-2</v>
      </c>
      <c r="E163">
        <f>0.042</f>
        <v>4.2000000000000003E-2</v>
      </c>
      <c r="H163" t="s">
        <v>187</v>
      </c>
      <c r="M163" t="s">
        <v>186</v>
      </c>
      <c r="Q163" t="s">
        <v>188</v>
      </c>
      <c r="V163" s="8"/>
      <c r="W163" s="8"/>
      <c r="X163" s="8"/>
      <c r="Y163" s="8"/>
      <c r="AB163" t="s">
        <v>190</v>
      </c>
    </row>
    <row r="164" spans="1:30" x14ac:dyDescent="0.25">
      <c r="A164" t="s">
        <v>191</v>
      </c>
      <c r="D164" t="s">
        <v>185</v>
      </c>
      <c r="H164">
        <v>12</v>
      </c>
      <c r="I164">
        <v>27</v>
      </c>
      <c r="J164">
        <v>42</v>
      </c>
      <c r="L164" s="8"/>
      <c r="M164" s="8">
        <v>12</v>
      </c>
      <c r="N164" s="8">
        <v>27</v>
      </c>
      <c r="O164" s="8">
        <v>42</v>
      </c>
      <c r="Q164" s="8"/>
      <c r="R164" s="8">
        <v>12</v>
      </c>
      <c r="S164" s="8">
        <v>27</v>
      </c>
      <c r="T164" s="8">
        <v>42</v>
      </c>
      <c r="V164" s="8"/>
      <c r="W164" s="8">
        <v>12</v>
      </c>
      <c r="X164" s="8">
        <v>27</v>
      </c>
      <c r="Y164" s="8">
        <v>42</v>
      </c>
      <c r="AB164">
        <f>SUM(W165:Y168)/12</f>
        <v>1.670532429143844E-2</v>
      </c>
    </row>
    <row r="165" spans="1:30" x14ac:dyDescent="0.25">
      <c r="A165" t="s">
        <v>183</v>
      </c>
      <c r="D165">
        <f>F2/2</f>
        <v>1.4999999999999999E-4</v>
      </c>
      <c r="G165">
        <v>0.3</v>
      </c>
      <c r="H165">
        <f>-C$163/($A$166*SQRT(2)) + ($D165/(2*$A$166))*(2*(C$163/$D165)^2 +4*$A$166^2)^0.5</f>
        <v>4.3213771068310175E-5</v>
      </c>
      <c r="I165" s="8">
        <f t="shared" ref="I165:J165" si="1736">-D$163/($A$166*SQRT(2)) + ($D165/(2*$A$166))*(2*(D$163/$D165)^2 +4*$A$166^2)^0.5</f>
        <v>2.0551288616332927E-5</v>
      </c>
      <c r="J165" s="8">
        <f t="shared" si="1736"/>
        <v>1.3357514842711189E-5</v>
      </c>
      <c r="L165" s="8">
        <v>0.3</v>
      </c>
      <c r="M165" s="8">
        <f>H165/$D165</f>
        <v>0.28809180712206783</v>
      </c>
      <c r="N165" s="8">
        <f t="shared" ref="N165:O165" si="1737">I165/$D165</f>
        <v>0.13700859077555286</v>
      </c>
      <c r="O165" s="8">
        <f t="shared" si="1737"/>
        <v>8.9050098951407933E-2</v>
      </c>
      <c r="P165" t="s">
        <v>199</v>
      </c>
      <c r="Q165" s="8">
        <v>0.3</v>
      </c>
      <c r="R165" s="8">
        <f>R200</f>
        <v>0.2978723404255319</v>
      </c>
      <c r="S165" s="8">
        <f t="shared" ref="S165:T165" si="1738">S200</f>
        <v>0.11363636363636363</v>
      </c>
      <c r="T165" s="8">
        <f t="shared" si="1738"/>
        <v>0</v>
      </c>
      <c r="V165" s="8">
        <v>0.3</v>
      </c>
      <c r="W165" s="8">
        <f>(R165-M165)^2</f>
        <v>9.5658831700169738E-5</v>
      </c>
      <c r="X165" s="8">
        <f t="shared" ref="X165" si="1739">(S165-N165)^2</f>
        <v>5.4626100144585335E-4</v>
      </c>
      <c r="Y165" s="8">
        <f>(T165-O165)^2</f>
        <v>7.9299201232555447E-3</v>
      </c>
    </row>
    <row r="166" spans="1:30" x14ac:dyDescent="0.25">
      <c r="A166">
        <v>35.543900438313962</v>
      </c>
      <c r="C166" s="8"/>
      <c r="D166" s="8">
        <f t="shared" ref="D166:D168" si="1740">F3/2</f>
        <v>2.5000000000000001E-4</v>
      </c>
      <c r="G166">
        <v>0.5</v>
      </c>
      <c r="H166" s="8">
        <f t="shared" ref="H166:H168" si="1741">-C$163/($A$166*SQRT(2)) + ($D166/(2*$A$166))*(2*(C$163/$D166)^2 +4*$A$166^2)^0.5</f>
        <v>1.0694715977128174E-4</v>
      </c>
      <c r="I166" s="8">
        <f t="shared" ref="I166:I168" si="1742">-D$163/($A$166*SQRT(2)) + ($D166/(2*$A$166))*(2*(D$163/$D166)^2 +4*$A$166^2)^0.5</f>
        <v>5.5329325244144996E-5</v>
      </c>
      <c r="J166" s="8">
        <f t="shared" ref="J166:J168" si="1743">-E$163/($A$166*SQRT(2)) + ($D166/(2*$A$166))*(2*(E$163/$D166)^2 +4*$A$166^2)^0.5</f>
        <v>3.6599217759192195E-5</v>
      </c>
      <c r="L166" s="8">
        <v>0.5</v>
      </c>
      <c r="M166" s="8">
        <f t="shared" ref="M166:M168" si="1744">H166/$D166</f>
        <v>0.42778863908512693</v>
      </c>
      <c r="N166" s="8">
        <f t="shared" ref="N166:N168" si="1745">I166/$D166</f>
        <v>0.22131730097657998</v>
      </c>
      <c r="O166" s="8">
        <f t="shared" ref="O166:O168" si="1746">J166/$D166</f>
        <v>0.14639687103676877</v>
      </c>
      <c r="P166" t="s">
        <v>200</v>
      </c>
      <c r="Q166" s="8">
        <v>0.5</v>
      </c>
      <c r="R166" s="8">
        <f t="shared" ref="R166:T166" si="1747">R201</f>
        <v>0.36666666666666664</v>
      </c>
      <c r="S166" s="8">
        <f t="shared" si="1747"/>
        <v>0.31578947368421051</v>
      </c>
      <c r="T166" s="8">
        <f t="shared" si="1747"/>
        <v>5.5555555555555552E-2</v>
      </c>
      <c r="V166" s="8">
        <v>0.5</v>
      </c>
      <c r="W166" s="8">
        <f t="shared" ref="W166:W168" si="1748">(R166-M166)^2</f>
        <v>3.7358955123230207E-3</v>
      </c>
      <c r="X166" s="8">
        <f t="shared" ref="X166:X168" si="1749">(S166-N166)^2</f>
        <v>8.9249914161003713E-3</v>
      </c>
      <c r="Y166" s="8">
        <f>(T166-O166)^2</f>
        <v>8.2521445983573076E-3</v>
      </c>
    </row>
    <row r="167" spans="1:30" x14ac:dyDescent="0.25">
      <c r="C167" s="8"/>
      <c r="D167" s="8">
        <f t="shared" si="1740"/>
        <v>5.0000000000000001E-4</v>
      </c>
      <c r="G167">
        <v>1</v>
      </c>
      <c r="H167" s="8">
        <f t="shared" si="1741"/>
        <v>3.1534042447917658E-4</v>
      </c>
      <c r="I167" s="8">
        <f t="shared" si="1742"/>
        <v>1.967000605585385E-4</v>
      </c>
      <c r="J167" s="8">
        <f t="shared" si="1743"/>
        <v>1.3817764279851642E-4</v>
      </c>
      <c r="L167" s="8">
        <v>1</v>
      </c>
      <c r="M167" s="8">
        <f t="shared" si="1744"/>
        <v>0.63068084895835319</v>
      </c>
      <c r="N167" s="8">
        <f t="shared" si="1745"/>
        <v>0.39340012111707701</v>
      </c>
      <c r="O167" s="8">
        <f t="shared" si="1746"/>
        <v>0.27635528559703282</v>
      </c>
      <c r="P167" t="s">
        <v>201</v>
      </c>
      <c r="Q167" s="8">
        <v>1</v>
      </c>
      <c r="R167" s="8">
        <f t="shared" ref="R167:T167" si="1750">R202</f>
        <v>0.39285714285714285</v>
      </c>
      <c r="S167" s="8">
        <f t="shared" si="1750"/>
        <v>0.40740740740740738</v>
      </c>
      <c r="T167" s="8">
        <f t="shared" si="1750"/>
        <v>0.41249999999999998</v>
      </c>
      <c r="V167" s="8">
        <v>1</v>
      </c>
      <c r="W167" s="8">
        <f t="shared" si="1748"/>
        <v>5.6560115183714871E-2</v>
      </c>
      <c r="X167" s="8">
        <f t="shared" si="1749"/>
        <v>1.9620406921927737E-4</v>
      </c>
      <c r="Y167" s="8">
        <f t="shared" ref="Y167:Y168" si="1751">(T167-O167)^2</f>
        <v>1.8535383259865493E-2</v>
      </c>
    </row>
    <row r="168" spans="1:30" x14ac:dyDescent="0.25">
      <c r="D168" s="8">
        <f t="shared" si="1740"/>
        <v>8.0000000000000004E-4</v>
      </c>
      <c r="G168">
        <v>1.6</v>
      </c>
      <c r="H168" s="8">
        <f t="shared" si="1741"/>
        <v>5.9613276482830971E-4</v>
      </c>
      <c r="I168" s="8">
        <f t="shared" si="1742"/>
        <v>4.2645919111006909E-4</v>
      </c>
      <c r="J168" s="8">
        <f t="shared" si="1743"/>
        <v>3.2123338541937098E-4</v>
      </c>
      <c r="L168" s="8">
        <v>1.6</v>
      </c>
      <c r="M168" s="8">
        <f t="shared" si="1744"/>
        <v>0.74516595603538716</v>
      </c>
      <c r="N168" s="8">
        <f t="shared" si="1745"/>
        <v>0.53307398888758628</v>
      </c>
      <c r="O168" s="8">
        <f t="shared" si="1746"/>
        <v>0.40154173177421371</v>
      </c>
      <c r="P168" t="s">
        <v>202</v>
      </c>
      <c r="Q168" s="8">
        <v>1.6</v>
      </c>
      <c r="R168" s="8">
        <f t="shared" ref="R168:T168" si="1752">R203</f>
        <v>0.57823129251700678</v>
      </c>
      <c r="S168" s="8">
        <f t="shared" si="1752"/>
        <v>0.6333333333333333</v>
      </c>
      <c r="T168" s="8">
        <f t="shared" si="1752"/>
        <v>0.64189189189189189</v>
      </c>
      <c r="V168" s="8">
        <v>1.6</v>
      </c>
      <c r="W168" s="8">
        <f t="shared" si="1748"/>
        <v>2.7867181883994875E-2</v>
      </c>
      <c r="X168" s="8">
        <f t="shared" si="1749"/>
        <v>1.0051936148690944E-2</v>
      </c>
      <c r="Y168" s="8">
        <f t="shared" si="1751"/>
        <v>5.7768199468593538E-2</v>
      </c>
    </row>
    <row r="169" spans="1:30" x14ac:dyDescent="0.25">
      <c r="D169" s="8"/>
    </row>
    <row r="170" spans="1:30" x14ac:dyDescent="0.25">
      <c r="D170" s="8"/>
    </row>
    <row r="172" spans="1:30" x14ac:dyDescent="0.25">
      <c r="A172" s="1"/>
      <c r="B172" s="1"/>
      <c r="C172" s="1" t="s">
        <v>184</v>
      </c>
      <c r="D172" s="1"/>
      <c r="E172" s="1"/>
      <c r="F172" s="1"/>
      <c r="G172" s="1"/>
      <c r="H172" s="1"/>
      <c r="I172" s="1" t="s">
        <v>211</v>
      </c>
      <c r="J172" s="1"/>
      <c r="K172" s="1"/>
      <c r="L172" s="1"/>
      <c r="M172" s="1"/>
      <c r="N172" s="1"/>
      <c r="O172" s="1"/>
      <c r="P172" s="1"/>
      <c r="Q172" s="1"/>
      <c r="R172" s="1"/>
      <c r="S172" s="1"/>
      <c r="T172" s="1"/>
      <c r="U172" s="1"/>
      <c r="V172" s="1" t="s">
        <v>189</v>
      </c>
      <c r="W172" s="1"/>
      <c r="X172" s="1"/>
      <c r="Y172" s="1"/>
      <c r="Z172" s="1"/>
      <c r="AA172" s="1"/>
      <c r="AB172" s="1"/>
      <c r="AC172" s="1"/>
      <c r="AD172" s="1"/>
    </row>
    <row r="173" spans="1:30" x14ac:dyDescent="0.25">
      <c r="A173" s="1"/>
      <c r="B173" s="1"/>
      <c r="C173" s="1">
        <f>0.012</f>
        <v>1.2E-2</v>
      </c>
      <c r="D173" s="1">
        <f>0.027</f>
        <v>2.7E-2</v>
      </c>
      <c r="E173" s="1">
        <f>0.042</f>
        <v>4.2000000000000003E-2</v>
      </c>
      <c r="F173" s="1"/>
      <c r="G173" s="1"/>
      <c r="H173" s="1" t="s">
        <v>187</v>
      </c>
      <c r="I173" s="1"/>
      <c r="J173" s="1"/>
      <c r="K173" s="1"/>
      <c r="L173" s="1"/>
      <c r="M173" s="1" t="s">
        <v>186</v>
      </c>
      <c r="N173" s="1"/>
      <c r="O173" s="1"/>
      <c r="P173" s="1"/>
      <c r="Q173" s="1" t="s">
        <v>188</v>
      </c>
      <c r="R173" s="1"/>
      <c r="S173" s="1"/>
      <c r="T173" s="1"/>
      <c r="U173" s="1"/>
      <c r="V173" s="1"/>
      <c r="W173" s="1"/>
      <c r="X173" s="1"/>
      <c r="Y173" s="1"/>
      <c r="Z173" s="1"/>
      <c r="AA173" s="1" t="s">
        <v>190</v>
      </c>
      <c r="AB173" s="1"/>
      <c r="AC173" s="1"/>
      <c r="AD173" s="1"/>
    </row>
    <row r="174" spans="1:30" x14ac:dyDescent="0.25">
      <c r="A174" s="1" t="s">
        <v>191</v>
      </c>
      <c r="B174" s="1"/>
      <c r="C174" s="1"/>
      <c r="D174" s="1" t="s">
        <v>185</v>
      </c>
      <c r="E174" s="1"/>
      <c r="F174" s="1"/>
      <c r="G174" s="1"/>
      <c r="H174" s="1">
        <v>12</v>
      </c>
      <c r="I174" s="1">
        <v>27</v>
      </c>
      <c r="J174" s="1">
        <v>42</v>
      </c>
      <c r="K174" s="1"/>
      <c r="L174" s="1"/>
      <c r="M174" s="1">
        <v>12</v>
      </c>
      <c r="N174" s="1">
        <v>27</v>
      </c>
      <c r="O174" s="1">
        <v>42</v>
      </c>
      <c r="P174" s="1"/>
      <c r="Q174" s="1"/>
      <c r="R174" s="1">
        <v>12</v>
      </c>
      <c r="S174" s="1">
        <v>27</v>
      </c>
      <c r="T174" s="1">
        <v>42</v>
      </c>
      <c r="U174" s="1"/>
      <c r="V174" s="1"/>
      <c r="W174" s="1">
        <v>12</v>
      </c>
      <c r="X174" s="1">
        <v>27</v>
      </c>
      <c r="Y174" s="1">
        <v>42</v>
      </c>
      <c r="Z174" s="1"/>
      <c r="AA174" s="1">
        <f>SUM(W175:Y175)/3</f>
        <v>2.6330994055753284E-3</v>
      </c>
      <c r="AB174" s="1"/>
      <c r="AC174" s="1"/>
      <c r="AD174" s="1"/>
    </row>
    <row r="175" spans="1:30" x14ac:dyDescent="0.25">
      <c r="A175" s="1" t="s">
        <v>183</v>
      </c>
      <c r="B175" s="1"/>
      <c r="C175" s="1"/>
      <c r="D175" s="1">
        <f>D165</f>
        <v>1.4999999999999999E-4</v>
      </c>
      <c r="E175" s="1"/>
      <c r="F175" s="1"/>
      <c r="G175" s="1">
        <v>0.3</v>
      </c>
      <c r="H175" s="1">
        <f>-C$163/($A176*SQRT(2)) + ($D175/(2*$A176))*(2*(C$163/$D175)^2 +4*$A176^2)^0.5</f>
        <v>4.1183081973975326E-5</v>
      </c>
      <c r="I175" s="1">
        <f>-D$163/($A176*SQRT(2)) + ($D175/(2*$A176))*(2*(D$163/$D175)^2 +4*$A176^2)^0.5</f>
        <v>1.9462531237212678E-5</v>
      </c>
      <c r="J175" s="1">
        <f>-E$163/($A176*SQRT(2)) + ($D175/(2*$A176))*(2*(E$163/$D175)^2 +4*$A176^2)^0.5</f>
        <v>1.2635567321515602E-5</v>
      </c>
      <c r="K175" s="1"/>
      <c r="L175" s="1">
        <v>0.3</v>
      </c>
      <c r="M175" s="1">
        <f>H175/$D175</f>
        <v>0.2745538798265022</v>
      </c>
      <c r="N175" s="1">
        <f>I175/$D175</f>
        <v>0.12975020824808453</v>
      </c>
      <c r="O175" s="1">
        <f t="shared" ref="O175:O178" si="1753">J175/$D175</f>
        <v>8.423711547677068E-2</v>
      </c>
      <c r="P175" s="1"/>
      <c r="Q175" s="1">
        <v>0.3</v>
      </c>
      <c r="R175" s="1">
        <f>R165</f>
        <v>0.2978723404255319</v>
      </c>
      <c r="S175" s="1">
        <f t="shared" ref="S175:T175" si="1754">S165</f>
        <v>0.11363636363636363</v>
      </c>
      <c r="T175" s="1">
        <f t="shared" si="1754"/>
        <v>0</v>
      </c>
      <c r="U175" s="1"/>
      <c r="V175" s="1">
        <v>0.3</v>
      </c>
      <c r="W175" s="1">
        <f>(R175-M175)^2</f>
        <v>5.4375060470850058E-4</v>
      </c>
      <c r="X175" s="1">
        <f>(S175-N175)^2</f>
        <v>2.5965598817068663E-4</v>
      </c>
      <c r="Y175" s="1">
        <f>(T175-O175)^2</f>
        <v>7.095891623846798E-3</v>
      </c>
      <c r="Z175" s="1"/>
      <c r="AA175" s="1">
        <f>SUM(W176:Y176)/3</f>
        <v>6.781152912735209E-3</v>
      </c>
      <c r="AB175" s="1"/>
      <c r="AC175" s="1"/>
      <c r="AD175" s="1"/>
    </row>
    <row r="176" spans="1:30" x14ac:dyDescent="0.25">
      <c r="A176" s="1">
        <v>33.594579420197043</v>
      </c>
      <c r="B176" s="1"/>
      <c r="C176" s="1"/>
      <c r="D176" s="1">
        <f t="shared" ref="D176:D178" si="1755">D166</f>
        <v>2.5000000000000001E-4</v>
      </c>
      <c r="E176" s="1"/>
      <c r="F176" s="1"/>
      <c r="G176" s="1">
        <v>0.5</v>
      </c>
      <c r="H176" s="1">
        <f>-C$163/($A177*SQRT(2)) + ($D176/(2*$A177))*(2*(C$163/$D176)^2 +4*$A177^2)^0.5</f>
        <v>9.6676107538243143E-5</v>
      </c>
      <c r="I176" s="1">
        <f t="shared" ref="I176:I178" si="1756">-D$163/($A177*SQRT(2)) + ($D176/(2*$A177))*(2*(D$163/$D176)^2 +4*$A177^2)^0.5</f>
        <v>4.8612025533847892E-5</v>
      </c>
      <c r="J176" s="1">
        <f t="shared" ref="J176:J178" si="1757">-E$163/($A177*SQRT(2)) + ($D176/(2*$A177))*(2*(E$163/$D176)^2 +4*$A177^2)^0.5</f>
        <v>3.1948197989952192E-5</v>
      </c>
      <c r="K176" s="1"/>
      <c r="L176" s="1">
        <v>0.5</v>
      </c>
      <c r="M176" s="1">
        <f>H176/$D176</f>
        <v>0.38670443015297257</v>
      </c>
      <c r="N176" s="1">
        <f t="shared" ref="N176:N178" si="1758">I176/$D176</f>
        <v>0.19444810213539157</v>
      </c>
      <c r="O176" s="1">
        <f t="shared" si="1753"/>
        <v>0.12779279195980878</v>
      </c>
      <c r="P176" s="1"/>
      <c r="Q176" s="1">
        <v>0.5</v>
      </c>
      <c r="R176" s="1">
        <f t="shared" ref="R176:T176" si="1759">R166</f>
        <v>0.36666666666666664</v>
      </c>
      <c r="S176" s="1">
        <f t="shared" si="1759"/>
        <v>0.31578947368421051</v>
      </c>
      <c r="T176" s="1">
        <f t="shared" si="1759"/>
        <v>5.5555555555555552E-2</v>
      </c>
      <c r="U176" s="1"/>
      <c r="V176" s="1">
        <v>0.5</v>
      </c>
      <c r="W176" s="1">
        <f t="shared" ref="W176:W178" si="1760">(R176-M176)^2</f>
        <v>4.0151196553313501E-4</v>
      </c>
      <c r="X176" s="1">
        <f t="shared" ref="X176:X178" si="1761">(S176-N176)^2</f>
        <v>1.4723728449348526E-2</v>
      </c>
      <c r="Y176" s="1">
        <f>(T176-O176)^2</f>
        <v>5.2182183233239676E-3</v>
      </c>
      <c r="Z176" s="1"/>
      <c r="AA176" s="1">
        <f>SUM(W177:Y177)/3</f>
        <v>2.3469207713451193E-2</v>
      </c>
      <c r="AB176" s="1"/>
      <c r="AC176" s="1"/>
      <c r="AD176" s="1"/>
    </row>
    <row r="177" spans="1:35" x14ac:dyDescent="0.25">
      <c r="A177" s="1">
        <v>30.866092410041016</v>
      </c>
      <c r="B177" s="1"/>
      <c r="C177" s="1"/>
      <c r="D177" s="1">
        <f t="shared" si="1755"/>
        <v>5.0000000000000001E-4</v>
      </c>
      <c r="E177" s="1"/>
      <c r="F177" s="1"/>
      <c r="G177" s="1">
        <v>1</v>
      </c>
      <c r="H177" s="1">
        <f>-C$163/($A178*SQRT(2)) + ($D177/(2*$A178))*(2*(C$163/$D177)^2 +4*$A178^2)^0.5</f>
        <v>2.9000822847090611E-4</v>
      </c>
      <c r="I177" s="1">
        <f>-D$163/($A178*SQRT(2)) + ($D177/(2*$A178))*(2*(D$163/$D177)^2 +4*$A178^2)^0.5</f>
        <v>1.7140996976423416E-4</v>
      </c>
      <c r="J177" s="1">
        <f>-E$163/($A178*SQRT(2)) + ($D177/(2*$A178))*(2*(E$163/$D177)^2 +4*$A178^2)^0.5</f>
        <v>1.1792181468424606E-4</v>
      </c>
      <c r="K177" s="1"/>
      <c r="L177" s="1">
        <v>1</v>
      </c>
      <c r="M177" s="1">
        <f t="shared" ref="M177:M178" si="1762">H177/$D177</f>
        <v>0.58001645694181225</v>
      </c>
      <c r="N177" s="1">
        <f t="shared" si="1758"/>
        <v>0.34281993952846834</v>
      </c>
      <c r="O177" s="1">
        <f t="shared" si="1753"/>
        <v>0.23584362936849212</v>
      </c>
      <c r="P177" s="1"/>
      <c r="Q177" s="1">
        <v>1</v>
      </c>
      <c r="R177" s="1">
        <f t="shared" ref="R177:T177" si="1763">R167</f>
        <v>0.39285714285714285</v>
      </c>
      <c r="S177" s="1">
        <f t="shared" si="1763"/>
        <v>0.40740740740740738</v>
      </c>
      <c r="T177" s="1">
        <f t="shared" si="1763"/>
        <v>0.41249999999999998</v>
      </c>
      <c r="U177" s="1"/>
      <c r="V177" s="1">
        <v>1</v>
      </c>
      <c r="W177" s="1">
        <f t="shared" si="1760"/>
        <v>3.5028608848643929E-2</v>
      </c>
      <c r="X177" s="1">
        <f t="shared" si="1761"/>
        <v>4.1715410070129822E-3</v>
      </c>
      <c r="Y177" s="1">
        <f t="shared" ref="Y177:Y178" si="1764">(T177-O177)^2</f>
        <v>3.1207473284696672E-2</v>
      </c>
      <c r="Z177" s="1"/>
      <c r="AA177" s="1">
        <f>SUM(W178:Y178)/3</f>
        <v>2.454148507177174E-2</v>
      </c>
      <c r="AB177" s="1"/>
      <c r="AC177" s="1"/>
      <c r="AD177" s="1"/>
    </row>
    <row r="178" spans="1:35" x14ac:dyDescent="0.25">
      <c r="A178" s="1">
        <v>29.666934458607511</v>
      </c>
      <c r="B178" s="1"/>
      <c r="C178" s="1"/>
      <c r="D178" s="1">
        <f t="shared" si="1755"/>
        <v>8.0000000000000004E-4</v>
      </c>
      <c r="E178" s="1"/>
      <c r="F178" s="1"/>
      <c r="G178" s="1">
        <v>1.6</v>
      </c>
      <c r="H178" s="1">
        <f t="shared" ref="H178" si="1765">-C$163/($A179*SQRT(2)) + ($D178/(2*$A179))*(2*(C$163/$D178)^2 +4*$A179^2)^0.5</f>
        <v>6.4244560231460938E-4</v>
      </c>
      <c r="I178" s="1">
        <f t="shared" si="1756"/>
        <v>4.9555332644759913E-4</v>
      </c>
      <c r="J178" s="1">
        <f t="shared" si="1757"/>
        <v>3.9249152800089314E-4</v>
      </c>
      <c r="K178" s="1"/>
      <c r="L178" s="1">
        <v>1.6</v>
      </c>
      <c r="M178" s="1">
        <f t="shared" si="1762"/>
        <v>0.80305700289326165</v>
      </c>
      <c r="N178" s="1">
        <f t="shared" si="1758"/>
        <v>0.61944165805949891</v>
      </c>
      <c r="O178" s="1">
        <f t="shared" si="1753"/>
        <v>0.49061441000111639</v>
      </c>
      <c r="P178" s="1"/>
      <c r="Q178" s="1">
        <v>1.6</v>
      </c>
      <c r="R178" s="1">
        <f t="shared" ref="R178:T178" si="1766">R168</f>
        <v>0.57823129251700678</v>
      </c>
      <c r="S178" s="1">
        <f t="shared" si="1766"/>
        <v>0.6333333333333333</v>
      </c>
      <c r="T178" s="1">
        <f t="shared" si="1766"/>
        <v>0.64189189189189189</v>
      </c>
      <c r="U178" s="1"/>
      <c r="V178" s="1">
        <v>1.6</v>
      </c>
      <c r="W178" s="1">
        <f t="shared" si="1760"/>
        <v>5.0546600046187641E-2</v>
      </c>
      <c r="X178" s="1">
        <f t="shared" si="1761"/>
        <v>1.9297864191366183E-4</v>
      </c>
      <c r="Y178" s="1">
        <f t="shared" si="1764"/>
        <v>2.288487652721391E-2</v>
      </c>
      <c r="Z178" s="1"/>
      <c r="AA178" s="1"/>
      <c r="AB178" s="1"/>
      <c r="AC178" s="1"/>
      <c r="AD178" s="1"/>
    </row>
    <row r="179" spans="1:35" x14ac:dyDescent="0.25">
      <c r="A179" s="1">
        <v>47.973635463984643</v>
      </c>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row>
    <row r="181" spans="1:35" x14ac:dyDescent="0.25">
      <c r="N181" s="1"/>
      <c r="O181" s="1"/>
      <c r="P181" s="1"/>
      <c r="Q181" s="1"/>
      <c r="R181" s="1"/>
      <c r="S181" s="1"/>
      <c r="T181" s="1"/>
      <c r="U181" s="1"/>
      <c r="V181" s="1"/>
      <c r="W181" s="1"/>
      <c r="X181" s="1"/>
      <c r="Y181" s="1"/>
      <c r="Z181" s="1"/>
      <c r="AA181" s="1"/>
      <c r="AB181" s="1"/>
      <c r="AC181" s="1"/>
      <c r="AD181" s="1"/>
      <c r="AE181" s="1"/>
      <c r="AF181" s="1"/>
      <c r="AG181" s="1"/>
      <c r="AH181" s="1"/>
      <c r="AI181" s="1"/>
    </row>
    <row r="182" spans="1:35" x14ac:dyDescent="0.25">
      <c r="G182" t="s">
        <v>138</v>
      </c>
      <c r="H182" t="s">
        <v>140</v>
      </c>
      <c r="I182" t="s">
        <v>192</v>
      </c>
      <c r="J182" t="s">
        <v>142</v>
      </c>
      <c r="N182" s="1"/>
      <c r="O182" s="1" t="s">
        <v>187</v>
      </c>
      <c r="P182" s="1"/>
      <c r="Q182" s="1"/>
      <c r="R182" s="1"/>
      <c r="S182" s="1"/>
      <c r="T182" s="1"/>
      <c r="U182" s="1" t="s">
        <v>188</v>
      </c>
      <c r="V182" s="1"/>
      <c r="W182" s="1"/>
      <c r="X182" s="1"/>
      <c r="Y182" s="1"/>
      <c r="Z182" s="1" t="s">
        <v>186</v>
      </c>
      <c r="AA182" s="1"/>
      <c r="AB182" s="1"/>
      <c r="AC182" s="1"/>
      <c r="AD182" s="1"/>
      <c r="AE182" s="1"/>
      <c r="AF182" s="1" t="s">
        <v>208</v>
      </c>
      <c r="AG182" s="1"/>
      <c r="AH182" s="1"/>
      <c r="AI182" s="1"/>
    </row>
    <row r="183" spans="1:35" x14ac:dyDescent="0.25">
      <c r="G183">
        <f>M165</f>
        <v>0.28809180712206783</v>
      </c>
      <c r="H183">
        <f>M166</f>
        <v>0.42778863908512693</v>
      </c>
      <c r="I183">
        <f>M167</f>
        <v>0.63068084895835319</v>
      </c>
      <c r="J183">
        <f>M168</f>
        <v>0.74516595603538716</v>
      </c>
      <c r="N183" s="1"/>
      <c r="O183" s="1">
        <v>12</v>
      </c>
      <c r="P183" s="1">
        <v>27</v>
      </c>
      <c r="Q183" s="1">
        <v>42</v>
      </c>
      <c r="R183" s="1"/>
      <c r="S183" s="1"/>
      <c r="T183" s="1"/>
      <c r="U183" s="1"/>
      <c r="V183" s="1">
        <v>12</v>
      </c>
      <c r="W183" s="1">
        <v>27</v>
      </c>
      <c r="X183" s="1">
        <v>42</v>
      </c>
      <c r="Y183" s="1"/>
      <c r="Z183" s="1"/>
      <c r="AA183" s="1"/>
      <c r="AB183" s="1">
        <v>12</v>
      </c>
      <c r="AC183" s="1">
        <v>27</v>
      </c>
      <c r="AD183" s="1">
        <v>42</v>
      </c>
      <c r="AE183" s="1"/>
      <c r="AF183" s="1"/>
      <c r="AG183" s="1">
        <v>12</v>
      </c>
      <c r="AH183" s="1">
        <v>27</v>
      </c>
      <c r="AI183" s="1">
        <v>42</v>
      </c>
    </row>
    <row r="184" spans="1:35" x14ac:dyDescent="0.25">
      <c r="G184" s="8">
        <f>N165</f>
        <v>0.13700859077555286</v>
      </c>
      <c r="H184">
        <f>N166</f>
        <v>0.22131730097657998</v>
      </c>
      <c r="I184">
        <f>N167</f>
        <v>0.39340012111707701</v>
      </c>
      <c r="J184">
        <f>N168</f>
        <v>0.53307398888758628</v>
      </c>
      <c r="N184" s="1">
        <v>0.3</v>
      </c>
      <c r="O184" s="1">
        <f>-C$163/($A$193*SQRT(2)) + ($D165/(2*$A$193))*(2*(C$163/$D165)^2 +4*$A$193^2)^0.5</f>
        <v>5.0566173697443246E-5</v>
      </c>
      <c r="P184" s="1">
        <f t="shared" ref="P184:Q184" si="1767">-D$163/($A$193*SQRT(2)) + ($D165/(2*$A$193))*(2*(D$163/$D165)^2 +4*$A$193^2)^0.5</f>
        <v>2.4669458831236897E-5</v>
      </c>
      <c r="Q184" s="1">
        <f t="shared" si="1767"/>
        <v>1.6111761271356685E-5</v>
      </c>
      <c r="R184" s="1"/>
      <c r="S184" s="1"/>
      <c r="T184" s="1" t="s">
        <v>203</v>
      </c>
      <c r="U184" s="1">
        <v>0.3</v>
      </c>
      <c r="V184" s="1">
        <f>'estimates new'!AU91</f>
        <v>0.8</v>
      </c>
      <c r="W184" s="1">
        <f>'estimates new'!AU92</f>
        <v>0.30303030303030304</v>
      </c>
      <c r="X184" s="1">
        <f>'estimates new'!AU93</f>
        <v>0</v>
      </c>
      <c r="Y184" s="1"/>
      <c r="Z184" s="1" t="s">
        <v>203</v>
      </c>
      <c r="AA184" s="1">
        <v>0.3</v>
      </c>
      <c r="AB184" s="1">
        <f>O184/$D175</f>
        <v>0.33710782464962169</v>
      </c>
      <c r="AC184" s="1">
        <f t="shared" ref="AC184:AD184" si="1768">P184/$D175</f>
        <v>0.16446305887491267</v>
      </c>
      <c r="AD184" s="1">
        <f t="shared" si="1768"/>
        <v>0.10741174180904457</v>
      </c>
      <c r="AE184" s="1"/>
      <c r="AF184" s="1">
        <v>0.3</v>
      </c>
      <c r="AG184" s="1">
        <f>(V184-AB184)^2</f>
        <v>0.21426916600060542</v>
      </c>
      <c r="AH184" s="1">
        <f>(W184-AC184)^2</f>
        <v>1.9200881152819569E-2</v>
      </c>
      <c r="AI184" s="1">
        <f>(X184-AD184)^2</f>
        <v>1.1537282278452854E-2</v>
      </c>
    </row>
    <row r="185" spans="1:35" x14ac:dyDescent="0.25">
      <c r="G185" s="8">
        <f>O165</f>
        <v>8.9050098951407933E-2</v>
      </c>
      <c r="H185" s="8">
        <f>O166</f>
        <v>0.14639687103676877</v>
      </c>
      <c r="I185" s="8">
        <f>O167</f>
        <v>0.27635528559703282</v>
      </c>
      <c r="J185" s="8">
        <f>O168</f>
        <v>0.40154173177421371</v>
      </c>
      <c r="K185" s="8"/>
      <c r="L185" s="8"/>
      <c r="N185" s="1">
        <v>0.5</v>
      </c>
      <c r="O185" s="1">
        <f t="shared" ref="O185:O187" si="1769">-C$163/($A$193*SQRT(2)) + ($D166/(2*$A$193))*(2*(C$163/$D166)^2 +4*$A$193^2)^0.5</f>
        <v>1.2121546400483291E-4</v>
      </c>
      <c r="P185" s="1">
        <f t="shared" ref="P185:P187" si="1770">-D$163/($A$193*SQRT(2)) + ($D166/(2*$A$193))*(2*(D$163/$D166)^2 +4*$A$193^2)^0.5</f>
        <v>6.5584185032062359E-5</v>
      </c>
      <c r="Q185" s="1">
        <f t="shared" ref="Q185:Q187" si="1771">-E$163/($A$193*SQRT(2)) + ($D166/(2*$A$193))*(2*(E$163/$D166)^2 +4*$A$193^2)^0.5</f>
        <v>4.3882256518290629E-5</v>
      </c>
      <c r="R185" s="1"/>
      <c r="S185" s="1"/>
      <c r="T185" s="1" t="s">
        <v>204</v>
      </c>
      <c r="U185" s="1">
        <v>0.5</v>
      </c>
      <c r="V185" s="1">
        <f>'estimates new'!AU76</f>
        <v>0.56666666666666665</v>
      </c>
      <c r="W185" s="1">
        <f>'estimates new'!AU77</f>
        <v>0.48275862068965519</v>
      </c>
      <c r="X185" s="1">
        <f>'estimates new'!AU78</f>
        <v>0.27272727272727271</v>
      </c>
      <c r="Y185" s="1"/>
      <c r="Z185" s="1" t="s">
        <v>204</v>
      </c>
      <c r="AA185" s="1">
        <v>0.5</v>
      </c>
      <c r="AB185" s="1">
        <f t="shared" ref="AB185:AB187" si="1772">O185/$D176</f>
        <v>0.48486185601933163</v>
      </c>
      <c r="AC185" s="1">
        <f t="shared" ref="AC185:AC187" si="1773">P185/$D176</f>
        <v>0.26233674012824942</v>
      </c>
      <c r="AD185" s="1">
        <f t="shared" ref="AD185:AD187" si="1774">Q185/$D176</f>
        <v>0.17552902607316251</v>
      </c>
      <c r="AE185" s="1"/>
      <c r="AF185" s="1">
        <v>0.5</v>
      </c>
      <c r="AG185" s="1">
        <f t="shared" ref="AG185:AG187" si="1775">(V185-AB185)^2</f>
        <v>6.6920270450463379E-3</v>
      </c>
      <c r="AH185" s="1">
        <f t="shared" ref="AH185:AH187" si="1776">(W185-AC185)^2</f>
        <v>4.8585805430226628E-2</v>
      </c>
      <c r="AI185" s="1">
        <f t="shared" ref="AI185:AI187" si="1777">(X185-AD185)^2</f>
        <v>9.4474991526332444E-3</v>
      </c>
    </row>
    <row r="186" spans="1:35" x14ac:dyDescent="0.25">
      <c r="G186" s="8"/>
      <c r="H186" s="8"/>
      <c r="I186" s="8"/>
      <c r="J186" s="8"/>
      <c r="K186" s="8"/>
      <c r="L186" s="8"/>
      <c r="N186" s="1">
        <v>1</v>
      </c>
      <c r="O186" s="1">
        <f t="shared" si="1769"/>
        <v>3.4028435673536038E-4</v>
      </c>
      <c r="P186" s="1">
        <f t="shared" si="1770"/>
        <v>2.2478489794095679E-4</v>
      </c>
      <c r="Q186" s="1">
        <f t="shared" si="1771"/>
        <v>1.6207853243774002E-4</v>
      </c>
      <c r="R186" s="1"/>
      <c r="S186" s="1"/>
      <c r="T186" s="1" t="s">
        <v>205</v>
      </c>
      <c r="U186" s="1">
        <v>1</v>
      </c>
      <c r="V186" s="1">
        <f>'estimates new'!AU67</f>
        <v>0.5662650602409639</v>
      </c>
      <c r="W186" s="1">
        <f>'estimates new'!AU68</f>
        <v>0.40963855421686746</v>
      </c>
      <c r="X186" s="1">
        <f>'estimates new'!AU69</f>
        <v>0.3125</v>
      </c>
      <c r="Y186" s="1"/>
      <c r="Z186" s="1" t="s">
        <v>205</v>
      </c>
      <c r="AA186" s="1">
        <v>1</v>
      </c>
      <c r="AB186" s="1">
        <f t="shared" si="1772"/>
        <v>0.68056871347072079</v>
      </c>
      <c r="AC186" s="1">
        <f t="shared" si="1773"/>
        <v>0.44956979588191359</v>
      </c>
      <c r="AD186" s="1">
        <f t="shared" si="1774"/>
        <v>0.32415706487548002</v>
      </c>
      <c r="AE186" s="1"/>
      <c r="AF186" s="1">
        <v>1</v>
      </c>
      <c r="AG186" s="1">
        <f t="shared" si="1775"/>
        <v>1.3065325141668511E-2</v>
      </c>
      <c r="AH186" s="1">
        <f t="shared" si="1776"/>
        <v>1.5945040609123165E-3</v>
      </c>
      <c r="AI186" s="1">
        <f t="shared" si="1777"/>
        <v>1.3588716151114992E-4</v>
      </c>
    </row>
    <row r="187" spans="1:35" x14ac:dyDescent="0.25">
      <c r="H187" s="8"/>
      <c r="I187" s="8"/>
      <c r="J187" s="8"/>
      <c r="K187" s="8"/>
      <c r="L187" s="8"/>
      <c r="N187" s="1">
        <v>1.6</v>
      </c>
      <c r="O187" s="1">
        <f t="shared" si="1769"/>
        <v>6.267482844210208E-4</v>
      </c>
      <c r="P187" s="1">
        <f t="shared" si="1770"/>
        <v>4.7110853435279593E-4</v>
      </c>
      <c r="Q187" s="1">
        <f t="shared" si="1771"/>
        <v>3.6638981918441752E-4</v>
      </c>
      <c r="R187" s="1"/>
      <c r="S187" s="1"/>
      <c r="T187" s="1" t="s">
        <v>206</v>
      </c>
      <c r="U187" s="1">
        <v>1.6</v>
      </c>
      <c r="V187" s="1">
        <f>'estimates new'!AU94</f>
        <v>0.80838323353293418</v>
      </c>
      <c r="W187" s="1">
        <f>'estimates new'!AU95</f>
        <v>0.90410958904109584</v>
      </c>
      <c r="X187" s="1">
        <f>'estimates new'!AU96</f>
        <v>0.91275167785234901</v>
      </c>
      <c r="Y187" s="1"/>
      <c r="Z187" s="1" t="s">
        <v>206</v>
      </c>
      <c r="AA187" s="1">
        <v>1.6</v>
      </c>
      <c r="AB187" s="1">
        <f t="shared" si="1772"/>
        <v>0.78343535552627597</v>
      </c>
      <c r="AC187" s="1">
        <f t="shared" si="1773"/>
        <v>0.58888566794099484</v>
      </c>
      <c r="AD187" s="1">
        <f t="shared" si="1774"/>
        <v>0.45798727398052186</v>
      </c>
      <c r="AE187" s="1"/>
      <c r="AF187" s="1">
        <v>1.6</v>
      </c>
      <c r="AG187" s="1">
        <f t="shared" si="1775"/>
        <v>6.2239661703510031E-4</v>
      </c>
      <c r="AH187" s="1">
        <f t="shared" si="1776"/>
        <v>9.9366120433722699E-2</v>
      </c>
      <c r="AI187" s="1">
        <f t="shared" si="1777"/>
        <v>0.20681066302889831</v>
      </c>
    </row>
    <row r="188" spans="1:35" x14ac:dyDescent="0.25">
      <c r="H188" s="8"/>
      <c r="I188" s="8"/>
      <c r="J188" s="8"/>
      <c r="K188" s="8"/>
      <c r="L188" s="8"/>
      <c r="N188" s="1"/>
      <c r="O188" s="1"/>
      <c r="P188" s="1"/>
      <c r="Q188" s="1"/>
      <c r="R188" s="1"/>
      <c r="S188" s="1"/>
      <c r="T188" s="1"/>
      <c r="U188" s="1"/>
      <c r="V188" s="1"/>
      <c r="W188" s="1"/>
      <c r="X188" s="1"/>
      <c r="Y188" s="1"/>
      <c r="Z188" s="1"/>
      <c r="AA188" s="1"/>
      <c r="AB188" s="1"/>
      <c r="AC188" s="1"/>
      <c r="AD188" s="1"/>
      <c r="AE188" s="1"/>
      <c r="AF188" s="1"/>
      <c r="AG188" s="1"/>
      <c r="AH188" s="1"/>
      <c r="AI188" s="1"/>
    </row>
    <row r="189" spans="1:35" ht="18.75" x14ac:dyDescent="0.3">
      <c r="C189" s="2" t="s">
        <v>210</v>
      </c>
      <c r="N189" s="1"/>
      <c r="O189" s="1"/>
      <c r="P189" s="1"/>
      <c r="Q189" s="1"/>
      <c r="R189" s="1"/>
      <c r="S189" s="1"/>
      <c r="T189" s="1"/>
      <c r="U189" s="1"/>
      <c r="V189" s="1"/>
      <c r="W189" s="1"/>
      <c r="X189" s="1"/>
      <c r="Y189" s="1"/>
      <c r="Z189" s="1"/>
      <c r="AA189" s="1"/>
      <c r="AB189" s="1"/>
      <c r="AC189" s="1"/>
      <c r="AD189" s="1"/>
      <c r="AE189" s="1"/>
      <c r="AF189" s="1"/>
      <c r="AG189" s="1"/>
      <c r="AH189" s="1"/>
      <c r="AI189" s="1"/>
    </row>
    <row r="190" spans="1:35" x14ac:dyDescent="0.25">
      <c r="A190" s="1"/>
      <c r="B190" s="1" t="s">
        <v>194</v>
      </c>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row>
    <row r="191" spans="1:35" x14ac:dyDescent="0.25">
      <c r="A191" s="1"/>
      <c r="B191" s="1"/>
      <c r="C191" s="1"/>
      <c r="D191" s="1"/>
      <c r="E191" s="1"/>
      <c r="F191" s="1"/>
      <c r="G191" s="1"/>
      <c r="H191" s="1" t="s">
        <v>187</v>
      </c>
      <c r="I191" s="1"/>
      <c r="J191" s="1"/>
      <c r="K191" s="1"/>
      <c r="L191" s="1"/>
      <c r="M191" s="1"/>
      <c r="N191" s="1"/>
      <c r="O191" s="1" t="s">
        <v>188</v>
      </c>
      <c r="P191" s="1"/>
      <c r="Q191" s="1"/>
      <c r="R191" s="1"/>
      <c r="S191" s="1"/>
      <c r="T191" s="1" t="s">
        <v>207</v>
      </c>
      <c r="U191" s="1"/>
      <c r="V191" s="1"/>
      <c r="W191" s="1"/>
      <c r="X191" s="1"/>
      <c r="Y191" s="1" t="s">
        <v>208</v>
      </c>
      <c r="Z191" s="1"/>
      <c r="AA191" s="1"/>
      <c r="AB191" s="1"/>
      <c r="AC191" s="1"/>
      <c r="AD191" s="1"/>
      <c r="AE191" s="1"/>
      <c r="AF191" s="1"/>
      <c r="AG191" s="1"/>
      <c r="AH191" s="1"/>
      <c r="AI191" s="1"/>
    </row>
    <row r="192" spans="1:35" x14ac:dyDescent="0.25">
      <c r="A192" s="1" t="s">
        <v>183</v>
      </c>
      <c r="B192" s="1"/>
      <c r="C192" s="1"/>
      <c r="D192" s="1"/>
      <c r="E192" s="1"/>
      <c r="F192" s="1"/>
      <c r="G192" s="1"/>
      <c r="H192" s="1">
        <v>12</v>
      </c>
      <c r="I192" s="1">
        <v>27</v>
      </c>
      <c r="J192" s="1">
        <v>42</v>
      </c>
      <c r="K192" s="1"/>
      <c r="L192" s="1"/>
      <c r="M192" s="1"/>
      <c r="N192" s="1"/>
      <c r="O192" s="1"/>
      <c r="P192" s="1">
        <v>12</v>
      </c>
      <c r="Q192" s="1">
        <v>27</v>
      </c>
      <c r="R192" s="1">
        <v>42</v>
      </c>
      <c r="S192" s="1"/>
      <c r="T192" s="1"/>
      <c r="U192" s="1">
        <v>12</v>
      </c>
      <c r="V192" s="1">
        <v>27</v>
      </c>
      <c r="W192" s="1">
        <v>42</v>
      </c>
      <c r="X192" s="1"/>
      <c r="Y192" s="1"/>
      <c r="Z192" s="1">
        <v>12</v>
      </c>
      <c r="AA192" s="1">
        <v>27</v>
      </c>
      <c r="AB192" s="1">
        <v>42</v>
      </c>
      <c r="AC192" s="1"/>
      <c r="AD192" s="1"/>
      <c r="AE192" s="1"/>
      <c r="AF192" s="1"/>
      <c r="AG192" s="1"/>
      <c r="AH192" s="1"/>
      <c r="AI192" s="1"/>
    </row>
    <row r="193" spans="1:40" x14ac:dyDescent="0.25">
      <c r="A193" s="1">
        <v>43.029321191689561</v>
      </c>
      <c r="B193" s="1"/>
      <c r="C193" s="1"/>
      <c r="D193" s="1"/>
      <c r="E193" s="1"/>
      <c r="F193" s="1"/>
      <c r="G193" s="1">
        <v>0.3</v>
      </c>
      <c r="H193" s="1">
        <f>-C$163/($A$193*SQRT(2)) + ($D165/(2*$A$193))*(2*(C$163/$D165)^2 +4*$A$193^2)^0.5</f>
        <v>5.0566173697443246E-5</v>
      </c>
      <c r="I193" s="1">
        <f t="shared" ref="I193:J193" si="1778">-D$163/($A$193*SQRT(2)) + ($D165/(2*$A$193))*(2*(D$163/$D165)^2 +4*$A$193^2)^0.5</f>
        <v>2.4669458831236897E-5</v>
      </c>
      <c r="J193" s="1">
        <f t="shared" si="1778"/>
        <v>1.6111761271356685E-5</v>
      </c>
      <c r="K193" s="1"/>
      <c r="L193" s="1"/>
      <c r="M193" s="1"/>
      <c r="N193" s="1" t="s">
        <v>195</v>
      </c>
      <c r="O193" s="1">
        <v>0.3</v>
      </c>
      <c r="P193" s="1">
        <f>'estimates new'!AU88</f>
        <v>0</v>
      </c>
      <c r="Q193" s="1">
        <f>'estimates new'!AU89</f>
        <v>0.3</v>
      </c>
      <c r="R193" s="1">
        <f>'estimates new'!AU90</f>
        <v>0.31746031746031744</v>
      </c>
      <c r="S193" s="1"/>
      <c r="T193" s="1">
        <v>0.3</v>
      </c>
      <c r="U193" s="1">
        <f>H193/$D175</f>
        <v>0.33710782464962169</v>
      </c>
      <c r="V193" s="1">
        <f t="shared" ref="V193:W193" si="1779">I193/$D175</f>
        <v>0.16446305887491267</v>
      </c>
      <c r="W193" s="1">
        <f t="shared" si="1779"/>
        <v>0.10741174180904457</v>
      </c>
      <c r="X193" s="1"/>
      <c r="Y193" s="1">
        <v>0.3</v>
      </c>
      <c r="Z193" s="1">
        <f>(U193-P193)^2</f>
        <v>0.11364168544000008</v>
      </c>
      <c r="AA193" s="1">
        <f>(V193-Q193)^2</f>
        <v>1.8370262409545389E-2</v>
      </c>
      <c r="AB193" s="1">
        <f t="shared" ref="AB193" si="1780">(W193-R193)^2</f>
        <v>4.412040413312851E-2</v>
      </c>
      <c r="AC193" s="1"/>
      <c r="AD193" s="1"/>
      <c r="AE193" s="1" t="s">
        <v>209</v>
      </c>
      <c r="AF193" s="1"/>
      <c r="AG193" s="1"/>
      <c r="AH193" s="1"/>
      <c r="AI193" s="1"/>
    </row>
    <row r="194" spans="1:40" x14ac:dyDescent="0.25">
      <c r="A194" s="1"/>
      <c r="B194" s="1"/>
      <c r="C194" s="1"/>
      <c r="D194" s="1"/>
      <c r="E194" s="1"/>
      <c r="F194" s="1"/>
      <c r="G194" s="1">
        <v>0.5</v>
      </c>
      <c r="H194" s="1">
        <f t="shared" ref="H194:H196" si="1781">-C$163/($A$193*SQRT(2)) + ($D166/(2*$A$193))*(2*(C$163/$D166)^2 +4*$A$193^2)^0.5</f>
        <v>1.2121546400483291E-4</v>
      </c>
      <c r="I194" s="1">
        <f t="shared" ref="I194:I195" si="1782">-D$163/($A$193*SQRT(2)) + ($D166/(2*$A$193))*(2*(D$163/$D166)^2 +4*$A$193^2)^0.5</f>
        <v>6.5584185032062359E-5</v>
      </c>
      <c r="J194" s="1">
        <f t="shared" ref="J194:J196" si="1783">-E$163/($A$193*SQRT(2)) + ($D166/(2*$A$193))*(2*(E$163/$D166)^2 +4*$A$193^2)^0.5</f>
        <v>4.3882256518290629E-5</v>
      </c>
      <c r="K194" s="1"/>
      <c r="L194" s="1"/>
      <c r="M194" s="1"/>
      <c r="N194" s="1" t="s">
        <v>196</v>
      </c>
      <c r="O194" s="1">
        <v>0.5</v>
      </c>
      <c r="P194" s="1">
        <f>'estimates new'!AU79</f>
        <v>0.41176470588235292</v>
      </c>
      <c r="Q194" s="1">
        <f>'estimates new'!AU80</f>
        <v>0.31147540983606559</v>
      </c>
      <c r="R194" s="1">
        <f>'estimates new'!AU81</f>
        <v>0.29090909090909089</v>
      </c>
      <c r="S194" s="1"/>
      <c r="T194" s="1">
        <v>0.5</v>
      </c>
      <c r="U194" s="1">
        <f t="shared" ref="U194:U196" si="1784">H194/$D176</f>
        <v>0.48486185601933163</v>
      </c>
      <c r="V194" s="1">
        <f t="shared" ref="V194:V195" si="1785">I194/$D176</f>
        <v>0.26233674012824942</v>
      </c>
      <c r="W194" s="1">
        <f t="shared" ref="W194:W195" si="1786">J194/$D176</f>
        <v>0.17552902607316251</v>
      </c>
      <c r="X194" s="1"/>
      <c r="Y194" s="1">
        <v>0.5</v>
      </c>
      <c r="Z194" s="1">
        <f t="shared" ref="Z194:Z196" si="1787">(U194-P194)^2</f>
        <v>5.3431933581480056E-3</v>
      </c>
      <c r="AA194" s="1">
        <f t="shared" ref="AA194:AA196" si="1788">(V194-Q194)^2</f>
        <v>2.4146088606538498E-3</v>
      </c>
      <c r="AB194" s="1">
        <f t="shared" ref="AB194:AB196" si="1789">(W194-R194)^2</f>
        <v>1.3312559361543038E-2</v>
      </c>
      <c r="AC194" s="1"/>
      <c r="AD194" s="1"/>
      <c r="AE194" s="1">
        <f>(SUM(AG184:AI187)+SUM(Z193:AB196)+SUM(W200:Y203))/36</f>
        <v>2.954629425718416E-2</v>
      </c>
      <c r="AF194" s="1"/>
      <c r="AG194" s="1"/>
      <c r="AH194" s="1"/>
      <c r="AI194" s="1"/>
    </row>
    <row r="195" spans="1:40" x14ac:dyDescent="0.25">
      <c r="A195" s="1"/>
      <c r="B195" s="1"/>
      <c r="C195" s="1"/>
      <c r="D195" s="1"/>
      <c r="E195" s="1"/>
      <c r="F195" s="1"/>
      <c r="G195" s="1">
        <v>1</v>
      </c>
      <c r="H195" s="1">
        <f>-C$163/($A$193*SQRT(2)) + ($D167/(2*$A$193))*(2*(C$163/$D167)^2 +4*$A$193^2)^0.5</f>
        <v>3.4028435673536038E-4</v>
      </c>
      <c r="I195" s="1">
        <f t="shared" si="1782"/>
        <v>2.2478489794095679E-4</v>
      </c>
      <c r="J195" s="1">
        <f t="shared" si="1783"/>
        <v>1.6207853243774002E-4</v>
      </c>
      <c r="K195" s="1"/>
      <c r="L195" s="1"/>
      <c r="M195" s="1"/>
      <c r="N195" s="1" t="s">
        <v>197</v>
      </c>
      <c r="O195" s="1">
        <v>1</v>
      </c>
      <c r="P195" s="1">
        <f>'estimates new'!AU64</f>
        <v>0.59756097560975607</v>
      </c>
      <c r="Q195" s="1">
        <f>'estimates new'!AU65</f>
        <v>0.44155844155844154</v>
      </c>
      <c r="R195" s="1">
        <f>'estimates new'!AU66</f>
        <v>0.35802469135802467</v>
      </c>
      <c r="S195" s="1"/>
      <c r="T195" s="1">
        <v>1</v>
      </c>
      <c r="U195" s="1">
        <f t="shared" si="1784"/>
        <v>0.68056871347072079</v>
      </c>
      <c r="V195" s="1">
        <f t="shared" si="1785"/>
        <v>0.44956979588191359</v>
      </c>
      <c r="W195" s="1">
        <f t="shared" si="1786"/>
        <v>0.32415706487548002</v>
      </c>
      <c r="X195" s="1"/>
      <c r="Y195" s="1">
        <v>1</v>
      </c>
      <c r="Z195" s="1">
        <f t="shared" si="1787"/>
        <v>6.8902845447946347E-3</v>
      </c>
      <c r="AA195" s="1">
        <f t="shared" si="1788"/>
        <v>6.4181798096214361E-5</v>
      </c>
      <c r="AB195" s="1">
        <f>(W195-R195)^2</f>
        <v>1.1470161235611601E-3</v>
      </c>
      <c r="AC195" s="1"/>
      <c r="AD195" s="1"/>
      <c r="AE195" s="1"/>
      <c r="AF195" s="1"/>
      <c r="AG195" s="1"/>
      <c r="AH195" s="1"/>
      <c r="AI195" s="1"/>
    </row>
    <row r="196" spans="1:40" x14ac:dyDescent="0.25">
      <c r="A196" s="1"/>
      <c r="B196" s="1"/>
      <c r="C196" s="1"/>
      <c r="D196" s="1"/>
      <c r="E196" s="1"/>
      <c r="F196" s="1"/>
      <c r="G196" s="1">
        <v>1.6</v>
      </c>
      <c r="H196" s="1">
        <f t="shared" si="1781"/>
        <v>6.267482844210208E-4</v>
      </c>
      <c r="I196" s="1">
        <f>-D$163/($A$193*SQRT(2)) + ($D168/(2*$A$193))*(2*(D$163/$D168)^2 +4*$A$193^2)^0.5</f>
        <v>4.7110853435279593E-4</v>
      </c>
      <c r="J196" s="1">
        <f t="shared" si="1783"/>
        <v>3.6638981918441752E-4</v>
      </c>
      <c r="K196" s="1"/>
      <c r="L196" s="1"/>
      <c r="M196" s="1"/>
      <c r="N196" s="1" t="s">
        <v>198</v>
      </c>
      <c r="O196" s="1">
        <v>1.6</v>
      </c>
      <c r="P196" s="1">
        <f>'estimates new'!AU82</f>
        <v>0.74149659863945583</v>
      </c>
      <c r="Q196" s="1">
        <f>'estimates new'!AU83</f>
        <v>0.58278145695364236</v>
      </c>
      <c r="R196" s="1">
        <f>'estimates new'!AU84</f>
        <v>0.54794520547945202</v>
      </c>
      <c r="S196" s="1"/>
      <c r="T196" s="1">
        <v>1.6</v>
      </c>
      <c r="U196" s="1">
        <f t="shared" si="1784"/>
        <v>0.78343535552627597</v>
      </c>
      <c r="V196" s="1">
        <f>I196/$D178</f>
        <v>0.58888566794099484</v>
      </c>
      <c r="W196" s="1">
        <f>J196/$D178</f>
        <v>0.45798727398052186</v>
      </c>
      <c r="X196" s="1"/>
      <c r="Y196" s="1">
        <v>1.6</v>
      </c>
      <c r="Z196" s="1">
        <f t="shared" si="1787"/>
        <v>1.7588593292118036E-3</v>
      </c>
      <c r="AA196" s="1">
        <f t="shared" si="1788"/>
        <v>3.7261391778114692E-5</v>
      </c>
      <c r="AB196" s="1">
        <f t="shared" si="1789"/>
        <v>8.0924294395662115E-3</v>
      </c>
      <c r="AC196" s="1"/>
      <c r="AD196" s="1"/>
      <c r="AE196" s="1"/>
      <c r="AF196" s="1"/>
      <c r="AG196" s="1"/>
      <c r="AH196" s="1"/>
      <c r="AI196" s="1"/>
    </row>
    <row r="197" spans="1:40"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row>
    <row r="198" spans="1:40" x14ac:dyDescent="0.25">
      <c r="A198" s="1"/>
      <c r="B198" s="1"/>
      <c r="C198" s="1"/>
      <c r="D198" s="1"/>
      <c r="E198" s="1"/>
      <c r="F198" s="1"/>
      <c r="G198" s="1"/>
      <c r="H198" s="1" t="s">
        <v>187</v>
      </c>
      <c r="I198" s="1"/>
      <c r="J198" s="1"/>
      <c r="K198" s="1"/>
      <c r="L198" s="1"/>
      <c r="M198" s="1" t="s">
        <v>186</v>
      </c>
      <c r="N198" s="1"/>
      <c r="O198" s="1"/>
      <c r="P198" s="1"/>
      <c r="Q198" s="1" t="s">
        <v>188</v>
      </c>
      <c r="R198" s="1"/>
      <c r="S198" s="1"/>
      <c r="T198" s="1"/>
      <c r="U198" s="1"/>
      <c r="V198" s="1" t="s">
        <v>208</v>
      </c>
      <c r="W198" s="1"/>
      <c r="X198" s="1"/>
      <c r="Y198" s="1"/>
      <c r="Z198" s="1"/>
      <c r="AA198" s="1"/>
      <c r="AB198" s="1"/>
      <c r="AC198" s="1"/>
      <c r="AD198" s="1"/>
      <c r="AE198" s="1"/>
      <c r="AF198" s="1"/>
      <c r="AG198" s="1"/>
      <c r="AH198" s="1"/>
      <c r="AI198" s="1"/>
    </row>
    <row r="199" spans="1:40" x14ac:dyDescent="0.25">
      <c r="A199" s="1"/>
      <c r="B199" s="1"/>
      <c r="C199" s="1"/>
      <c r="D199" s="1"/>
      <c r="E199" s="1"/>
      <c r="F199" s="1"/>
      <c r="G199" s="1"/>
      <c r="H199" s="1">
        <v>12</v>
      </c>
      <c r="I199" s="1">
        <v>27</v>
      </c>
      <c r="J199" s="1">
        <v>42</v>
      </c>
      <c r="K199" s="1"/>
      <c r="L199" s="1"/>
      <c r="M199" s="1">
        <v>12</v>
      </c>
      <c r="N199" s="1">
        <v>27</v>
      </c>
      <c r="O199" s="1">
        <v>42</v>
      </c>
      <c r="P199" s="1"/>
      <c r="Q199" s="1"/>
      <c r="R199" s="1">
        <v>12</v>
      </c>
      <c r="S199" s="1">
        <v>27</v>
      </c>
      <c r="T199" s="1">
        <v>42</v>
      </c>
      <c r="U199" s="1"/>
      <c r="V199" s="1"/>
      <c r="W199" s="1">
        <v>12</v>
      </c>
      <c r="X199" s="1">
        <v>27</v>
      </c>
      <c r="Y199" s="1">
        <v>42</v>
      </c>
      <c r="Z199" s="1"/>
      <c r="AA199" s="1"/>
      <c r="AB199" s="1"/>
      <c r="AC199" s="1"/>
      <c r="AD199" s="1"/>
      <c r="AE199" s="1"/>
      <c r="AF199" s="1"/>
      <c r="AG199" s="1"/>
      <c r="AH199" s="1"/>
      <c r="AI199" s="1"/>
    </row>
    <row r="200" spans="1:40" x14ac:dyDescent="0.25">
      <c r="A200" s="1"/>
      <c r="B200" s="1"/>
      <c r="C200" s="1"/>
      <c r="D200" s="1"/>
      <c r="E200" s="1"/>
      <c r="F200" s="1"/>
      <c r="G200" s="1">
        <v>0.3</v>
      </c>
      <c r="H200" s="1">
        <f>-C$163/($A$193*SQRT(2)) + ($D165/(2*$A$193))*(2*(C$163/$D165)^2 +4*$A$193^2)^0.5</f>
        <v>5.0566173697443246E-5</v>
      </c>
      <c r="I200" s="1">
        <f t="shared" ref="I200:J200" si="1790">-D$163/($A$193*SQRT(2)) + ($D165/(2*$A$193))*(2*(D$163/$D165)^2 +4*$A$193^2)^0.5</f>
        <v>2.4669458831236897E-5</v>
      </c>
      <c r="J200" s="1">
        <f t="shared" si="1790"/>
        <v>1.6111761271356685E-5</v>
      </c>
      <c r="K200" s="1"/>
      <c r="L200" s="1">
        <v>0.3</v>
      </c>
      <c r="M200" s="1">
        <f>H200/$D165</f>
        <v>0.33710782464962169</v>
      </c>
      <c r="N200" s="1">
        <f>I200/$D165</f>
        <v>0.16446305887491267</v>
      </c>
      <c r="O200" s="1">
        <f>J200/$D165</f>
        <v>0.10741174180904457</v>
      </c>
      <c r="P200" s="1" t="s">
        <v>199</v>
      </c>
      <c r="Q200" s="1">
        <v>0.3</v>
      </c>
      <c r="R200" s="1">
        <f>'estimates new'!AU70</f>
        <v>0.2978723404255319</v>
      </c>
      <c r="S200" s="1">
        <f>'estimates new'!AU71</f>
        <v>0.11363636363636363</v>
      </c>
      <c r="T200" s="1">
        <f>'estimates new'!AU72</f>
        <v>0</v>
      </c>
      <c r="U200" s="1"/>
      <c r="V200" s="1">
        <v>0.3</v>
      </c>
      <c r="W200" s="1">
        <f>(R200-M200)^2</f>
        <v>1.5394232222987988E-3</v>
      </c>
      <c r="X200" s="1">
        <f t="shared" ref="X200:Y200" si="1791">(S200-N200)^2</f>
        <v>2.5833529488723428E-3</v>
      </c>
      <c r="Y200" s="1">
        <f t="shared" si="1791"/>
        <v>1.1537282278452854E-2</v>
      </c>
      <c r="Z200" s="1"/>
      <c r="AA200" s="1"/>
      <c r="AB200" s="1"/>
      <c r="AC200" s="1"/>
      <c r="AD200" s="1"/>
      <c r="AE200" s="1"/>
      <c r="AF200" s="1"/>
      <c r="AG200" s="1"/>
      <c r="AH200" s="1"/>
      <c r="AI200" s="1"/>
    </row>
    <row r="201" spans="1:40" x14ac:dyDescent="0.25">
      <c r="A201" s="1"/>
      <c r="B201" s="1"/>
      <c r="C201" s="1"/>
      <c r="D201" s="1"/>
      <c r="E201" s="1"/>
      <c r="F201" s="1"/>
      <c r="G201" s="1">
        <v>0.5</v>
      </c>
      <c r="H201" s="1">
        <f t="shared" ref="H201:H203" si="1792">-C$163/($A$193*SQRT(2)) + ($D166/(2*$A$193))*(2*(C$163/$D166)^2 +4*$A$193^2)^0.5</f>
        <v>1.2121546400483291E-4</v>
      </c>
      <c r="I201" s="1">
        <f t="shared" ref="I201:I203" si="1793">-D$163/($A$193*SQRT(2)) + ($D166/(2*$A$193))*(2*(D$163/$D166)^2 +4*$A$193^2)^0.5</f>
        <v>6.5584185032062359E-5</v>
      </c>
      <c r="J201" s="1">
        <f t="shared" ref="J201:J203" si="1794">-E$163/($A$193*SQRT(2)) + ($D166/(2*$A$193))*(2*(E$163/$D166)^2 +4*$A$193^2)^0.5</f>
        <v>4.3882256518290629E-5</v>
      </c>
      <c r="K201" s="1"/>
      <c r="L201" s="1">
        <v>0.5</v>
      </c>
      <c r="M201" s="1">
        <f>H201/$D166</f>
        <v>0.48486185601933163</v>
      </c>
      <c r="N201" s="1">
        <f t="shared" ref="N201:N203" si="1795">I201/$D166</f>
        <v>0.26233674012824942</v>
      </c>
      <c r="O201" s="1">
        <f>J201/$D166</f>
        <v>0.17552902607316251</v>
      </c>
      <c r="P201" s="1" t="s">
        <v>200</v>
      </c>
      <c r="Q201" s="1">
        <v>0.5</v>
      </c>
      <c r="R201" s="1">
        <f>'estimates new'!AU73</f>
        <v>0.36666666666666664</v>
      </c>
      <c r="S201" s="1">
        <f>'estimates new'!AU74</f>
        <v>0.31578947368421051</v>
      </c>
      <c r="T201" s="1">
        <f>'estimates new'!AU75</f>
        <v>5.5555555555555552E-2</v>
      </c>
      <c r="U201" s="1"/>
      <c r="V201" s="1">
        <v>0.5</v>
      </c>
      <c r="W201" s="1">
        <f t="shared" ref="W201:W203" si="1796">(R201-M201)^2</f>
        <v>1.3970102786112331E-2</v>
      </c>
      <c r="X201" s="1">
        <f t="shared" ref="X201:X203" si="1797">(S201-N201)^2</f>
        <v>2.8571947246045682E-3</v>
      </c>
      <c r="Y201" s="1">
        <f t="shared" ref="Y201:Y203" si="1798">(T201-O201)^2</f>
        <v>1.4393633628039106E-2</v>
      </c>
      <c r="Z201" s="1"/>
      <c r="AA201" s="1"/>
      <c r="AB201" s="1"/>
      <c r="AC201" s="1"/>
      <c r="AD201" s="1"/>
      <c r="AE201" s="1"/>
      <c r="AF201" s="1"/>
      <c r="AG201" s="1"/>
      <c r="AH201" s="1"/>
      <c r="AI201" s="1"/>
    </row>
    <row r="202" spans="1:40" x14ac:dyDescent="0.25">
      <c r="A202" s="1"/>
      <c r="B202" s="1"/>
      <c r="C202" s="1"/>
      <c r="D202" s="1"/>
      <c r="E202" s="1"/>
      <c r="F202" s="1"/>
      <c r="G202" s="1">
        <v>1</v>
      </c>
      <c r="H202" s="1">
        <f t="shared" si="1792"/>
        <v>3.4028435673536038E-4</v>
      </c>
      <c r="I202" s="1">
        <f t="shared" si="1793"/>
        <v>2.2478489794095679E-4</v>
      </c>
      <c r="J202" s="1">
        <f t="shared" si="1794"/>
        <v>1.6207853243774002E-4</v>
      </c>
      <c r="K202" s="1"/>
      <c r="L202" s="1">
        <v>1</v>
      </c>
      <c r="M202" s="1">
        <f t="shared" ref="M202:M203" si="1799">H202/$D167</f>
        <v>0.68056871347072079</v>
      </c>
      <c r="N202" s="1">
        <f t="shared" si="1795"/>
        <v>0.44956979588191359</v>
      </c>
      <c r="O202" s="1">
        <f>J202/$D167</f>
        <v>0.32415706487548002</v>
      </c>
      <c r="P202" s="1" t="s">
        <v>201</v>
      </c>
      <c r="Q202" s="1">
        <v>1</v>
      </c>
      <c r="R202" s="1">
        <f>'estimates new'!AU61</f>
        <v>0.39285714285714285</v>
      </c>
      <c r="S202" s="1">
        <f>'estimates new'!AU62</f>
        <v>0.40740740740740738</v>
      </c>
      <c r="T202" s="1">
        <f>'estimates new'!AU63</f>
        <v>0.41249999999999998</v>
      </c>
      <c r="U202" s="1"/>
      <c r="V202" s="1">
        <v>1</v>
      </c>
      <c r="W202" s="1">
        <f t="shared" si="1796"/>
        <v>8.2777947864931839E-2</v>
      </c>
      <c r="X202" s="1">
        <f>(S202-N202)^2</f>
        <v>1.7776670018751738E-3</v>
      </c>
      <c r="Y202" s="1">
        <f t="shared" si="1798"/>
        <v>7.8044741864151425E-3</v>
      </c>
      <c r="Z202" s="1"/>
      <c r="AA202" s="1"/>
      <c r="AB202" s="1"/>
      <c r="AC202" s="1"/>
      <c r="AD202" s="1"/>
      <c r="AE202" s="1"/>
      <c r="AF202" s="1"/>
      <c r="AG202" s="1"/>
      <c r="AH202" s="1"/>
      <c r="AI202" s="1"/>
    </row>
    <row r="203" spans="1:40" x14ac:dyDescent="0.25">
      <c r="A203" s="1"/>
      <c r="B203" s="1"/>
      <c r="C203" s="1"/>
      <c r="D203" s="1"/>
      <c r="E203" s="1"/>
      <c r="F203" s="1"/>
      <c r="G203" s="1">
        <v>1.6</v>
      </c>
      <c r="H203" s="1">
        <f t="shared" si="1792"/>
        <v>6.267482844210208E-4</v>
      </c>
      <c r="I203" s="1">
        <f t="shared" si="1793"/>
        <v>4.7110853435279593E-4</v>
      </c>
      <c r="J203" s="1">
        <f t="shared" si="1794"/>
        <v>3.6638981918441752E-4</v>
      </c>
      <c r="K203" s="1"/>
      <c r="L203" s="1">
        <v>1.6</v>
      </c>
      <c r="M203" s="1">
        <f t="shared" si="1799"/>
        <v>0.78343535552627597</v>
      </c>
      <c r="N203" s="1">
        <f t="shared" si="1795"/>
        <v>0.58888566794099484</v>
      </c>
      <c r="O203" s="1">
        <f t="shared" ref="O203" si="1800">J203/$D168</f>
        <v>0.45798727398052186</v>
      </c>
      <c r="P203" s="1" t="s">
        <v>202</v>
      </c>
      <c r="Q203" s="1">
        <v>1.6</v>
      </c>
      <c r="R203" s="1">
        <f>'estimates new'!AU85</f>
        <v>0.57823129251700678</v>
      </c>
      <c r="S203" s="1">
        <f>'estimates new'!AU86</f>
        <v>0.6333333333333333</v>
      </c>
      <c r="T203" s="1">
        <f>'estimates new'!AU87</f>
        <v>0.64189189189189189</v>
      </c>
      <c r="U203" s="1"/>
      <c r="V203" s="1">
        <v>1.6</v>
      </c>
      <c r="W203" s="1">
        <f t="shared" si="1796"/>
        <v>4.2108707475512118E-2</v>
      </c>
      <c r="X203" s="1">
        <f t="shared" si="1797"/>
        <v>1.9755949588292823E-3</v>
      </c>
      <c r="Y203" s="1">
        <f t="shared" si="1798"/>
        <v>3.3820908489127E-2</v>
      </c>
      <c r="Z203" s="1"/>
      <c r="AA203" s="1"/>
      <c r="AB203" s="1"/>
      <c r="AC203" s="1"/>
      <c r="AD203" s="1"/>
      <c r="AE203" s="1"/>
      <c r="AF203" s="1"/>
      <c r="AG203" s="1"/>
      <c r="AH203" s="1"/>
      <c r="AI203" s="1"/>
    </row>
    <row r="204" spans="1:40"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row>
    <row r="206" spans="1:40" x14ac:dyDescent="0.25">
      <c r="A206" t="s">
        <v>179</v>
      </c>
      <c r="B206">
        <f>B8/(0.15*10^-3)</f>
        <v>0</v>
      </c>
      <c r="C206" s="8">
        <f t="shared" ref="C206:P206" si="1801">C8/(0.15*10^-3)</f>
        <v>6.666666666666668E-2</v>
      </c>
      <c r="D206" s="8">
        <f t="shared" si="1801"/>
        <v>0.13333333333333336</v>
      </c>
      <c r="E206" s="8">
        <f t="shared" si="1801"/>
        <v>0.20000000000000004</v>
      </c>
      <c r="F206" s="8">
        <f t="shared" si="1801"/>
        <v>0.26666666666666672</v>
      </c>
      <c r="G206" s="8">
        <f t="shared" si="1801"/>
        <v>0.33333333333333337</v>
      </c>
      <c r="H206" s="8">
        <f t="shared" si="1801"/>
        <v>0.4</v>
      </c>
      <c r="I206" s="8">
        <f t="shared" si="1801"/>
        <v>0.46666666666666673</v>
      </c>
      <c r="J206" s="8">
        <f t="shared" si="1801"/>
        <v>0.53333333333333344</v>
      </c>
      <c r="K206" s="8">
        <f t="shared" si="1801"/>
        <v>0.60000000000000009</v>
      </c>
      <c r="L206" s="8">
        <f t="shared" si="1801"/>
        <v>0.66666666666666674</v>
      </c>
      <c r="M206" s="8">
        <f t="shared" si="1801"/>
        <v>0.73333333333333339</v>
      </c>
      <c r="N206" s="8">
        <f t="shared" si="1801"/>
        <v>0.8</v>
      </c>
      <c r="O206" s="8">
        <f t="shared" si="1801"/>
        <v>0.86666666666666681</v>
      </c>
      <c r="P206" s="8">
        <f t="shared" si="1801"/>
        <v>0.93333333333333346</v>
      </c>
      <c r="Q206" s="8">
        <f>Q8/(0.15*10^-3)</f>
        <v>1.0000000000000002</v>
      </c>
      <c r="R206" s="8"/>
      <c r="S206" s="8"/>
      <c r="T206" s="8"/>
      <c r="U206" s="8"/>
      <c r="V206" s="8"/>
      <c r="W206" s="8"/>
      <c r="X206" s="8"/>
      <c r="Y206" s="8"/>
      <c r="Z206" s="8"/>
      <c r="AA206" s="8"/>
      <c r="AB206" s="8"/>
      <c r="AC206" s="8"/>
      <c r="AD206" s="8"/>
      <c r="AE206" s="8"/>
      <c r="AF206" s="8"/>
      <c r="AG206" s="8"/>
      <c r="AH206" s="8"/>
      <c r="AI206" s="8"/>
      <c r="AJ206" s="8"/>
      <c r="AK206" s="8"/>
      <c r="AL206" s="8"/>
      <c r="AM206" s="8"/>
      <c r="AN206" s="8"/>
    </row>
    <row r="207" spans="1:40" x14ac:dyDescent="0.25">
      <c r="B207">
        <f>B103/(0.15*10^-3)</f>
        <v>0</v>
      </c>
      <c r="C207" s="8">
        <f t="shared" ref="C207:AF207" si="1802">C103/(0.15*10^-3)</f>
        <v>3.333333333333334E-2</v>
      </c>
      <c r="D207" s="8">
        <f t="shared" si="1802"/>
        <v>6.666666666666668E-2</v>
      </c>
      <c r="E207" s="8">
        <f t="shared" si="1802"/>
        <v>0.10000000000000002</v>
      </c>
      <c r="F207" s="8">
        <f t="shared" si="1802"/>
        <v>0.13333333333333336</v>
      </c>
      <c r="G207" s="8">
        <f t="shared" si="1802"/>
        <v>0.16666666666666669</v>
      </c>
      <c r="H207" s="8">
        <f t="shared" si="1802"/>
        <v>0.2</v>
      </c>
      <c r="I207" s="8">
        <f t="shared" si="1802"/>
        <v>0.23333333333333336</v>
      </c>
      <c r="J207" s="8">
        <f t="shared" si="1802"/>
        <v>0.26666666666666672</v>
      </c>
      <c r="K207" s="8">
        <f t="shared" si="1802"/>
        <v>0.30000000000000004</v>
      </c>
      <c r="L207" s="8">
        <f t="shared" si="1802"/>
        <v>0.33333333333333337</v>
      </c>
      <c r="M207" s="8">
        <f t="shared" si="1802"/>
        <v>0.3666666666666667</v>
      </c>
      <c r="N207" s="8">
        <f t="shared" si="1802"/>
        <v>0.4</v>
      </c>
      <c r="O207" s="8">
        <f t="shared" si="1802"/>
        <v>0.4333333333333334</v>
      </c>
      <c r="P207" s="8">
        <f t="shared" si="1802"/>
        <v>0.46666666666666673</v>
      </c>
      <c r="Q207" s="8">
        <f t="shared" si="1802"/>
        <v>0.50000000000000011</v>
      </c>
      <c r="R207" s="8">
        <f t="shared" si="1802"/>
        <v>0.53333333333333344</v>
      </c>
      <c r="S207" s="8">
        <f t="shared" si="1802"/>
        <v>0.56666666666666676</v>
      </c>
      <c r="T207" s="8">
        <f t="shared" si="1802"/>
        <v>0.60000000000000009</v>
      </c>
      <c r="U207" s="8">
        <f t="shared" si="1802"/>
        <v>0.63333333333333341</v>
      </c>
      <c r="V207" s="8">
        <f t="shared" si="1802"/>
        <v>0.66666666666666674</v>
      </c>
      <c r="W207" s="8">
        <f t="shared" si="1802"/>
        <v>0.70000000000000007</v>
      </c>
      <c r="X207" s="8">
        <f t="shared" si="1802"/>
        <v>0.73333333333333339</v>
      </c>
      <c r="Y207" s="8">
        <f t="shared" si="1802"/>
        <v>0.76666666666666672</v>
      </c>
      <c r="Z207" s="8">
        <f t="shared" si="1802"/>
        <v>0.8</v>
      </c>
      <c r="AA207" s="8">
        <f t="shared" si="1802"/>
        <v>0.83333333333333337</v>
      </c>
      <c r="AB207" s="8">
        <f t="shared" si="1802"/>
        <v>0.86666666666666681</v>
      </c>
      <c r="AC207" s="8">
        <f t="shared" si="1802"/>
        <v>0.90000000000000024</v>
      </c>
      <c r="AD207" s="8">
        <f t="shared" si="1802"/>
        <v>0.93333333333333368</v>
      </c>
      <c r="AE207" s="8">
        <f t="shared" si="1802"/>
        <v>0.96666666666666712</v>
      </c>
      <c r="AF207" s="8">
        <f t="shared" si="1802"/>
        <v>1.0000000000000004</v>
      </c>
      <c r="AG207" s="8"/>
      <c r="AH207" s="8"/>
      <c r="AI207" s="8"/>
      <c r="AJ207" s="8"/>
      <c r="AK207" s="8"/>
      <c r="AL207" s="8"/>
    </row>
    <row r="211" spans="1:165" x14ac:dyDescent="0.25">
      <c r="A211" t="s">
        <v>180</v>
      </c>
      <c r="B211">
        <f>B8/(0.25*10^-3)</f>
        <v>0</v>
      </c>
      <c r="C211" s="8">
        <f t="shared" ref="C211:AA211" si="1803">C8/(0.25*10^-3)</f>
        <v>0.04</v>
      </c>
      <c r="D211" s="8">
        <f t="shared" si="1803"/>
        <v>0.08</v>
      </c>
      <c r="E211" s="8">
        <f t="shared" si="1803"/>
        <v>0.12000000000000001</v>
      </c>
      <c r="F211" s="8">
        <f t="shared" si="1803"/>
        <v>0.16</v>
      </c>
      <c r="G211" s="8">
        <f t="shared" si="1803"/>
        <v>0.2</v>
      </c>
      <c r="H211" s="8">
        <f t="shared" si="1803"/>
        <v>0.24</v>
      </c>
      <c r="I211" s="8">
        <f t="shared" si="1803"/>
        <v>0.28000000000000003</v>
      </c>
      <c r="J211" s="8">
        <f t="shared" si="1803"/>
        <v>0.32</v>
      </c>
      <c r="K211" s="8">
        <f t="shared" si="1803"/>
        <v>0.36000000000000004</v>
      </c>
      <c r="L211" s="8">
        <f t="shared" si="1803"/>
        <v>0.4</v>
      </c>
      <c r="M211" s="8">
        <f t="shared" si="1803"/>
        <v>0.44</v>
      </c>
      <c r="N211" s="8">
        <f t="shared" si="1803"/>
        <v>0.48</v>
      </c>
      <c r="O211" s="8">
        <f t="shared" si="1803"/>
        <v>0.52</v>
      </c>
      <c r="P211" s="8">
        <f t="shared" si="1803"/>
        <v>0.56000000000000005</v>
      </c>
      <c r="Q211" s="8">
        <f t="shared" si="1803"/>
        <v>0.60000000000000009</v>
      </c>
      <c r="R211" s="8">
        <f t="shared" si="1803"/>
        <v>0.64</v>
      </c>
      <c r="S211" s="8">
        <f t="shared" si="1803"/>
        <v>0.68</v>
      </c>
      <c r="T211" s="8">
        <f t="shared" si="1803"/>
        <v>0.72000000000000008</v>
      </c>
      <c r="U211" s="8">
        <f t="shared" si="1803"/>
        <v>0.76</v>
      </c>
      <c r="V211" s="8">
        <f t="shared" si="1803"/>
        <v>0.8</v>
      </c>
      <c r="W211" s="8">
        <f t="shared" si="1803"/>
        <v>0.84</v>
      </c>
      <c r="X211" s="8">
        <f t="shared" si="1803"/>
        <v>0.88</v>
      </c>
      <c r="Y211" s="8">
        <f t="shared" si="1803"/>
        <v>0.92</v>
      </c>
      <c r="Z211" s="8">
        <f t="shared" si="1803"/>
        <v>0.96</v>
      </c>
      <c r="AA211" s="8">
        <f t="shared" si="1803"/>
        <v>1</v>
      </c>
      <c r="AB211" s="8"/>
      <c r="AC211" s="8"/>
      <c r="AD211" s="8"/>
      <c r="AE211" s="8"/>
      <c r="AF211" s="8"/>
      <c r="AG211" s="8"/>
      <c r="AH211" s="8"/>
      <c r="AI211" s="8"/>
      <c r="AJ211" s="8"/>
      <c r="AK211" s="8"/>
      <c r="AL211" s="8"/>
      <c r="AM211" s="8"/>
      <c r="AN211" s="8"/>
    </row>
    <row r="212" spans="1:165" x14ac:dyDescent="0.25">
      <c r="B212">
        <f>B103/(0.25*10^-3)</f>
        <v>0</v>
      </c>
      <c r="C212" s="8">
        <f t="shared" ref="C212:AZ212" si="1804">C103/(0.25*10^-3)</f>
        <v>0.02</v>
      </c>
      <c r="D212" s="8">
        <f t="shared" si="1804"/>
        <v>0.04</v>
      </c>
      <c r="E212" s="8">
        <f t="shared" si="1804"/>
        <v>6.0000000000000005E-2</v>
      </c>
      <c r="F212" s="8">
        <f t="shared" si="1804"/>
        <v>0.08</v>
      </c>
      <c r="G212" s="8">
        <f t="shared" si="1804"/>
        <v>0.1</v>
      </c>
      <c r="H212" s="8">
        <f t="shared" si="1804"/>
        <v>0.12</v>
      </c>
      <c r="I212" s="8">
        <f t="shared" si="1804"/>
        <v>0.14000000000000001</v>
      </c>
      <c r="J212" s="8">
        <f t="shared" si="1804"/>
        <v>0.16</v>
      </c>
      <c r="K212" s="8">
        <f t="shared" si="1804"/>
        <v>0.18000000000000002</v>
      </c>
      <c r="L212" s="8">
        <f t="shared" si="1804"/>
        <v>0.2</v>
      </c>
      <c r="M212" s="8">
        <f t="shared" si="1804"/>
        <v>0.22</v>
      </c>
      <c r="N212" s="8">
        <f t="shared" si="1804"/>
        <v>0.24</v>
      </c>
      <c r="O212" s="8">
        <f t="shared" si="1804"/>
        <v>0.26</v>
      </c>
      <c r="P212" s="8">
        <f t="shared" si="1804"/>
        <v>0.28000000000000003</v>
      </c>
      <c r="Q212" s="8">
        <f t="shared" si="1804"/>
        <v>0.30000000000000004</v>
      </c>
      <c r="R212" s="8">
        <f t="shared" si="1804"/>
        <v>0.32</v>
      </c>
      <c r="S212" s="8">
        <f t="shared" si="1804"/>
        <v>0.34</v>
      </c>
      <c r="T212" s="8">
        <f t="shared" si="1804"/>
        <v>0.36000000000000004</v>
      </c>
      <c r="U212" s="8">
        <f t="shared" si="1804"/>
        <v>0.38</v>
      </c>
      <c r="V212" s="8">
        <f t="shared" si="1804"/>
        <v>0.4</v>
      </c>
      <c r="W212" s="8">
        <f t="shared" si="1804"/>
        <v>0.42</v>
      </c>
      <c r="X212" s="8">
        <f t="shared" si="1804"/>
        <v>0.44</v>
      </c>
      <c r="Y212" s="8">
        <f t="shared" si="1804"/>
        <v>0.46</v>
      </c>
      <c r="Z212" s="8">
        <f t="shared" si="1804"/>
        <v>0.48</v>
      </c>
      <c r="AA212" s="8">
        <f t="shared" si="1804"/>
        <v>0.5</v>
      </c>
      <c r="AB212" s="8">
        <f t="shared" si="1804"/>
        <v>0.52</v>
      </c>
      <c r="AC212" s="8">
        <f t="shared" si="1804"/>
        <v>0.54000000000000015</v>
      </c>
      <c r="AD212" s="8">
        <f t="shared" si="1804"/>
        <v>0.56000000000000016</v>
      </c>
      <c r="AE212" s="8">
        <f t="shared" si="1804"/>
        <v>0.58000000000000018</v>
      </c>
      <c r="AF212" s="8">
        <f t="shared" si="1804"/>
        <v>0.60000000000000031</v>
      </c>
      <c r="AG212" s="8">
        <f t="shared" si="1804"/>
        <v>0.62000000000000033</v>
      </c>
      <c r="AH212" s="8">
        <f t="shared" si="1804"/>
        <v>0.64000000000000035</v>
      </c>
      <c r="AI212" s="8">
        <f t="shared" si="1804"/>
        <v>0.66000000000000036</v>
      </c>
      <c r="AJ212" s="8">
        <f t="shared" si="1804"/>
        <v>0.68000000000000049</v>
      </c>
      <c r="AK212" s="8">
        <f t="shared" si="1804"/>
        <v>0.70000000000000051</v>
      </c>
      <c r="AL212" s="8">
        <f t="shared" si="1804"/>
        <v>0.72000000000000053</v>
      </c>
      <c r="AM212" s="8">
        <f>AM103/(0.25*10^-3)</f>
        <v>0.74000000000000066</v>
      </c>
      <c r="AN212" s="8">
        <f t="shared" si="1804"/>
        <v>0.76000000000000068</v>
      </c>
      <c r="AO212" s="8">
        <f t="shared" si="1804"/>
        <v>0.78000000000000069</v>
      </c>
      <c r="AP212" s="8">
        <f>AP103/(0.25*10^-3)</f>
        <v>0.80000000000000082</v>
      </c>
      <c r="AQ212" s="8">
        <f t="shared" si="1804"/>
        <v>0.82000000000000084</v>
      </c>
      <c r="AR212" s="8">
        <f t="shared" si="1804"/>
        <v>0.84000000000000086</v>
      </c>
      <c r="AS212" s="8">
        <f t="shared" si="1804"/>
        <v>0.86000000000000099</v>
      </c>
      <c r="AT212" s="8">
        <f t="shared" si="1804"/>
        <v>0.880000000000001</v>
      </c>
      <c r="AU212" s="8">
        <f t="shared" si="1804"/>
        <v>0.90000000000000102</v>
      </c>
      <c r="AV212" s="8">
        <f t="shared" si="1804"/>
        <v>0.92000000000000104</v>
      </c>
      <c r="AW212" s="8">
        <f t="shared" si="1804"/>
        <v>0.94000000000000117</v>
      </c>
      <c r="AX212" s="8">
        <f t="shared" si="1804"/>
        <v>0.96000000000000119</v>
      </c>
      <c r="AY212" s="8">
        <f t="shared" si="1804"/>
        <v>0.9800000000000012</v>
      </c>
      <c r="AZ212" s="8">
        <f t="shared" si="1804"/>
        <v>1.0000000000000013</v>
      </c>
      <c r="BA212" s="8"/>
      <c r="BB212" s="8"/>
      <c r="BC212" s="8"/>
      <c r="BD212" s="8"/>
      <c r="BE212" s="8"/>
      <c r="BF212" s="8"/>
      <c r="BG212" s="8"/>
      <c r="BH212" s="8"/>
    </row>
    <row r="216" spans="1:165" x14ac:dyDescent="0.25">
      <c r="A216" t="s">
        <v>181</v>
      </c>
      <c r="B216">
        <f>B8/(0.5*10^-3)</f>
        <v>0</v>
      </c>
      <c r="C216" s="8">
        <f t="shared" ref="C216:AN216" si="1805">C8/(0.5*10^-3)</f>
        <v>0.02</v>
      </c>
      <c r="D216" s="8">
        <f t="shared" si="1805"/>
        <v>0.04</v>
      </c>
      <c r="E216" s="8">
        <f t="shared" si="1805"/>
        <v>6.0000000000000005E-2</v>
      </c>
      <c r="F216" s="8">
        <f t="shared" si="1805"/>
        <v>0.08</v>
      </c>
      <c r="G216" s="8">
        <f t="shared" si="1805"/>
        <v>0.1</v>
      </c>
      <c r="H216" s="8">
        <f t="shared" si="1805"/>
        <v>0.12</v>
      </c>
      <c r="I216" s="8">
        <f t="shared" si="1805"/>
        <v>0.14000000000000001</v>
      </c>
      <c r="J216" s="8">
        <f t="shared" si="1805"/>
        <v>0.16</v>
      </c>
      <c r="K216" s="8">
        <f t="shared" si="1805"/>
        <v>0.18000000000000002</v>
      </c>
      <c r="L216" s="8">
        <f t="shared" si="1805"/>
        <v>0.2</v>
      </c>
      <c r="M216" s="8">
        <f t="shared" si="1805"/>
        <v>0.22</v>
      </c>
      <c r="N216" s="8">
        <f t="shared" si="1805"/>
        <v>0.24</v>
      </c>
      <c r="O216" s="8">
        <f t="shared" si="1805"/>
        <v>0.26</v>
      </c>
      <c r="P216" s="8">
        <f t="shared" si="1805"/>
        <v>0.28000000000000003</v>
      </c>
      <c r="Q216" s="8">
        <f t="shared" si="1805"/>
        <v>0.30000000000000004</v>
      </c>
      <c r="R216" s="8">
        <f t="shared" si="1805"/>
        <v>0.32</v>
      </c>
      <c r="S216" s="8">
        <f t="shared" si="1805"/>
        <v>0.34</v>
      </c>
      <c r="T216" s="8">
        <f t="shared" si="1805"/>
        <v>0.36000000000000004</v>
      </c>
      <c r="U216" s="8">
        <f t="shared" si="1805"/>
        <v>0.38</v>
      </c>
      <c r="V216" s="8">
        <f t="shared" si="1805"/>
        <v>0.4</v>
      </c>
      <c r="W216" s="8">
        <f t="shared" si="1805"/>
        <v>0.42</v>
      </c>
      <c r="X216" s="8">
        <f t="shared" si="1805"/>
        <v>0.44</v>
      </c>
      <c r="Y216" s="8">
        <f t="shared" si="1805"/>
        <v>0.46</v>
      </c>
      <c r="Z216" s="8">
        <f t="shared" si="1805"/>
        <v>0.48</v>
      </c>
      <c r="AA216" s="8">
        <f t="shared" si="1805"/>
        <v>0.5</v>
      </c>
      <c r="AB216" s="8">
        <f t="shared" si="1805"/>
        <v>0.52</v>
      </c>
      <c r="AC216" s="8">
        <f t="shared" si="1805"/>
        <v>0.54000000000000015</v>
      </c>
      <c r="AD216" s="8">
        <f t="shared" si="1805"/>
        <v>0.56000000000000016</v>
      </c>
      <c r="AE216" s="8">
        <f t="shared" si="1805"/>
        <v>0.58000000000000018</v>
      </c>
      <c r="AF216" s="8">
        <f t="shared" si="1805"/>
        <v>0.60000000000000031</v>
      </c>
      <c r="AG216" s="8">
        <f t="shared" si="1805"/>
        <v>0.62000000000000033</v>
      </c>
      <c r="AH216" s="8">
        <f t="shared" si="1805"/>
        <v>0.64000000000000035</v>
      </c>
      <c r="AI216" s="8">
        <f t="shared" si="1805"/>
        <v>0.66000000000000036</v>
      </c>
      <c r="AJ216" s="8">
        <f t="shared" si="1805"/>
        <v>0.68000000000000049</v>
      </c>
      <c r="AK216" s="8">
        <f t="shared" si="1805"/>
        <v>0.70000000000000051</v>
      </c>
      <c r="AL216" s="8">
        <f t="shared" si="1805"/>
        <v>0.72000000000000053</v>
      </c>
      <c r="AM216" s="8">
        <f t="shared" si="1805"/>
        <v>0.74000000000000066</v>
      </c>
      <c r="AN216" s="8">
        <f t="shared" si="1805"/>
        <v>0.76000000000000068</v>
      </c>
      <c r="AO216" s="8">
        <f>AO8/(0.5*10^-3)</f>
        <v>0.78000000000000069</v>
      </c>
      <c r="AP216" s="8">
        <f>AP8/(0.5*10^-3)</f>
        <v>0.80000000000000082</v>
      </c>
      <c r="AQ216" s="8">
        <f t="shared" ref="AQ216:AZ216" si="1806">AQ8/(0.5*10^-3)</f>
        <v>0.82000000000000084</v>
      </c>
      <c r="AR216" s="8">
        <f t="shared" si="1806"/>
        <v>0.84000000000000086</v>
      </c>
      <c r="AS216" s="8">
        <f t="shared" si="1806"/>
        <v>0.86000000000000099</v>
      </c>
      <c r="AT216" s="8">
        <f t="shared" si="1806"/>
        <v>0.880000000000001</v>
      </c>
      <c r="AU216" s="8">
        <f t="shared" si="1806"/>
        <v>0.90000000000000102</v>
      </c>
      <c r="AV216" s="8">
        <f t="shared" si="1806"/>
        <v>0.92000000000000104</v>
      </c>
      <c r="AW216" s="8">
        <f t="shared" si="1806"/>
        <v>0.94000000000000117</v>
      </c>
      <c r="AX216" s="8">
        <f t="shared" si="1806"/>
        <v>0.96000000000000119</v>
      </c>
      <c r="AY216" s="8">
        <f t="shared" si="1806"/>
        <v>0.9800000000000012</v>
      </c>
      <c r="AZ216" s="8">
        <f t="shared" si="1806"/>
        <v>1.0000000000000013</v>
      </c>
      <c r="BA216" s="8"/>
      <c r="BB216" s="8"/>
      <c r="BC216" s="8"/>
      <c r="BD216" s="8"/>
      <c r="BE216" s="8"/>
      <c r="BF216" s="8"/>
      <c r="BG216" s="8"/>
      <c r="BH216" s="8"/>
      <c r="BI216" s="8"/>
      <c r="BJ216" s="8"/>
      <c r="BK216" s="8"/>
    </row>
    <row r="217" spans="1:165" x14ac:dyDescent="0.25">
      <c r="B217">
        <f>B103/(0.5*10^-3)</f>
        <v>0</v>
      </c>
      <c r="C217" s="8">
        <f>C103/(0.5*10^-3)</f>
        <v>0.01</v>
      </c>
      <c r="D217" s="8">
        <f t="shared" ref="D217:BN217" si="1807">D103/(0.5*10^-3)</f>
        <v>0.02</v>
      </c>
      <c r="E217" s="8">
        <f t="shared" si="1807"/>
        <v>3.0000000000000002E-2</v>
      </c>
      <c r="F217" s="8">
        <f t="shared" si="1807"/>
        <v>0.04</v>
      </c>
      <c r="G217" s="8">
        <f t="shared" si="1807"/>
        <v>0.05</v>
      </c>
      <c r="H217" s="8">
        <f t="shared" si="1807"/>
        <v>0.06</v>
      </c>
      <c r="I217" s="8">
        <f t="shared" si="1807"/>
        <v>7.0000000000000007E-2</v>
      </c>
      <c r="J217" s="8">
        <f t="shared" si="1807"/>
        <v>0.08</v>
      </c>
      <c r="K217" s="8">
        <f t="shared" si="1807"/>
        <v>9.0000000000000011E-2</v>
      </c>
      <c r="L217" s="8">
        <f t="shared" si="1807"/>
        <v>0.1</v>
      </c>
      <c r="M217" s="8">
        <f t="shared" si="1807"/>
        <v>0.11</v>
      </c>
      <c r="N217" s="8">
        <f t="shared" si="1807"/>
        <v>0.12</v>
      </c>
      <c r="O217" s="8">
        <f t="shared" si="1807"/>
        <v>0.13</v>
      </c>
      <c r="P217" s="8">
        <f t="shared" si="1807"/>
        <v>0.14000000000000001</v>
      </c>
      <c r="Q217" s="8">
        <f t="shared" si="1807"/>
        <v>0.15000000000000002</v>
      </c>
      <c r="R217" s="8">
        <f t="shared" si="1807"/>
        <v>0.16</v>
      </c>
      <c r="S217" s="8">
        <f t="shared" si="1807"/>
        <v>0.17</v>
      </c>
      <c r="T217" s="8">
        <f t="shared" si="1807"/>
        <v>0.18000000000000002</v>
      </c>
      <c r="U217" s="8">
        <f t="shared" si="1807"/>
        <v>0.19</v>
      </c>
      <c r="V217" s="8">
        <f t="shared" si="1807"/>
        <v>0.2</v>
      </c>
      <c r="W217" s="8">
        <f>W103/(0.5*10^-3)</f>
        <v>0.21</v>
      </c>
      <c r="X217" s="8">
        <f t="shared" si="1807"/>
        <v>0.22</v>
      </c>
      <c r="Y217" s="8">
        <f t="shared" si="1807"/>
        <v>0.23</v>
      </c>
      <c r="Z217" s="8">
        <f t="shared" si="1807"/>
        <v>0.24</v>
      </c>
      <c r="AA217" s="8">
        <f t="shared" si="1807"/>
        <v>0.25</v>
      </c>
      <c r="AB217" s="8">
        <f t="shared" si="1807"/>
        <v>0.26</v>
      </c>
      <c r="AC217" s="8">
        <f t="shared" si="1807"/>
        <v>0.27000000000000007</v>
      </c>
      <c r="AD217" s="8">
        <f t="shared" si="1807"/>
        <v>0.28000000000000008</v>
      </c>
      <c r="AE217" s="8">
        <f t="shared" si="1807"/>
        <v>0.29000000000000009</v>
      </c>
      <c r="AF217" s="8">
        <f t="shared" si="1807"/>
        <v>0.30000000000000016</v>
      </c>
      <c r="AG217" s="8">
        <f t="shared" si="1807"/>
        <v>0.31000000000000016</v>
      </c>
      <c r="AH217" s="8">
        <f t="shared" si="1807"/>
        <v>0.32000000000000017</v>
      </c>
      <c r="AI217" s="8">
        <f t="shared" si="1807"/>
        <v>0.33000000000000018</v>
      </c>
      <c r="AJ217" s="8">
        <f t="shared" si="1807"/>
        <v>0.34000000000000025</v>
      </c>
      <c r="AK217" s="8">
        <f>AK103/(0.5*10^-3)</f>
        <v>0.35000000000000026</v>
      </c>
      <c r="AL217" s="8">
        <f t="shared" si="1807"/>
        <v>0.36000000000000026</v>
      </c>
      <c r="AM217" s="8">
        <f t="shared" si="1807"/>
        <v>0.37000000000000033</v>
      </c>
      <c r="AN217" s="8">
        <f t="shared" si="1807"/>
        <v>0.38000000000000034</v>
      </c>
      <c r="AO217" s="8">
        <f t="shared" si="1807"/>
        <v>0.39000000000000035</v>
      </c>
      <c r="AP217" s="8">
        <f t="shared" si="1807"/>
        <v>0.40000000000000041</v>
      </c>
      <c r="AQ217" s="8">
        <f t="shared" si="1807"/>
        <v>0.41000000000000042</v>
      </c>
      <c r="AR217" s="8">
        <f t="shared" si="1807"/>
        <v>0.42000000000000043</v>
      </c>
      <c r="AS217" s="8">
        <f t="shared" si="1807"/>
        <v>0.43000000000000049</v>
      </c>
      <c r="AT217" s="8">
        <f t="shared" si="1807"/>
        <v>0.4400000000000005</v>
      </c>
      <c r="AU217" s="8">
        <f t="shared" si="1807"/>
        <v>0.45000000000000051</v>
      </c>
      <c r="AV217" s="8">
        <f t="shared" si="1807"/>
        <v>0.46000000000000052</v>
      </c>
      <c r="AW217" s="8">
        <f t="shared" si="1807"/>
        <v>0.47000000000000058</v>
      </c>
      <c r="AX217" s="8">
        <f t="shared" si="1807"/>
        <v>0.48000000000000059</v>
      </c>
      <c r="AY217" s="8">
        <f t="shared" si="1807"/>
        <v>0.4900000000000006</v>
      </c>
      <c r="AZ217" s="8">
        <f t="shared" si="1807"/>
        <v>0.50000000000000067</v>
      </c>
      <c r="BA217" s="8">
        <f t="shared" si="1807"/>
        <v>0.51000000000000068</v>
      </c>
      <c r="BB217" s="8">
        <f t="shared" si="1807"/>
        <v>0.52000000000000068</v>
      </c>
      <c r="BC217" s="8">
        <f t="shared" si="1807"/>
        <v>0.53000000000000069</v>
      </c>
      <c r="BD217" s="8">
        <f t="shared" si="1807"/>
        <v>0.5400000000000007</v>
      </c>
      <c r="BE217" s="8">
        <f t="shared" si="1807"/>
        <v>0.55000000000000082</v>
      </c>
      <c r="BF217" s="8">
        <f t="shared" si="1807"/>
        <v>0.56000000000000083</v>
      </c>
      <c r="BG217" s="8">
        <f t="shared" si="1807"/>
        <v>0.57000000000000084</v>
      </c>
      <c r="BH217" s="8">
        <f t="shared" si="1807"/>
        <v>0.58000000000000085</v>
      </c>
      <c r="BI217" s="8">
        <f t="shared" si="1807"/>
        <v>0.59000000000000086</v>
      </c>
      <c r="BJ217" s="8">
        <f t="shared" si="1807"/>
        <v>0.60000000000000087</v>
      </c>
      <c r="BK217" s="8">
        <f t="shared" si="1807"/>
        <v>0.61000000000000099</v>
      </c>
      <c r="BL217" s="8">
        <f t="shared" si="1807"/>
        <v>0.62000000000000099</v>
      </c>
      <c r="BM217" s="8">
        <f t="shared" si="1807"/>
        <v>0.630000000000001</v>
      </c>
      <c r="BN217" s="8">
        <f t="shared" si="1807"/>
        <v>0.64000000000000101</v>
      </c>
      <c r="BO217" s="8">
        <f t="shared" ref="BO217:BZ217" si="1808">BO103/(0.5*10^-3)</f>
        <v>0.65000000000000102</v>
      </c>
      <c r="BP217" s="8">
        <f t="shared" si="1808"/>
        <v>0.66000000000000103</v>
      </c>
      <c r="BQ217" s="8">
        <f t="shared" si="1808"/>
        <v>0.67000000000000104</v>
      </c>
      <c r="BR217" s="8">
        <f t="shared" si="1808"/>
        <v>0.68000000000000116</v>
      </c>
      <c r="BS217" s="8">
        <f t="shared" si="1808"/>
        <v>0.69000000000000117</v>
      </c>
      <c r="BT217" s="8">
        <f t="shared" si="1808"/>
        <v>0.70000000000000118</v>
      </c>
      <c r="BU217" s="8">
        <f t="shared" si="1808"/>
        <v>0.71000000000000119</v>
      </c>
      <c r="BV217" s="8">
        <f t="shared" si="1808"/>
        <v>0.72000000000000119</v>
      </c>
      <c r="BW217" s="8">
        <f t="shared" si="1808"/>
        <v>0.7300000000000012</v>
      </c>
      <c r="BX217" s="8">
        <f t="shared" si="1808"/>
        <v>0.74000000000000132</v>
      </c>
      <c r="BY217" s="8">
        <f t="shared" si="1808"/>
        <v>0.75000000000000133</v>
      </c>
      <c r="BZ217" s="8">
        <f t="shared" si="1808"/>
        <v>0.76000000000000134</v>
      </c>
      <c r="CA217" s="8">
        <f>CA103/(0.5*10^-3)</f>
        <v>0.77000000000000135</v>
      </c>
      <c r="CB217" s="8">
        <f t="shared" ref="CB217:CO217" si="1809">CB103/(0.5*10^-3)</f>
        <v>0.78000000000000136</v>
      </c>
      <c r="CC217" s="8">
        <f t="shared" si="1809"/>
        <v>0.79000000000000137</v>
      </c>
      <c r="CD217" s="8">
        <f t="shared" si="1809"/>
        <v>0.80000000000000138</v>
      </c>
      <c r="CE217" s="8">
        <f t="shared" si="1809"/>
        <v>0.8100000000000015</v>
      </c>
      <c r="CF217" s="8">
        <f t="shared" si="1809"/>
        <v>0.82000000000000151</v>
      </c>
      <c r="CG217" s="8">
        <f t="shared" si="1809"/>
        <v>0.83000000000000151</v>
      </c>
      <c r="CH217" s="8">
        <f t="shared" si="1809"/>
        <v>0.84000000000000152</v>
      </c>
      <c r="CI217" s="8">
        <f t="shared" si="1809"/>
        <v>0.85000000000000153</v>
      </c>
      <c r="CJ217" s="8">
        <f t="shared" si="1809"/>
        <v>0.86000000000000154</v>
      </c>
      <c r="CK217" s="8">
        <f t="shared" si="1809"/>
        <v>0.87000000000000166</v>
      </c>
      <c r="CL217" s="8">
        <f t="shared" si="1809"/>
        <v>0.88000000000000167</v>
      </c>
      <c r="CM217" s="8">
        <f t="shared" si="1809"/>
        <v>0.89000000000000168</v>
      </c>
      <c r="CN217" s="8">
        <f t="shared" si="1809"/>
        <v>0.90000000000000169</v>
      </c>
      <c r="CO217" s="8">
        <f t="shared" si="1809"/>
        <v>0.9100000000000017</v>
      </c>
      <c r="CP217" s="8">
        <f>CP103/(0.5*10^-3)</f>
        <v>0.92000000000000171</v>
      </c>
      <c r="CQ217" s="8">
        <f t="shared" ref="CQ217" si="1810">CQ103/(0.5*10^-3)</f>
        <v>0.93000000000000171</v>
      </c>
      <c r="CR217" s="8">
        <f>CR103/(0.5*10^-3)</f>
        <v>0.94000000000000183</v>
      </c>
      <c r="CS217" s="8">
        <f t="shared" ref="CS217:CU217" si="1811">CS103/(0.5*10^-3)</f>
        <v>0.95000000000000184</v>
      </c>
      <c r="CT217" s="8">
        <f t="shared" si="1811"/>
        <v>0.96000000000000185</v>
      </c>
      <c r="CU217" s="8">
        <f t="shared" si="1811"/>
        <v>0.97000000000000186</v>
      </c>
      <c r="CV217" s="8">
        <f>CV103/(0.5*10^-3)</f>
        <v>0.98000000000000187</v>
      </c>
      <c r="CW217" s="8">
        <f t="shared" ref="CW217" si="1812">CW103/(0.5*10^-3)</f>
        <v>0.99000000000000188</v>
      </c>
      <c r="CX217" s="8">
        <f>CX103/(0.5*10^-3)</f>
        <v>1.000000000000002</v>
      </c>
    </row>
    <row r="221" spans="1:165" x14ac:dyDescent="0.25">
      <c r="A221" t="s">
        <v>182</v>
      </c>
      <c r="B221">
        <f>B8/(0.8*10^-3)</f>
        <v>0</v>
      </c>
      <c r="C221" s="8">
        <f t="shared" ref="C221:BN221" si="1813">C8/(0.8*10^-3)</f>
        <v>1.2500000000000001E-2</v>
      </c>
      <c r="D221" s="8">
        <f t="shared" si="1813"/>
        <v>2.5000000000000001E-2</v>
      </c>
      <c r="E221" s="8">
        <f t="shared" si="1813"/>
        <v>3.7500000000000006E-2</v>
      </c>
      <c r="F221" s="8">
        <f t="shared" si="1813"/>
        <v>0.05</v>
      </c>
      <c r="G221" s="8">
        <f t="shared" si="1813"/>
        <v>6.25E-2</v>
      </c>
      <c r="H221" s="8">
        <f t="shared" si="1813"/>
        <v>7.4999999999999997E-2</v>
      </c>
      <c r="I221" s="8">
        <f t="shared" si="1813"/>
        <v>8.7500000000000008E-2</v>
      </c>
      <c r="J221" s="8">
        <f t="shared" si="1813"/>
        <v>0.1</v>
      </c>
      <c r="K221" s="8">
        <f t="shared" si="1813"/>
        <v>0.1125</v>
      </c>
      <c r="L221" s="8">
        <f t="shared" si="1813"/>
        <v>0.125</v>
      </c>
      <c r="M221" s="8">
        <f t="shared" si="1813"/>
        <v>0.13750000000000001</v>
      </c>
      <c r="N221" s="8">
        <f t="shared" si="1813"/>
        <v>0.15</v>
      </c>
      <c r="O221" s="8">
        <f t="shared" si="1813"/>
        <v>0.16250000000000001</v>
      </c>
      <c r="P221" s="8">
        <f t="shared" si="1813"/>
        <v>0.17500000000000002</v>
      </c>
      <c r="Q221" s="8">
        <f t="shared" si="1813"/>
        <v>0.1875</v>
      </c>
      <c r="R221" s="8">
        <f t="shared" si="1813"/>
        <v>0.2</v>
      </c>
      <c r="S221" s="8">
        <f t="shared" si="1813"/>
        <v>0.21249999999999999</v>
      </c>
      <c r="T221" s="8">
        <f t="shared" si="1813"/>
        <v>0.22500000000000001</v>
      </c>
      <c r="U221" s="8">
        <f t="shared" si="1813"/>
        <v>0.23749999999999999</v>
      </c>
      <c r="V221" s="8">
        <f t="shared" si="1813"/>
        <v>0.25</v>
      </c>
      <c r="W221" s="8">
        <f t="shared" si="1813"/>
        <v>0.26250000000000001</v>
      </c>
      <c r="X221" s="8">
        <f t="shared" si="1813"/>
        <v>0.27500000000000002</v>
      </c>
      <c r="Y221" s="8">
        <f t="shared" si="1813"/>
        <v>0.28749999999999998</v>
      </c>
      <c r="Z221" s="8">
        <f t="shared" si="1813"/>
        <v>0.3</v>
      </c>
      <c r="AA221" s="8">
        <f t="shared" si="1813"/>
        <v>0.3125</v>
      </c>
      <c r="AB221" s="8">
        <f t="shared" si="1813"/>
        <v>0.32500000000000001</v>
      </c>
      <c r="AC221" s="8">
        <f t="shared" si="1813"/>
        <v>0.33750000000000008</v>
      </c>
      <c r="AD221" s="8">
        <f t="shared" si="1813"/>
        <v>0.35000000000000009</v>
      </c>
      <c r="AE221" s="8">
        <f t="shared" si="1813"/>
        <v>0.3625000000000001</v>
      </c>
      <c r="AF221" s="8">
        <f t="shared" si="1813"/>
        <v>0.37500000000000017</v>
      </c>
      <c r="AG221" s="8">
        <f t="shared" si="1813"/>
        <v>0.38750000000000018</v>
      </c>
      <c r="AH221" s="8">
        <f t="shared" si="1813"/>
        <v>0.40000000000000024</v>
      </c>
      <c r="AI221" s="8">
        <f t="shared" si="1813"/>
        <v>0.41250000000000026</v>
      </c>
      <c r="AJ221" s="8">
        <f t="shared" si="1813"/>
        <v>0.42500000000000027</v>
      </c>
      <c r="AK221" s="8">
        <f t="shared" si="1813"/>
        <v>0.43750000000000033</v>
      </c>
      <c r="AL221" s="8">
        <f t="shared" si="1813"/>
        <v>0.45000000000000034</v>
      </c>
      <c r="AM221" s="8">
        <f t="shared" si="1813"/>
        <v>0.46250000000000036</v>
      </c>
      <c r="AN221" s="8">
        <f t="shared" si="1813"/>
        <v>0.47500000000000042</v>
      </c>
      <c r="AO221" s="8">
        <f t="shared" si="1813"/>
        <v>0.48750000000000043</v>
      </c>
      <c r="AP221" s="8">
        <f t="shared" si="1813"/>
        <v>0.50000000000000044</v>
      </c>
      <c r="AQ221" s="8">
        <f t="shared" si="1813"/>
        <v>0.51250000000000051</v>
      </c>
      <c r="AR221" s="8">
        <f t="shared" si="1813"/>
        <v>0.52500000000000058</v>
      </c>
      <c r="AS221" s="8">
        <f t="shared" si="1813"/>
        <v>0.53750000000000053</v>
      </c>
      <c r="AT221" s="8">
        <f t="shared" si="1813"/>
        <v>0.5500000000000006</v>
      </c>
      <c r="AU221" s="8">
        <f t="shared" si="1813"/>
        <v>0.56250000000000067</v>
      </c>
      <c r="AV221" s="8">
        <f t="shared" si="1813"/>
        <v>0.57500000000000062</v>
      </c>
      <c r="AW221" s="8">
        <f t="shared" si="1813"/>
        <v>0.58750000000000069</v>
      </c>
      <c r="AX221" s="8">
        <f t="shared" si="1813"/>
        <v>0.60000000000000075</v>
      </c>
      <c r="AY221" s="8">
        <f t="shared" si="1813"/>
        <v>0.61250000000000071</v>
      </c>
      <c r="AZ221" s="8">
        <f t="shared" si="1813"/>
        <v>0.62500000000000078</v>
      </c>
      <c r="BA221" s="8">
        <f t="shared" si="1813"/>
        <v>0.63750000000000084</v>
      </c>
      <c r="BB221" s="8">
        <f t="shared" si="1813"/>
        <v>0.65000000000000091</v>
      </c>
      <c r="BC221" s="8">
        <f t="shared" si="1813"/>
        <v>0.66250000000000087</v>
      </c>
      <c r="BD221" s="8">
        <f t="shared" si="1813"/>
        <v>0.67500000000000093</v>
      </c>
      <c r="BE221" s="8">
        <f t="shared" si="1813"/>
        <v>0.687500000000001</v>
      </c>
      <c r="BF221" s="8">
        <f t="shared" si="1813"/>
        <v>0.70000000000000095</v>
      </c>
      <c r="BG221" s="8">
        <f t="shared" si="1813"/>
        <v>0.71250000000000102</v>
      </c>
      <c r="BH221" s="8">
        <f t="shared" si="1813"/>
        <v>0.72500000000000109</v>
      </c>
      <c r="BI221" s="8">
        <f t="shared" si="1813"/>
        <v>0.73750000000000104</v>
      </c>
      <c r="BJ221" s="8">
        <f t="shared" si="1813"/>
        <v>0.75000000000000111</v>
      </c>
      <c r="BK221" s="8">
        <f t="shared" si="1813"/>
        <v>0.76250000000000118</v>
      </c>
      <c r="BL221" s="8">
        <f t="shared" si="1813"/>
        <v>0.77500000000000113</v>
      </c>
      <c r="BM221" s="8">
        <f t="shared" si="1813"/>
        <v>0.7875000000000012</v>
      </c>
      <c r="BN221" s="8">
        <f t="shared" si="1813"/>
        <v>0.80000000000000127</v>
      </c>
      <c r="BO221" s="8">
        <f t="shared" ref="BO221:CD221" si="1814">BO8/(0.8*10^-3)</f>
        <v>0.81250000000000133</v>
      </c>
      <c r="BP221" s="8">
        <f t="shared" si="1814"/>
        <v>0.82500000000000129</v>
      </c>
      <c r="BQ221" s="8">
        <f t="shared" si="1814"/>
        <v>0.83750000000000135</v>
      </c>
      <c r="BR221" s="8">
        <f t="shared" si="1814"/>
        <v>0.85000000000000142</v>
      </c>
      <c r="BS221" s="8">
        <f t="shared" si="1814"/>
        <v>0.86250000000000138</v>
      </c>
      <c r="BT221" s="8">
        <f t="shared" si="1814"/>
        <v>0.87500000000000144</v>
      </c>
      <c r="BU221" s="8">
        <f t="shared" si="1814"/>
        <v>0.88750000000000151</v>
      </c>
      <c r="BV221" s="8">
        <f t="shared" si="1814"/>
        <v>0.90000000000000147</v>
      </c>
      <c r="BW221" s="8">
        <f t="shared" si="1814"/>
        <v>0.91250000000000153</v>
      </c>
      <c r="BX221" s="8">
        <f t="shared" si="1814"/>
        <v>0.9250000000000016</v>
      </c>
      <c r="BY221" s="8">
        <f t="shared" si="1814"/>
        <v>0.93750000000000155</v>
      </c>
      <c r="BZ221" s="8">
        <f t="shared" si="1814"/>
        <v>0.95000000000000162</v>
      </c>
      <c r="CA221" s="8">
        <f t="shared" si="1814"/>
        <v>0.96250000000000169</v>
      </c>
      <c r="CB221" s="8">
        <f t="shared" si="1814"/>
        <v>0.97500000000000164</v>
      </c>
      <c r="CC221" s="8">
        <f t="shared" si="1814"/>
        <v>0.98750000000000171</v>
      </c>
      <c r="CD221" s="8">
        <f t="shared" si="1814"/>
        <v>1.0000000000000018</v>
      </c>
      <c r="CE221" s="8"/>
      <c r="CF221" s="8"/>
      <c r="CG221" s="8"/>
      <c r="CH221" s="8"/>
      <c r="CI221" s="8"/>
      <c r="CJ221" s="8"/>
      <c r="CK221" s="8"/>
      <c r="CL221" s="8"/>
      <c r="CM221" s="8"/>
      <c r="CN221" s="8"/>
      <c r="CO221" s="8"/>
      <c r="CP221" s="8"/>
      <c r="CQ221" s="8"/>
      <c r="CR221" s="8"/>
      <c r="CS221" s="8"/>
      <c r="CT221" s="8"/>
      <c r="CU221" s="8"/>
      <c r="CV221" s="8"/>
      <c r="CW221" s="8"/>
      <c r="CX221" s="8"/>
      <c r="CY221" s="8"/>
      <c r="CZ221" s="8"/>
      <c r="DA221" s="8"/>
      <c r="DB221" s="8"/>
      <c r="DC221" s="8"/>
    </row>
    <row r="222" spans="1:165" x14ac:dyDescent="0.25">
      <c r="B222">
        <f>B103/(0.8*10^-3)</f>
        <v>0</v>
      </c>
      <c r="C222" s="8">
        <f t="shared" ref="C222:BN222" si="1815">C103/(0.8*10^-3)</f>
        <v>6.2500000000000003E-3</v>
      </c>
      <c r="D222" s="8">
        <f t="shared" si="1815"/>
        <v>1.2500000000000001E-2</v>
      </c>
      <c r="E222" s="8">
        <f t="shared" si="1815"/>
        <v>1.8750000000000003E-2</v>
      </c>
      <c r="F222" s="8">
        <f t="shared" si="1815"/>
        <v>2.5000000000000001E-2</v>
      </c>
      <c r="G222" s="8">
        <f t="shared" si="1815"/>
        <v>3.125E-2</v>
      </c>
      <c r="H222" s="8">
        <f t="shared" si="1815"/>
        <v>3.7499999999999999E-2</v>
      </c>
      <c r="I222" s="8">
        <f t="shared" si="1815"/>
        <v>4.3750000000000004E-2</v>
      </c>
      <c r="J222" s="8">
        <f t="shared" si="1815"/>
        <v>0.05</v>
      </c>
      <c r="K222" s="8">
        <f t="shared" si="1815"/>
        <v>5.6250000000000001E-2</v>
      </c>
      <c r="L222" s="8">
        <f t="shared" si="1815"/>
        <v>6.25E-2</v>
      </c>
      <c r="M222" s="8">
        <f t="shared" si="1815"/>
        <v>6.8750000000000006E-2</v>
      </c>
      <c r="N222" s="8">
        <f t="shared" si="1815"/>
        <v>7.4999999999999997E-2</v>
      </c>
      <c r="O222" s="8">
        <f t="shared" si="1815"/>
        <v>8.1250000000000003E-2</v>
      </c>
      <c r="P222" s="8">
        <f t="shared" si="1815"/>
        <v>8.7500000000000008E-2</v>
      </c>
      <c r="Q222" s="8">
        <f t="shared" si="1815"/>
        <v>9.375E-2</v>
      </c>
      <c r="R222" s="8">
        <f t="shared" si="1815"/>
        <v>0.1</v>
      </c>
      <c r="S222" s="8">
        <f t="shared" si="1815"/>
        <v>0.10625</v>
      </c>
      <c r="T222" s="8">
        <f t="shared" si="1815"/>
        <v>0.1125</v>
      </c>
      <c r="U222" s="8">
        <f t="shared" si="1815"/>
        <v>0.11874999999999999</v>
      </c>
      <c r="V222" s="8">
        <f t="shared" si="1815"/>
        <v>0.125</v>
      </c>
      <c r="W222" s="8">
        <f t="shared" si="1815"/>
        <v>0.13125000000000001</v>
      </c>
      <c r="X222" s="8">
        <f t="shared" si="1815"/>
        <v>0.13750000000000001</v>
      </c>
      <c r="Y222" s="8">
        <f t="shared" si="1815"/>
        <v>0.14374999999999999</v>
      </c>
      <c r="Z222" s="8">
        <f t="shared" si="1815"/>
        <v>0.15</v>
      </c>
      <c r="AA222" s="8">
        <f t="shared" si="1815"/>
        <v>0.15625</v>
      </c>
      <c r="AB222" s="8">
        <f t="shared" si="1815"/>
        <v>0.16250000000000001</v>
      </c>
      <c r="AC222" s="8">
        <f t="shared" si="1815"/>
        <v>0.16875000000000004</v>
      </c>
      <c r="AD222" s="8">
        <f t="shared" si="1815"/>
        <v>0.17500000000000004</v>
      </c>
      <c r="AE222" s="8">
        <f t="shared" si="1815"/>
        <v>0.18125000000000005</v>
      </c>
      <c r="AF222" s="8">
        <f t="shared" si="1815"/>
        <v>0.18750000000000008</v>
      </c>
      <c r="AG222" s="8">
        <f t="shared" si="1815"/>
        <v>0.19375000000000009</v>
      </c>
      <c r="AH222" s="8">
        <f t="shared" si="1815"/>
        <v>0.20000000000000012</v>
      </c>
      <c r="AI222" s="8">
        <f t="shared" si="1815"/>
        <v>0.20625000000000013</v>
      </c>
      <c r="AJ222" s="8">
        <f t="shared" si="1815"/>
        <v>0.21250000000000013</v>
      </c>
      <c r="AK222" s="8">
        <f t="shared" si="1815"/>
        <v>0.21875000000000017</v>
      </c>
      <c r="AL222" s="8">
        <f t="shared" si="1815"/>
        <v>0.22500000000000017</v>
      </c>
      <c r="AM222" s="8">
        <f t="shared" si="1815"/>
        <v>0.23125000000000018</v>
      </c>
      <c r="AN222" s="8">
        <f t="shared" si="1815"/>
        <v>0.23750000000000021</v>
      </c>
      <c r="AO222" s="8">
        <f t="shared" si="1815"/>
        <v>0.24375000000000022</v>
      </c>
      <c r="AP222" s="8">
        <f t="shared" si="1815"/>
        <v>0.25000000000000022</v>
      </c>
      <c r="AQ222" s="8">
        <f t="shared" si="1815"/>
        <v>0.25625000000000026</v>
      </c>
      <c r="AR222" s="8">
        <f t="shared" si="1815"/>
        <v>0.26250000000000029</v>
      </c>
      <c r="AS222" s="8">
        <f t="shared" si="1815"/>
        <v>0.26875000000000027</v>
      </c>
      <c r="AT222" s="8">
        <f t="shared" si="1815"/>
        <v>0.2750000000000003</v>
      </c>
      <c r="AU222" s="8">
        <f t="shared" si="1815"/>
        <v>0.28125000000000033</v>
      </c>
      <c r="AV222" s="8">
        <f t="shared" si="1815"/>
        <v>0.28750000000000031</v>
      </c>
      <c r="AW222" s="8">
        <f t="shared" si="1815"/>
        <v>0.29375000000000034</v>
      </c>
      <c r="AX222" s="8">
        <f t="shared" si="1815"/>
        <v>0.30000000000000038</v>
      </c>
      <c r="AY222" s="8">
        <f t="shared" si="1815"/>
        <v>0.30625000000000036</v>
      </c>
      <c r="AZ222" s="8">
        <f t="shared" si="1815"/>
        <v>0.31250000000000039</v>
      </c>
      <c r="BA222" s="8">
        <f t="shared" si="1815"/>
        <v>0.31875000000000042</v>
      </c>
      <c r="BB222" s="8">
        <f t="shared" si="1815"/>
        <v>0.32500000000000046</v>
      </c>
      <c r="BC222" s="8">
        <f t="shared" si="1815"/>
        <v>0.33125000000000043</v>
      </c>
      <c r="BD222" s="8">
        <f t="shared" si="1815"/>
        <v>0.33750000000000047</v>
      </c>
      <c r="BE222" s="8">
        <f t="shared" si="1815"/>
        <v>0.3437500000000005</v>
      </c>
      <c r="BF222" s="8">
        <f t="shared" si="1815"/>
        <v>0.35000000000000048</v>
      </c>
      <c r="BG222" s="8">
        <f t="shared" si="1815"/>
        <v>0.35625000000000051</v>
      </c>
      <c r="BH222" s="8">
        <f t="shared" si="1815"/>
        <v>0.36250000000000054</v>
      </c>
      <c r="BI222" s="8">
        <f t="shared" si="1815"/>
        <v>0.36875000000000052</v>
      </c>
      <c r="BJ222" s="8">
        <f t="shared" si="1815"/>
        <v>0.37500000000000056</v>
      </c>
      <c r="BK222" s="8">
        <f t="shared" si="1815"/>
        <v>0.38125000000000059</v>
      </c>
      <c r="BL222" s="8">
        <f t="shared" si="1815"/>
        <v>0.38750000000000057</v>
      </c>
      <c r="BM222" s="8">
        <f t="shared" si="1815"/>
        <v>0.3937500000000006</v>
      </c>
      <c r="BN222" s="8">
        <f t="shared" si="1815"/>
        <v>0.40000000000000063</v>
      </c>
      <c r="BO222" s="8">
        <f t="shared" ref="BO222:CH222" si="1816">BO103/(0.8*10^-3)</f>
        <v>0.40625000000000067</v>
      </c>
      <c r="BP222" s="8">
        <f t="shared" si="1816"/>
        <v>0.41250000000000064</v>
      </c>
      <c r="BQ222" s="8">
        <f t="shared" si="1816"/>
        <v>0.41875000000000068</v>
      </c>
      <c r="BR222" s="8">
        <f t="shared" si="1816"/>
        <v>0.42500000000000071</v>
      </c>
      <c r="BS222" s="8">
        <f t="shared" si="1816"/>
        <v>0.43125000000000069</v>
      </c>
      <c r="BT222" s="8">
        <f t="shared" si="1816"/>
        <v>0.43750000000000072</v>
      </c>
      <c r="BU222" s="8">
        <f t="shared" si="1816"/>
        <v>0.44375000000000075</v>
      </c>
      <c r="BV222" s="8">
        <f t="shared" si="1816"/>
        <v>0.45000000000000073</v>
      </c>
      <c r="BW222" s="8">
        <f t="shared" si="1816"/>
        <v>0.45625000000000077</v>
      </c>
      <c r="BX222" s="8">
        <f t="shared" si="1816"/>
        <v>0.4625000000000008</v>
      </c>
      <c r="BY222" s="8">
        <f t="shared" si="1816"/>
        <v>0.46875000000000078</v>
      </c>
      <c r="BZ222" s="8">
        <f t="shared" si="1816"/>
        <v>0.47500000000000081</v>
      </c>
      <c r="CA222" s="8">
        <f t="shared" si="1816"/>
        <v>0.48125000000000084</v>
      </c>
      <c r="CB222" s="8">
        <f t="shared" si="1816"/>
        <v>0.48750000000000082</v>
      </c>
      <c r="CC222" s="8">
        <f t="shared" si="1816"/>
        <v>0.49375000000000085</v>
      </c>
      <c r="CD222" s="8">
        <f t="shared" si="1816"/>
        <v>0.50000000000000089</v>
      </c>
      <c r="CE222" s="8">
        <f t="shared" si="1816"/>
        <v>0.50625000000000087</v>
      </c>
      <c r="CF222" s="8">
        <f t="shared" si="1816"/>
        <v>0.51250000000000095</v>
      </c>
      <c r="CG222" s="8">
        <f t="shared" si="1816"/>
        <v>0.51875000000000093</v>
      </c>
      <c r="CH222" s="8">
        <f t="shared" si="1816"/>
        <v>0.52500000000000091</v>
      </c>
      <c r="CI222" s="8">
        <f>CI103/(0.8*10^-3)</f>
        <v>0.531250000000001</v>
      </c>
      <c r="CJ222" s="8">
        <f t="shared" ref="CJ222:EK222" si="1817">CJ103/(0.8*10^-3)</f>
        <v>0.53750000000000098</v>
      </c>
      <c r="CK222" s="8">
        <f t="shared" si="1817"/>
        <v>0.54375000000000095</v>
      </c>
      <c r="CL222" s="8">
        <f t="shared" si="1817"/>
        <v>0.55000000000000104</v>
      </c>
      <c r="CM222" s="8">
        <f t="shared" si="1817"/>
        <v>0.55625000000000102</v>
      </c>
      <c r="CN222" s="8">
        <f t="shared" si="1817"/>
        <v>0.562500000000001</v>
      </c>
      <c r="CO222" s="8">
        <f t="shared" si="1817"/>
        <v>0.56875000000000109</v>
      </c>
      <c r="CP222" s="8">
        <f t="shared" si="1817"/>
        <v>0.57500000000000107</v>
      </c>
      <c r="CQ222" s="8">
        <f t="shared" si="1817"/>
        <v>0.58125000000000104</v>
      </c>
      <c r="CR222" s="8">
        <f t="shared" si="1817"/>
        <v>0.58750000000000113</v>
      </c>
      <c r="CS222" s="8">
        <f t="shared" si="1817"/>
        <v>0.59375000000000111</v>
      </c>
      <c r="CT222" s="8">
        <f t="shared" si="1817"/>
        <v>0.60000000000000109</v>
      </c>
      <c r="CU222" s="8">
        <f t="shared" si="1817"/>
        <v>0.60625000000000118</v>
      </c>
      <c r="CV222" s="8">
        <f t="shared" si="1817"/>
        <v>0.61250000000000115</v>
      </c>
      <c r="CW222" s="8">
        <f t="shared" si="1817"/>
        <v>0.61875000000000113</v>
      </c>
      <c r="CX222" s="8">
        <f t="shared" si="1817"/>
        <v>0.62500000000000122</v>
      </c>
      <c r="CY222" s="8">
        <f t="shared" si="1817"/>
        <v>0.6312500000000012</v>
      </c>
      <c r="CZ222" s="8">
        <f t="shared" si="1817"/>
        <v>0.63750000000000129</v>
      </c>
      <c r="DA222" s="8">
        <f t="shared" si="1817"/>
        <v>0.64375000000000127</v>
      </c>
      <c r="DB222" s="8">
        <f t="shared" si="1817"/>
        <v>0.65000000000000124</v>
      </c>
      <c r="DC222" s="8">
        <f t="shared" si="1817"/>
        <v>0.65625000000000133</v>
      </c>
      <c r="DD222" s="8">
        <f t="shared" si="1817"/>
        <v>0.66250000000000131</v>
      </c>
      <c r="DE222" s="8">
        <f t="shared" si="1817"/>
        <v>0.66875000000000129</v>
      </c>
      <c r="DF222" s="8">
        <f t="shared" si="1817"/>
        <v>0.67500000000000138</v>
      </c>
      <c r="DG222" s="8">
        <f t="shared" si="1817"/>
        <v>0.68125000000000135</v>
      </c>
      <c r="DH222" s="8">
        <f t="shared" si="1817"/>
        <v>0.68750000000000133</v>
      </c>
      <c r="DI222" s="8">
        <f t="shared" si="1817"/>
        <v>0.69375000000000142</v>
      </c>
      <c r="DJ222" s="8">
        <f t="shared" si="1817"/>
        <v>0.7000000000000014</v>
      </c>
      <c r="DK222" s="8">
        <f t="shared" si="1817"/>
        <v>0.70625000000000138</v>
      </c>
      <c r="DL222" s="8">
        <f t="shared" si="1817"/>
        <v>0.71250000000000147</v>
      </c>
      <c r="DM222" s="8">
        <f t="shared" si="1817"/>
        <v>0.71875000000000144</v>
      </c>
      <c r="DN222" s="8">
        <f t="shared" si="1817"/>
        <v>0.72500000000000142</v>
      </c>
      <c r="DO222" s="8">
        <f t="shared" si="1817"/>
        <v>0.73125000000000151</v>
      </c>
      <c r="DP222" s="8">
        <f t="shared" si="1817"/>
        <v>0.73750000000000149</v>
      </c>
      <c r="DQ222" s="8">
        <f t="shared" si="1817"/>
        <v>0.74375000000000147</v>
      </c>
      <c r="DR222" s="8">
        <f t="shared" si="1817"/>
        <v>0.75000000000000155</v>
      </c>
      <c r="DS222" s="8">
        <f t="shared" si="1817"/>
        <v>0.75625000000000153</v>
      </c>
      <c r="DT222" s="8">
        <f t="shared" si="1817"/>
        <v>0.76250000000000151</v>
      </c>
      <c r="DU222" s="8">
        <f t="shared" si="1817"/>
        <v>0.7687500000000016</v>
      </c>
      <c r="DV222" s="8">
        <f t="shared" si="1817"/>
        <v>0.77500000000000158</v>
      </c>
      <c r="DW222" s="8">
        <f t="shared" si="1817"/>
        <v>0.78125000000000155</v>
      </c>
      <c r="DX222" s="8">
        <f t="shared" si="1817"/>
        <v>0.78750000000000164</v>
      </c>
      <c r="DY222" s="8">
        <f t="shared" si="1817"/>
        <v>0.79375000000000162</v>
      </c>
      <c r="DZ222" s="8">
        <f t="shared" si="1817"/>
        <v>0.8000000000000016</v>
      </c>
      <c r="EA222" s="8">
        <f t="shared" si="1817"/>
        <v>0.80625000000000169</v>
      </c>
      <c r="EB222" s="8">
        <f t="shared" si="1817"/>
        <v>0.81250000000000167</v>
      </c>
      <c r="EC222" s="8">
        <f t="shared" si="1817"/>
        <v>0.81875000000000175</v>
      </c>
      <c r="ED222" s="8">
        <f t="shared" si="1817"/>
        <v>0.82500000000000173</v>
      </c>
      <c r="EE222" s="8">
        <f t="shared" si="1817"/>
        <v>0.83125000000000171</v>
      </c>
      <c r="EF222" s="8">
        <f t="shared" si="1817"/>
        <v>0.8375000000000018</v>
      </c>
      <c r="EG222" s="8">
        <f t="shared" si="1817"/>
        <v>0.84375000000000178</v>
      </c>
      <c r="EH222" s="8">
        <f t="shared" si="1817"/>
        <v>0.85000000000000175</v>
      </c>
      <c r="EI222" s="8">
        <f t="shared" si="1817"/>
        <v>0.85625000000000184</v>
      </c>
      <c r="EJ222" s="8">
        <f t="shared" si="1817"/>
        <v>0.86250000000000182</v>
      </c>
      <c r="EK222" s="8">
        <f t="shared" si="1817"/>
        <v>0.8687500000000018</v>
      </c>
      <c r="EL222" s="8">
        <f>EL103/(0.8*10^-3)</f>
        <v>0.87500000000000189</v>
      </c>
      <c r="EM222" s="8">
        <f t="shared" ref="EM222:FD222" si="1818">EM103/(0.8*10^-3)</f>
        <v>0.88125000000000187</v>
      </c>
      <c r="EN222" s="8">
        <f t="shared" si="1818"/>
        <v>0.88750000000000184</v>
      </c>
      <c r="EO222" s="8">
        <f t="shared" si="1818"/>
        <v>0.89375000000000193</v>
      </c>
      <c r="EP222" s="8">
        <f t="shared" si="1818"/>
        <v>0.90000000000000191</v>
      </c>
      <c r="EQ222" s="8">
        <f t="shared" si="1818"/>
        <v>0.90625000000000189</v>
      </c>
      <c r="ER222" s="8">
        <f t="shared" si="1818"/>
        <v>0.91250000000000198</v>
      </c>
      <c r="ES222" s="8">
        <f t="shared" si="1818"/>
        <v>0.91875000000000195</v>
      </c>
      <c r="ET222" s="8">
        <f t="shared" si="1818"/>
        <v>0.92500000000000193</v>
      </c>
      <c r="EU222" s="8">
        <f t="shared" si="1818"/>
        <v>0.93125000000000202</v>
      </c>
      <c r="EV222" s="8">
        <f t="shared" si="1818"/>
        <v>0.937500000000002</v>
      </c>
      <c r="EW222" s="8">
        <f t="shared" si="1818"/>
        <v>0.94375000000000198</v>
      </c>
      <c r="EX222" s="8">
        <f t="shared" si="1818"/>
        <v>0.95000000000000207</v>
      </c>
      <c r="EY222" s="8">
        <f t="shared" si="1818"/>
        <v>0.95625000000000204</v>
      </c>
      <c r="EZ222" s="8">
        <f t="shared" si="1818"/>
        <v>0.96250000000000202</v>
      </c>
      <c r="FA222" s="8">
        <f t="shared" si="1818"/>
        <v>0.96875000000000211</v>
      </c>
      <c r="FB222" s="8">
        <f t="shared" si="1818"/>
        <v>0.97500000000000209</v>
      </c>
      <c r="FC222" s="8">
        <f t="shared" si="1818"/>
        <v>0.98125000000000207</v>
      </c>
      <c r="FD222" s="8">
        <f t="shared" si="1818"/>
        <v>0.98750000000000215</v>
      </c>
      <c r="FE222" s="8">
        <f>FE103/(0.8*10^-3)</f>
        <v>0.99375000000000213</v>
      </c>
      <c r="FF222" s="8"/>
      <c r="FG222" s="8"/>
      <c r="FH222" s="8"/>
      <c r="FI222" s="8"/>
    </row>
    <row r="229" spans="1:30" x14ac:dyDescent="0.25">
      <c r="A229" s="1"/>
      <c r="B229" s="1"/>
      <c r="C229" s="1" t="s">
        <v>184</v>
      </c>
      <c r="D229" s="1"/>
      <c r="E229" s="1"/>
      <c r="F229" s="1"/>
      <c r="G229" s="1"/>
      <c r="H229" s="1"/>
      <c r="I229" s="1" t="s">
        <v>212</v>
      </c>
      <c r="J229" s="1"/>
      <c r="K229" s="1"/>
      <c r="L229" s="1"/>
      <c r="M229" s="1"/>
      <c r="N229" s="1"/>
      <c r="O229" s="1"/>
      <c r="P229" s="1"/>
      <c r="Q229" s="1"/>
      <c r="R229" s="1"/>
      <c r="S229" s="1"/>
      <c r="T229" s="1"/>
      <c r="U229" s="1"/>
      <c r="V229" s="1" t="s">
        <v>189</v>
      </c>
      <c r="W229" s="1"/>
      <c r="X229" s="1"/>
      <c r="Y229" s="1"/>
      <c r="Z229" s="1"/>
      <c r="AA229" s="1"/>
      <c r="AB229" s="1"/>
      <c r="AC229" s="1"/>
      <c r="AD229" s="1"/>
    </row>
    <row r="230" spans="1:30" x14ac:dyDescent="0.25">
      <c r="A230" s="1"/>
      <c r="B230" s="1"/>
      <c r="C230" s="1">
        <f>0.012</f>
        <v>1.2E-2</v>
      </c>
      <c r="D230" s="1">
        <f>0.027</f>
        <v>2.7E-2</v>
      </c>
      <c r="E230" s="1">
        <f>0.042</f>
        <v>4.2000000000000003E-2</v>
      </c>
      <c r="F230" s="1"/>
      <c r="G230" s="1"/>
      <c r="H230" s="1" t="s">
        <v>187</v>
      </c>
      <c r="I230" s="1"/>
      <c r="J230" s="1"/>
      <c r="K230" s="1"/>
      <c r="L230" s="1"/>
      <c r="M230" s="1" t="s">
        <v>186</v>
      </c>
      <c r="N230" s="1"/>
      <c r="O230" s="1"/>
      <c r="P230" s="1"/>
      <c r="Q230" s="1" t="s">
        <v>188</v>
      </c>
      <c r="R230" s="1"/>
      <c r="S230" s="1"/>
      <c r="T230" s="1"/>
      <c r="U230" s="1"/>
      <c r="V230" s="1"/>
      <c r="W230" s="1"/>
      <c r="X230" s="1"/>
      <c r="Y230" s="1"/>
      <c r="Z230" s="1"/>
      <c r="AA230" s="1" t="s">
        <v>190</v>
      </c>
      <c r="AB230" s="1"/>
      <c r="AC230" s="1"/>
      <c r="AD230" s="1"/>
    </row>
    <row r="231" spans="1:30" x14ac:dyDescent="0.25">
      <c r="A231" s="1" t="s">
        <v>191</v>
      </c>
      <c r="B231" s="1"/>
      <c r="C231" s="1"/>
      <c r="D231" s="1" t="s">
        <v>185</v>
      </c>
      <c r="E231" s="1"/>
      <c r="F231" s="1"/>
      <c r="G231" s="1"/>
      <c r="H231" s="1">
        <v>12</v>
      </c>
      <c r="I231" s="1">
        <v>27</v>
      </c>
      <c r="J231" s="1">
        <v>42</v>
      </c>
      <c r="K231" s="1"/>
      <c r="L231" s="1"/>
      <c r="M231" s="1">
        <v>12</v>
      </c>
      <c r="N231" s="1">
        <v>27</v>
      </c>
      <c r="O231" s="1">
        <v>42</v>
      </c>
      <c r="P231" s="1"/>
      <c r="Q231" s="1"/>
      <c r="R231" s="1">
        <v>12</v>
      </c>
      <c r="S231" s="1">
        <v>27</v>
      </c>
      <c r="T231" s="1">
        <v>42</v>
      </c>
      <c r="U231" s="1"/>
      <c r="V231" s="1"/>
      <c r="W231" s="1">
        <v>12</v>
      </c>
      <c r="X231" s="1">
        <v>27</v>
      </c>
      <c r="Y231" s="1">
        <v>42</v>
      </c>
      <c r="Z231" s="1"/>
      <c r="AA231" s="1">
        <f>SUM(W232:Y232)/3</f>
        <v>4.9923235361515717E-2</v>
      </c>
      <c r="AB231" s="1"/>
      <c r="AC231" s="1"/>
      <c r="AD231" s="1"/>
    </row>
    <row r="232" spans="1:30" x14ac:dyDescent="0.25">
      <c r="A232" s="1" t="s">
        <v>183</v>
      </c>
      <c r="B232" s="1"/>
      <c r="C232" s="1"/>
      <c r="D232" s="1">
        <f>D175</f>
        <v>1.4999999999999999E-4</v>
      </c>
      <c r="E232" s="1"/>
      <c r="F232" s="1"/>
      <c r="G232" s="1">
        <v>0.3</v>
      </c>
      <c r="H232" s="1">
        <f>-C$163/($A233*SQRT(2)) + ($D232/(2*$A233))*(2*(C$163/$D232)^2 +4*$A233^2)^0.5</f>
        <v>2.7612762095934637E-5</v>
      </c>
      <c r="I232" s="1">
        <f t="shared" ref="I232:J232" si="1819">-D$163/($A233*SQRT(2)) + ($D232/(2*$A233))*(2*(D$163/$D232)^2 +4*$A233^2)^0.5</f>
        <v>1.2612986771921614E-5</v>
      </c>
      <c r="J232" s="1">
        <f t="shared" si="1819"/>
        <v>8.1420273350912668E-6</v>
      </c>
      <c r="K232" s="1"/>
      <c r="L232" s="1">
        <v>0.3</v>
      </c>
      <c r="M232" s="1">
        <f>H232/$D232</f>
        <v>0.18408508063956427</v>
      </c>
      <c r="N232" s="1">
        <f t="shared" ref="N232:O232" si="1820">I232/$D232</f>
        <v>8.4086578479477439E-2</v>
      </c>
      <c r="O232" s="1">
        <f t="shared" si="1820"/>
        <v>5.4280182233941786E-2</v>
      </c>
      <c r="P232" s="1"/>
      <c r="Q232" s="1">
        <v>0.3</v>
      </c>
      <c r="R232" s="1">
        <f>P193</f>
        <v>0</v>
      </c>
      <c r="S232" s="1">
        <f t="shared" ref="S232:T232" si="1821">Q193</f>
        <v>0.3</v>
      </c>
      <c r="T232" s="1">
        <f t="shared" si="1821"/>
        <v>0.31746031746031744</v>
      </c>
      <c r="U232" s="1"/>
      <c r="V232" s="1">
        <v>0.3</v>
      </c>
      <c r="W232" s="1">
        <f>(R232-M232)^2</f>
        <v>3.3887316914074879E-2</v>
      </c>
      <c r="X232" s="1">
        <f>(S232-N232)^2</f>
        <v>4.6618605592698856E-2</v>
      </c>
      <c r="Y232" s="1">
        <f>(T232-O232)^2</f>
        <v>6.9263783577773394E-2</v>
      </c>
      <c r="Z232" s="1"/>
      <c r="AA232" s="1">
        <f>SUM(W233:Y233)/3</f>
        <v>6.9319030804656295E-3</v>
      </c>
      <c r="AB232" s="1"/>
      <c r="AC232" s="1"/>
      <c r="AD232" s="1"/>
    </row>
    <row r="233" spans="1:30" x14ac:dyDescent="0.25">
      <c r="A233" s="1">
        <v>21.557370872263995</v>
      </c>
      <c r="B233" s="1"/>
      <c r="C233" s="1"/>
      <c r="D233" s="1">
        <f t="shared" ref="D233:D235" si="1822">D176</f>
        <v>2.5000000000000001E-4</v>
      </c>
      <c r="E233" s="1"/>
      <c r="F233" s="1"/>
      <c r="G233" s="1">
        <v>0.5</v>
      </c>
      <c r="H233" s="1">
        <f>-C$163/($A234*SQRT(2)) + ($D233/(2*$A234))*(2*(C$163/$D233)^2 +4*$A234^2)^0.5</f>
        <v>1.2272305316163076E-4</v>
      </c>
      <c r="I233" s="1">
        <f t="shared" ref="I233:I235" si="1823">-D$163/($A234*SQRT(2)) + ($D233/(2*$A234))*(2*(D$163/$D233)^2 +4*$A234^2)^0.5</f>
        <v>6.6738937083890353E-5</v>
      </c>
      <c r="J233" s="1">
        <f t="shared" ref="J233:J234" si="1824">-E$163/($A234*SQRT(2)) + ($D233/(2*$A234))*(2*(E$163/$D233)^2 +4*$A234^2)^0.5</f>
        <v>4.4717735674507531E-5</v>
      </c>
      <c r="K233" s="1"/>
      <c r="L233" s="1">
        <v>0.5</v>
      </c>
      <c r="M233" s="1">
        <f t="shared" ref="M233:M235" si="1825">H233/$D233</f>
        <v>0.49089221264652305</v>
      </c>
      <c r="N233" s="1">
        <f t="shared" ref="N233:N235" si="1826">I233/$D233</f>
        <v>0.2669557483355614</v>
      </c>
      <c r="O233" s="1">
        <f t="shared" ref="O233:O235" si="1827">J233/$D233</f>
        <v>0.17887094269803011</v>
      </c>
      <c r="P233" s="1"/>
      <c r="Q233" s="1">
        <v>0.5</v>
      </c>
      <c r="R233" s="1">
        <f>P194</f>
        <v>0.41176470588235292</v>
      </c>
      <c r="S233" s="1">
        <f t="shared" ref="S233:S235" si="1828">Q194</f>
        <v>0.31147540983606559</v>
      </c>
      <c r="T233" s="1">
        <f t="shared" ref="T233:T235" si="1829">R194</f>
        <v>0.29090909090909089</v>
      </c>
      <c r="U233" s="1"/>
      <c r="V233" s="1">
        <v>0.5</v>
      </c>
      <c r="W233" s="1">
        <f t="shared" ref="W233:W235" si="1830">(R233-M233)^2</f>
        <v>6.2611623267137895E-3</v>
      </c>
      <c r="X233" s="1">
        <f>(S233-N233)^2</f>
        <v>1.9820002601194744E-3</v>
      </c>
      <c r="Y233" s="1">
        <f>(T233-O233)^2</f>
        <v>1.2552546654563623E-2</v>
      </c>
      <c r="Z233" s="1"/>
      <c r="AA233" s="1">
        <f>SUM(W234:Y234)/3</f>
        <v>4.0232343636288186E-3</v>
      </c>
      <c r="AB233" s="1"/>
      <c r="AC233" s="1"/>
      <c r="AD233" s="1"/>
    </row>
    <row r="234" spans="1:30" x14ac:dyDescent="0.25">
      <c r="A234" s="1">
        <v>43.902210874443178</v>
      </c>
      <c r="B234" s="1"/>
      <c r="C234" s="1"/>
      <c r="D234" s="1">
        <f t="shared" si="1822"/>
        <v>5.0000000000000001E-4</v>
      </c>
      <c r="E234" s="1"/>
      <c r="F234" s="1"/>
      <c r="G234" s="1">
        <v>1</v>
      </c>
      <c r="H234" s="1">
        <f>-C$163/($A235*SQRT(2)) + ($D234/(2*$A235))*(2*(C$163/$D234)^2 +4*$A235^2)^0.5</f>
        <v>3.1044148849854522E-4</v>
      </c>
      <c r="I234" s="1">
        <f t="shared" si="1823"/>
        <v>1.9156919394617471E-4</v>
      </c>
      <c r="J234" s="1">
        <f t="shared" si="1824"/>
        <v>1.3397656914572009E-4</v>
      </c>
      <c r="K234" s="1"/>
      <c r="L234" s="1">
        <v>1</v>
      </c>
      <c r="M234" s="1">
        <f t="shared" si="1825"/>
        <v>0.62088297699709039</v>
      </c>
      <c r="N234" s="1">
        <f t="shared" si="1826"/>
        <v>0.38313838789234939</v>
      </c>
      <c r="O234" s="1">
        <f t="shared" si="1827"/>
        <v>0.26795313829144018</v>
      </c>
      <c r="P234" s="1"/>
      <c r="Q234" s="1">
        <v>1</v>
      </c>
      <c r="R234" s="1">
        <f t="shared" ref="R234:R235" si="1831">P195</f>
        <v>0.59756097560975607</v>
      </c>
      <c r="S234" s="1">
        <f t="shared" si="1828"/>
        <v>0.44155844155844154</v>
      </c>
      <c r="T234" s="1">
        <f t="shared" si="1829"/>
        <v>0.35802469135802467</v>
      </c>
      <c r="U234" s="1"/>
      <c r="V234" s="1">
        <v>1</v>
      </c>
      <c r="W234" s="1">
        <f t="shared" si="1830"/>
        <v>5.4391574871082355E-4</v>
      </c>
      <c r="X234" s="1">
        <f t="shared" ref="X234:X235" si="1832">(S234-N234)^2</f>
        <v>3.4129026703490872E-3</v>
      </c>
      <c r="Y234" s="1">
        <f t="shared" ref="Y234:Y235" si="1833">(T234-O234)^2</f>
        <v>8.1128846718265448E-3</v>
      </c>
      <c r="Z234" s="1"/>
      <c r="AA234" s="1">
        <f>SUM(W235:Y235)/3</f>
        <v>2.7871616502474915E-3</v>
      </c>
      <c r="AB234" s="1"/>
      <c r="AC234" s="1"/>
      <c r="AD234" s="1"/>
    </row>
    <row r="235" spans="1:30" x14ac:dyDescent="0.25">
      <c r="A235" s="1">
        <v>34.293439526704475</v>
      </c>
      <c r="B235" s="1"/>
      <c r="C235" s="1"/>
      <c r="D235" s="1">
        <f t="shared" si="1822"/>
        <v>8.0000000000000004E-4</v>
      </c>
      <c r="E235" s="1"/>
      <c r="F235" s="1"/>
      <c r="G235" s="1">
        <v>1.6</v>
      </c>
      <c r="H235" s="1">
        <f t="shared" ref="H235" si="1834">-C$163/($A236*SQRT(2)) + ($D235/(2*$A236))*(2*(C$163/$D235)^2 +4*$A236^2)^0.5</f>
        <v>6.3875734109204415E-4</v>
      </c>
      <c r="I235" s="1">
        <f t="shared" si="1823"/>
        <v>4.8971346544841041E-4</v>
      </c>
      <c r="J235" s="1">
        <f>-E$163/($A236*SQRT(2)) + ($D235/(2*$A236))*(2*(E$163/$D235)^2 +4*$A236^2)^0.5</f>
        <v>3.861648732415041E-4</v>
      </c>
      <c r="K235" s="1"/>
      <c r="L235" s="1">
        <v>1.6</v>
      </c>
      <c r="M235" s="1">
        <f t="shared" si="1825"/>
        <v>0.79844667636505517</v>
      </c>
      <c r="N235" s="1">
        <f t="shared" si="1826"/>
        <v>0.61214183181051296</v>
      </c>
      <c r="O235" s="1">
        <f t="shared" si="1827"/>
        <v>0.4827060915518801</v>
      </c>
      <c r="P235" s="1"/>
      <c r="Q235" s="1">
        <v>1.6</v>
      </c>
      <c r="R235" s="1">
        <f t="shared" si="1831"/>
        <v>0.74149659863945583</v>
      </c>
      <c r="S235" s="1">
        <f t="shared" si="1828"/>
        <v>0.58278145695364236</v>
      </c>
      <c r="T235" s="1">
        <f t="shared" si="1829"/>
        <v>0.54794520547945202</v>
      </c>
      <c r="U235" s="1"/>
      <c r="V235" s="1">
        <v>1.6</v>
      </c>
      <c r="W235" s="1">
        <f t="shared" si="1830"/>
        <v>3.2433113529518067E-3</v>
      </c>
      <c r="X235" s="1">
        <f t="shared" si="1832"/>
        <v>8.6203161173595917E-4</v>
      </c>
      <c r="Y235" s="1">
        <f t="shared" si="1833"/>
        <v>4.256141986054709E-3</v>
      </c>
      <c r="Z235" s="1"/>
      <c r="AA235" s="1"/>
      <c r="AB235" s="1"/>
      <c r="AC235" s="1"/>
      <c r="AD235" s="1"/>
    </row>
    <row r="236" spans="1:30" x14ac:dyDescent="0.25">
      <c r="A236" s="1">
        <v>46.726649848861491</v>
      </c>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row>
    <row r="239" spans="1:30" x14ac:dyDescent="0.25">
      <c r="A239" s="1"/>
      <c r="B239" s="1"/>
      <c r="C239" s="1" t="s">
        <v>184</v>
      </c>
      <c r="D239" s="1"/>
      <c r="E239" s="1"/>
      <c r="F239" s="1"/>
      <c r="G239" s="1"/>
      <c r="H239" s="1"/>
      <c r="I239" s="1" t="s">
        <v>213</v>
      </c>
      <c r="J239" s="1"/>
      <c r="K239" s="1"/>
      <c r="L239" s="1"/>
      <c r="M239" s="1"/>
      <c r="N239" s="1"/>
      <c r="O239" s="1"/>
      <c r="P239" s="1"/>
      <c r="Q239" s="1"/>
      <c r="R239" s="1"/>
      <c r="S239" s="1"/>
      <c r="T239" s="1"/>
      <c r="U239" s="1"/>
      <c r="V239" s="1" t="s">
        <v>189</v>
      </c>
      <c r="W239" s="1"/>
      <c r="X239" s="1"/>
      <c r="Y239" s="1"/>
      <c r="Z239" s="1"/>
      <c r="AA239" s="1"/>
      <c r="AB239" s="1"/>
      <c r="AC239" s="1"/>
      <c r="AD239" s="1"/>
    </row>
    <row r="240" spans="1:30" x14ac:dyDescent="0.25">
      <c r="A240" s="1"/>
      <c r="B240" s="1"/>
      <c r="C240" s="1">
        <f>0.012</f>
        <v>1.2E-2</v>
      </c>
      <c r="D240" s="1">
        <f>0.027</f>
        <v>2.7E-2</v>
      </c>
      <c r="E240" s="1">
        <f>0.042</f>
        <v>4.2000000000000003E-2</v>
      </c>
      <c r="F240" s="1"/>
      <c r="G240" s="1"/>
      <c r="H240" s="1" t="s">
        <v>187</v>
      </c>
      <c r="I240" s="1"/>
      <c r="J240" s="1"/>
      <c r="K240" s="1"/>
      <c r="L240" s="1"/>
      <c r="M240" s="1" t="s">
        <v>186</v>
      </c>
      <c r="N240" s="1"/>
      <c r="O240" s="1"/>
      <c r="P240" s="1"/>
      <c r="Q240" s="1" t="s">
        <v>188</v>
      </c>
      <c r="R240" s="1"/>
      <c r="S240" s="1"/>
      <c r="T240" s="1"/>
      <c r="U240" s="1"/>
      <c r="V240" s="1"/>
      <c r="W240" s="1"/>
      <c r="X240" s="1"/>
      <c r="Y240" s="1"/>
      <c r="Z240" s="1"/>
      <c r="AA240" s="1" t="s">
        <v>190</v>
      </c>
      <c r="AB240" s="1"/>
      <c r="AC240" s="1"/>
      <c r="AD240" s="1"/>
    </row>
    <row r="241" spans="1:30" x14ac:dyDescent="0.25">
      <c r="A241" s="1" t="s">
        <v>191</v>
      </c>
      <c r="B241" s="1"/>
      <c r="C241" s="1"/>
      <c r="D241" s="1" t="s">
        <v>185</v>
      </c>
      <c r="E241" s="1"/>
      <c r="F241" s="1"/>
      <c r="G241" s="1"/>
      <c r="H241" s="1">
        <v>12</v>
      </c>
      <c r="I241" s="1">
        <v>27</v>
      </c>
      <c r="J241" s="1">
        <v>42</v>
      </c>
      <c r="K241" s="1"/>
      <c r="L241" s="1"/>
      <c r="M241" s="1">
        <v>12</v>
      </c>
      <c r="N241" s="1">
        <v>27</v>
      </c>
      <c r="O241" s="1">
        <v>42</v>
      </c>
      <c r="P241" s="1"/>
      <c r="Q241" s="1"/>
      <c r="R241" s="1">
        <v>12</v>
      </c>
      <c r="S241" s="1">
        <v>27</v>
      </c>
      <c r="T241" s="1">
        <v>42</v>
      </c>
      <c r="U241" s="1"/>
      <c r="V241" s="1"/>
      <c r="W241" s="1">
        <v>12</v>
      </c>
      <c r="X241" s="1">
        <v>27</v>
      </c>
      <c r="Y241" s="1">
        <v>42</v>
      </c>
      <c r="Z241" s="1"/>
      <c r="AA241" s="1">
        <f>SUM(W242:Y242)/3</f>
        <v>0.18099579512934671</v>
      </c>
      <c r="AB241" s="1"/>
      <c r="AC241" s="1"/>
      <c r="AD241" s="1"/>
    </row>
    <row r="242" spans="1:30" x14ac:dyDescent="0.25">
      <c r="A242" s="1" t="s">
        <v>183</v>
      </c>
      <c r="B242" s="1"/>
      <c r="C242" s="1"/>
      <c r="D242" s="1">
        <f>D232</f>
        <v>1.4999999999999999E-4</v>
      </c>
      <c r="E242" s="1"/>
      <c r="F242" s="1"/>
      <c r="G242" s="1">
        <v>0.3</v>
      </c>
      <c r="H242" s="1">
        <f>-C$163/($A243*SQRT(2)) + ($D242/(2*$A243))*(2*(C$163/$D242)^2 +4*$A243^2)^0.5</f>
        <v>1.6355855273146808E-5</v>
      </c>
      <c r="I242" s="1">
        <f t="shared" ref="I242:J242" si="1835">-D$163/($A243*SQRT(2)) + ($D242/(2*$A243))*(2*(D$163/$D242)^2 +4*$A243^2)^0.5</f>
        <v>7.339125719274921E-6</v>
      </c>
      <c r="J242" s="1">
        <f t="shared" si="1835"/>
        <v>4.724638978182219E-6</v>
      </c>
      <c r="K242" s="1"/>
      <c r="L242" s="1">
        <v>0.3</v>
      </c>
      <c r="M242" s="1">
        <f>H242/$D242</f>
        <v>0.10903903515431207</v>
      </c>
      <c r="N242" s="1">
        <f t="shared" ref="N242:O242" si="1836">I242/$D242</f>
        <v>4.8927504795166145E-2</v>
      </c>
      <c r="O242" s="1">
        <f t="shared" si="1836"/>
        <v>3.1497593187881465E-2</v>
      </c>
      <c r="P242" s="1"/>
      <c r="Q242" s="1">
        <v>0.3</v>
      </c>
      <c r="R242" s="1">
        <f>V184</f>
        <v>0.8</v>
      </c>
      <c r="S242" s="1">
        <f t="shared" ref="S242:T242" si="1837">W184</f>
        <v>0.30303030303030304</v>
      </c>
      <c r="T242" s="1">
        <f t="shared" si="1837"/>
        <v>0</v>
      </c>
      <c r="U242" s="1"/>
      <c r="V242" s="1">
        <v>0.3</v>
      </c>
      <c r="W242" s="1">
        <f>(R242-M242)^2</f>
        <v>0.47742705494048415</v>
      </c>
      <c r="X242" s="1">
        <f>(S242-N242)^2</f>
        <v>6.4568232070926684E-2</v>
      </c>
      <c r="Y242" s="1">
        <f>(T242-O242)^2</f>
        <v>9.9209837662927688E-4</v>
      </c>
      <c r="Z242" s="1"/>
      <c r="AA242" s="1">
        <f>SUM(W243:Y243)/3</f>
        <v>4.0925041631071747E-3</v>
      </c>
      <c r="AB242" s="1"/>
      <c r="AC242" s="1"/>
      <c r="AD242" s="1"/>
    </row>
    <row r="243" spans="1:30" x14ac:dyDescent="0.25">
      <c r="A243" s="1">
        <v>12.484796717711864</v>
      </c>
      <c r="B243" s="1"/>
      <c r="C243" s="1"/>
      <c r="D243" s="1">
        <f t="shared" ref="D243:D245" si="1838">D233</f>
        <v>2.5000000000000001E-4</v>
      </c>
      <c r="E243" s="1"/>
      <c r="F243" s="1"/>
      <c r="G243" s="1">
        <v>0.5</v>
      </c>
      <c r="H243" s="1">
        <f t="shared" ref="H243:H245" si="1839">-C$163/($A244*SQRT(2)) + ($D243/(2*$A244))*(2*(C$163/$D243)^2 +4*$A244^2)^0.5</f>
        <v>1.5694622799541425E-4</v>
      </c>
      <c r="I243" s="1">
        <f t="shared" ref="I243:I245" si="1840">-D$163/($A244*SQRT(2)) + ($D243/(2*$A244))*(2*(D$163/$D243)^2 +4*$A244^2)^0.5</f>
        <v>9.7585499955184045E-5</v>
      </c>
      <c r="J243" s="1">
        <f t="shared" ref="J243:J245" si="1841">-E$163/($A244*SQRT(2)) + ($D243/(2*$A244))*(2*(E$163/$D243)^2 +4*$A244^2)^0.5</f>
        <v>6.8460292384918148E-5</v>
      </c>
      <c r="K243" s="1"/>
      <c r="L243" s="1">
        <v>0.5</v>
      </c>
      <c r="M243" s="1">
        <f t="shared" ref="M243:M245" si="1842">H243/$D243</f>
        <v>0.62778491198165698</v>
      </c>
      <c r="N243" s="1">
        <f t="shared" ref="N243:N245" si="1843">I243/$D243</f>
        <v>0.3903419998207362</v>
      </c>
      <c r="O243" s="1">
        <f t="shared" ref="O243:O245" si="1844">J243/$D243</f>
        <v>0.27384116953967258</v>
      </c>
      <c r="P243" s="1"/>
      <c r="Q243" s="1">
        <v>0.5</v>
      </c>
      <c r="R243" s="1">
        <f t="shared" ref="R243:R245" si="1845">V185</f>
        <v>0.56666666666666665</v>
      </c>
      <c r="S243" s="1">
        <f t="shared" ref="S243:S245" si="1846">W185</f>
        <v>0.48275862068965519</v>
      </c>
      <c r="T243" s="1">
        <f t="shared" ref="T243:T245" si="1847">X185</f>
        <v>0.27272727272727271</v>
      </c>
      <c r="U243" s="1"/>
      <c r="V243" s="1">
        <v>0.5</v>
      </c>
      <c r="W243" s="1">
        <f t="shared" ref="W243:W245" si="1848">(R243-M243)^2</f>
        <v>3.735439910383337E-3</v>
      </c>
      <c r="X243" s="1">
        <f>(S243-N243)^2</f>
        <v>8.5408318128295142E-3</v>
      </c>
      <c r="Y243" s="1">
        <f>(T243-O243)^2</f>
        <v>1.2407661086745973E-6</v>
      </c>
      <c r="Z243" s="1"/>
      <c r="AA243" s="1">
        <f>SUM(W244:Y244)/3</f>
        <v>1.9963575719723183E-3</v>
      </c>
      <c r="AB243" s="1"/>
      <c r="AC243" s="1"/>
      <c r="AD243" s="1"/>
    </row>
    <row r="244" spans="1:30" x14ac:dyDescent="0.25">
      <c r="A244" s="1">
        <v>70.335749019023666</v>
      </c>
      <c r="B244" s="1"/>
      <c r="C244" s="1"/>
      <c r="D244" s="1">
        <f t="shared" si="1838"/>
        <v>5.0000000000000001E-4</v>
      </c>
      <c r="E244" s="1"/>
      <c r="F244" s="1"/>
      <c r="G244" s="1">
        <v>1</v>
      </c>
      <c r="H244" s="1">
        <f t="shared" si="1839"/>
        <v>3.1820073658199541E-4</v>
      </c>
      <c r="I244" s="1">
        <f t="shared" si="1840"/>
        <v>1.9975193744945603E-4</v>
      </c>
      <c r="J244" s="1">
        <f>-E$163/($A245*SQRT(2)) + ($D244/(2*$A245))*(2*(E$163/$D244)^2 +4*$A245^2)^0.5</f>
        <v>1.4069972208182575E-4</v>
      </c>
      <c r="K244" s="1"/>
      <c r="L244" s="1">
        <v>1</v>
      </c>
      <c r="M244" s="1">
        <f t="shared" si="1842"/>
        <v>0.63640147316399076</v>
      </c>
      <c r="N244" s="1">
        <f t="shared" si="1843"/>
        <v>0.39950387489891204</v>
      </c>
      <c r="O244" s="1">
        <f>J244/$D244</f>
        <v>0.28139944416365148</v>
      </c>
      <c r="P244" s="1"/>
      <c r="Q244" s="1">
        <v>1</v>
      </c>
      <c r="R244" s="1">
        <f t="shared" si="1845"/>
        <v>0.5662650602409639</v>
      </c>
      <c r="S244" s="1">
        <f t="shared" si="1846"/>
        <v>0.40963855421686746</v>
      </c>
      <c r="T244" s="1">
        <f t="shared" si="1847"/>
        <v>0.3125</v>
      </c>
      <c r="U244" s="1"/>
      <c r="V244" s="1">
        <v>1</v>
      </c>
      <c r="W244" s="1">
        <f t="shared" si="1848"/>
        <v>4.9191164177093292E-3</v>
      </c>
      <c r="X244" s="1">
        <f>(S244-N244)^2</f>
        <v>1.0271172487779333E-4</v>
      </c>
      <c r="Y244" s="1">
        <f t="shared" ref="Y244:Y245" si="1849">(T244-O244)^2</f>
        <v>9.6724457332983199E-4</v>
      </c>
      <c r="Z244" s="1"/>
      <c r="AA244" s="1">
        <f>SUM(W245:Y245)/3</f>
        <v>8.3670221359686704E-3</v>
      </c>
      <c r="AB244" s="1"/>
      <c r="AC244" s="1"/>
      <c r="AD244" s="1"/>
    </row>
    <row r="245" spans="1:30" x14ac:dyDescent="0.25">
      <c r="A245" s="1">
        <v>36.303244372143403</v>
      </c>
      <c r="B245" s="1"/>
      <c r="C245" s="1"/>
      <c r="D245" s="1">
        <f t="shared" si="1838"/>
        <v>8.0000000000000004E-4</v>
      </c>
      <c r="E245" s="1"/>
      <c r="F245" s="1"/>
      <c r="G245" s="1">
        <v>1.6</v>
      </c>
      <c r="H245" s="1">
        <f t="shared" si="1839"/>
        <v>7.6558154104653124E-4</v>
      </c>
      <c r="I245" s="1">
        <f t="shared" si="1840"/>
        <v>7.2472678576126766E-4</v>
      </c>
      <c r="J245" s="1">
        <f t="shared" si="1841"/>
        <v>6.8625413862131383E-4</v>
      </c>
      <c r="K245" s="1"/>
      <c r="L245" s="1">
        <v>1.6</v>
      </c>
      <c r="M245" s="1">
        <f t="shared" si="1842"/>
        <v>0.956976926308164</v>
      </c>
      <c r="N245" s="1">
        <f t="shared" si="1843"/>
        <v>0.90590848220158449</v>
      </c>
      <c r="O245" s="1">
        <f t="shared" si="1844"/>
        <v>0.85781767327664227</v>
      </c>
      <c r="P245" s="1"/>
      <c r="Q245" s="1">
        <v>1.6</v>
      </c>
      <c r="R245" s="1">
        <f t="shared" si="1845"/>
        <v>0.80838323353293418</v>
      </c>
      <c r="S245" s="1">
        <f t="shared" si="1846"/>
        <v>0.90410958904109584</v>
      </c>
      <c r="T245" s="1">
        <f t="shared" si="1847"/>
        <v>0.91275167785234901</v>
      </c>
      <c r="U245" s="1"/>
      <c r="V245" s="1">
        <v>1.6</v>
      </c>
      <c r="W245" s="1">
        <f t="shared" si="1848"/>
        <v>2.208008553257939E-2</v>
      </c>
      <c r="X245" s="1">
        <f t="shared" ref="X245" si="1850">(S245-N245)^2</f>
        <v>3.2360166028528295E-6</v>
      </c>
      <c r="Y245" s="1">
        <f t="shared" si="1849"/>
        <v>3.0177448587237693E-3</v>
      </c>
      <c r="Z245" s="1"/>
      <c r="AA245" s="1"/>
      <c r="AB245" s="1"/>
      <c r="AC245" s="1"/>
      <c r="AD245" s="1"/>
    </row>
    <row r="246" spans="1:30" x14ac:dyDescent="0.25">
      <c r="A246" s="1">
        <v>241.11297626659419</v>
      </c>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row>
    <row r="251" spans="1:30" x14ac:dyDescent="0.25">
      <c r="W251" t="s">
        <v>99</v>
      </c>
    </row>
    <row r="252" spans="1:30" x14ac:dyDescent="0.25">
      <c r="W252" t="s">
        <v>82</v>
      </c>
      <c r="X252" t="s">
        <v>222</v>
      </c>
      <c r="Y252" t="s">
        <v>223</v>
      </c>
      <c r="AA252" t="s">
        <v>224</v>
      </c>
    </row>
    <row r="253" spans="1:30" x14ac:dyDescent="0.25">
      <c r="A253" t="s">
        <v>214</v>
      </c>
      <c r="B253" t="s">
        <v>215</v>
      </c>
      <c r="C253" t="s">
        <v>217</v>
      </c>
      <c r="D253" t="s">
        <v>76</v>
      </c>
      <c r="G253" t="s">
        <v>218</v>
      </c>
      <c r="I253" t="s">
        <v>98</v>
      </c>
      <c r="J253" t="s">
        <v>219</v>
      </c>
      <c r="P253" t="s">
        <v>220</v>
      </c>
      <c r="R253" t="s">
        <v>225</v>
      </c>
      <c r="W253">
        <f>B261</f>
        <v>29.666934458607511</v>
      </c>
      <c r="X253">
        <f>B258</f>
        <v>36.303244372143403</v>
      </c>
      <c r="Y253">
        <f>B256</f>
        <v>34.293439526704475</v>
      </c>
      <c r="AA253">
        <f>AVERAGE(W253:W256)</f>
        <v>35.525310438207555</v>
      </c>
      <c r="AB253" s="8">
        <f>AVERAGE(X253:X256)</f>
        <v>34.854225453289985</v>
      </c>
      <c r="AC253" s="8">
        <f>AVERAGE(Y253:Y256)</f>
        <v>91.824883921146579</v>
      </c>
    </row>
    <row r="254" spans="1:30" x14ac:dyDescent="0.25">
      <c r="A254">
        <v>6</v>
      </c>
      <c r="B254">
        <f>A233</f>
        <v>21.557370872263995</v>
      </c>
      <c r="C254">
        <f>_xlfn.STDEV.S(B254:B263)</f>
        <v>11.087865625844662</v>
      </c>
      <c r="D254">
        <f>AVERAGE(B254:B263)</f>
        <v>33.736895396495861</v>
      </c>
      <c r="G254" t="s">
        <v>183</v>
      </c>
      <c r="I254">
        <v>0.3</v>
      </c>
      <c r="J254">
        <f>A233</f>
        <v>21.557370872263995</v>
      </c>
      <c r="K254">
        <f>A243</f>
        <v>12.484796717711864</v>
      </c>
      <c r="L254">
        <f>A176</f>
        <v>33.594579420197043</v>
      </c>
      <c r="N254">
        <f>AVERAGE(J254,L254)</f>
        <v>27.575975146230519</v>
      </c>
      <c r="P254">
        <f>AVERAGE(J254,L254,A243)</f>
        <v>22.545582336724298</v>
      </c>
      <c r="Q254" t="s">
        <v>221</v>
      </c>
      <c r="R254">
        <f>_xlfn.STDEV.S(J254,L254,A243)</f>
        <v>10.589530341823661</v>
      </c>
      <c r="W254">
        <f>B259</f>
        <v>33.594579420197043</v>
      </c>
      <c r="X254">
        <f>A243</f>
        <v>12.484796717711864</v>
      </c>
      <c r="Y254">
        <f>B254</f>
        <v>21.557370872263995</v>
      </c>
      <c r="AA254" t="s">
        <v>217</v>
      </c>
    </row>
    <row r="255" spans="1:30" x14ac:dyDescent="0.25">
      <c r="A255">
        <v>10</v>
      </c>
      <c r="B255" s="8">
        <f t="shared" ref="B255:B257" si="1851">A234</f>
        <v>43.902210874443178</v>
      </c>
      <c r="G255">
        <f>A193</f>
        <v>43.029321191689561</v>
      </c>
      <c r="I255">
        <v>0.5</v>
      </c>
      <c r="J255" s="8">
        <f t="shared" ref="J255:J257" si="1852">A234</f>
        <v>43.902210874443178</v>
      </c>
      <c r="L255" s="8">
        <f t="shared" ref="L255:L257" si="1853">A177</f>
        <v>30.866092410041016</v>
      </c>
      <c r="N255" s="8">
        <f t="shared" ref="N255:N257" si="1854">AVERAGE(J255,L255)</f>
        <v>37.384151642242095</v>
      </c>
      <c r="P255" s="8">
        <f>AVERAGE(J255,L255,A244)</f>
        <v>48.368017434502612</v>
      </c>
      <c r="R255" s="8">
        <f t="shared" ref="R255:R257" si="1855">_xlfn.STDEV.S(J255,L255,A244)</f>
        <v>20.110221763612024</v>
      </c>
      <c r="W255">
        <f>B260</f>
        <v>30.866092410041016</v>
      </c>
      <c r="X255">
        <f>B255</f>
        <v>43.902210874443178</v>
      </c>
      <c r="Y255">
        <f>B266</f>
        <v>70.335749019023666</v>
      </c>
      <c r="AA255">
        <f>_xlfn.STDEV.S(W253:W256)</f>
        <v>8.4600512205628817</v>
      </c>
      <c r="AB255" s="8">
        <f t="shared" ref="AB255:AC255" si="1856">_xlfn.STDEV.S(X253:X256)</f>
        <v>15.548971016257685</v>
      </c>
      <c r="AC255" s="8">
        <f t="shared" si="1856"/>
        <v>101.64662302829709</v>
      </c>
    </row>
    <row r="256" spans="1:30" x14ac:dyDescent="0.25">
      <c r="A256">
        <v>3</v>
      </c>
      <c r="B256" s="8">
        <f t="shared" si="1851"/>
        <v>34.293439526704475</v>
      </c>
      <c r="I256">
        <v>1</v>
      </c>
      <c r="J256" s="8">
        <f t="shared" si="1852"/>
        <v>34.293439526704475</v>
      </c>
      <c r="K256">
        <f>A245</f>
        <v>36.303244372143403</v>
      </c>
      <c r="L256" s="8">
        <f t="shared" si="1853"/>
        <v>29.666934458607511</v>
      </c>
      <c r="N256" s="8">
        <f>AVERAGE(J256,L256,K256)</f>
        <v>33.421206119151798</v>
      </c>
      <c r="P256" s="8">
        <f>AVERAGE(J256,L256,A245)</f>
        <v>33.421206119151798</v>
      </c>
      <c r="R256" s="8">
        <f t="shared" si="1855"/>
        <v>3.403049464092744</v>
      </c>
      <c r="W256">
        <f>B262</f>
        <v>47.973635463984643</v>
      </c>
      <c r="X256">
        <f>B257</f>
        <v>46.726649848861491</v>
      </c>
      <c r="Y256">
        <f>B267</f>
        <v>241.11297626659419</v>
      </c>
    </row>
    <row r="257" spans="1:254" x14ac:dyDescent="0.25">
      <c r="A257">
        <v>11</v>
      </c>
      <c r="B257" s="8">
        <f t="shared" si="1851"/>
        <v>46.726649848861491</v>
      </c>
      <c r="I257">
        <v>1.6</v>
      </c>
      <c r="J257" s="8">
        <f t="shared" si="1852"/>
        <v>46.726649848861491</v>
      </c>
      <c r="L257" s="8">
        <f t="shared" si="1853"/>
        <v>47.973635463984643</v>
      </c>
      <c r="N257" s="8">
        <f t="shared" si="1854"/>
        <v>47.350142656423067</v>
      </c>
      <c r="P257" s="8">
        <f>AVERAGE(J257,L257,A246)</f>
        <v>111.93775385981344</v>
      </c>
      <c r="R257" s="8">
        <f t="shared" si="1855"/>
        <v>111.87076162323216</v>
      </c>
    </row>
    <row r="258" spans="1:254" x14ac:dyDescent="0.25">
      <c r="A258">
        <v>4</v>
      </c>
      <c r="B258" s="8">
        <f>A245</f>
        <v>36.303244372143403</v>
      </c>
      <c r="W258">
        <v>0</v>
      </c>
      <c r="X258">
        <v>30</v>
      </c>
      <c r="Y258">
        <v>60</v>
      </c>
      <c r="AA258" t="s">
        <v>226</v>
      </c>
    </row>
    <row r="259" spans="1:254" x14ac:dyDescent="0.25">
      <c r="A259">
        <v>5</v>
      </c>
      <c r="B259">
        <f>A176</f>
        <v>33.594579420197043</v>
      </c>
      <c r="AA259">
        <f>AVERAGE(W253:W256)</f>
        <v>35.525310438207555</v>
      </c>
      <c r="AB259">
        <f>AVERAGE(X253,X255,X256,X254)</f>
        <v>34.854225453289985</v>
      </c>
      <c r="AC259">
        <f>AVERAGE(Y253,Y254)</f>
        <v>27.925405199484235</v>
      </c>
    </row>
    <row r="260" spans="1:254" x14ac:dyDescent="0.25">
      <c r="A260">
        <v>8</v>
      </c>
      <c r="B260" s="8">
        <f t="shared" ref="B260:B262" si="1857">A177</f>
        <v>30.866092410041016</v>
      </c>
      <c r="N260" t="s">
        <v>225</v>
      </c>
      <c r="CM260">
        <f>B8/0.00015</f>
        <v>0</v>
      </c>
      <c r="CN260" s="8">
        <f t="shared" ref="CN260:DB260" si="1858">C8/0.00015</f>
        <v>6.666666666666668E-2</v>
      </c>
      <c r="CO260" s="8">
        <f t="shared" si="1858"/>
        <v>0.13333333333333336</v>
      </c>
      <c r="CP260" s="8">
        <f t="shared" si="1858"/>
        <v>0.20000000000000004</v>
      </c>
      <c r="CQ260" s="8">
        <f t="shared" si="1858"/>
        <v>0.26666666666666672</v>
      </c>
      <c r="CR260" s="8">
        <f t="shared" si="1858"/>
        <v>0.33333333333333337</v>
      </c>
      <c r="CS260" s="8">
        <f t="shared" si="1858"/>
        <v>0.4</v>
      </c>
      <c r="CT260" s="8">
        <f t="shared" si="1858"/>
        <v>0.46666666666666673</v>
      </c>
      <c r="CU260" s="8">
        <f t="shared" si="1858"/>
        <v>0.53333333333333344</v>
      </c>
      <c r="CV260" s="8">
        <f t="shared" si="1858"/>
        <v>0.60000000000000009</v>
      </c>
      <c r="CW260" s="8">
        <f t="shared" si="1858"/>
        <v>0.66666666666666674</v>
      </c>
      <c r="CX260" s="8">
        <f t="shared" si="1858"/>
        <v>0.73333333333333339</v>
      </c>
      <c r="CY260" s="8">
        <f t="shared" si="1858"/>
        <v>0.8</v>
      </c>
      <c r="CZ260" s="8">
        <f t="shared" si="1858"/>
        <v>0.86666666666666681</v>
      </c>
      <c r="DA260" s="8">
        <f t="shared" si="1858"/>
        <v>0.93333333333333346</v>
      </c>
      <c r="DB260" s="8">
        <f t="shared" si="1858"/>
        <v>1.0000000000000002</v>
      </c>
      <c r="DC260" s="8"/>
      <c r="DD260" s="8"/>
      <c r="DE260" s="8"/>
      <c r="DF260" s="8"/>
      <c r="DG260" s="8"/>
      <c r="DH260" s="8"/>
      <c r="DI260" s="8"/>
      <c r="DJ260" s="8"/>
      <c r="DK260" s="8"/>
      <c r="DL260" s="8"/>
      <c r="DM260" s="8"/>
      <c r="DN260" s="8"/>
      <c r="DO260" s="8"/>
      <c r="DP260" s="8"/>
      <c r="DQ260" s="8"/>
      <c r="DR260" s="8"/>
      <c r="DS260" s="8"/>
      <c r="DT260" s="8"/>
      <c r="DU260" s="8"/>
      <c r="DV260" s="8"/>
      <c r="DW260" s="8"/>
      <c r="DX260" s="8"/>
      <c r="DY260" s="8"/>
      <c r="DZ260" s="8"/>
      <c r="EA260" s="8"/>
      <c r="EB260" s="8"/>
      <c r="EC260" s="8"/>
      <c r="ED260" s="8"/>
      <c r="EE260" s="8"/>
      <c r="EF260" s="8"/>
      <c r="EG260" s="8"/>
      <c r="EH260" s="8"/>
      <c r="EI260" s="8"/>
      <c r="EJ260" s="8"/>
      <c r="EK260" s="8"/>
      <c r="EL260" s="8"/>
      <c r="EM260" s="8"/>
      <c r="EN260" s="8"/>
      <c r="EO260" s="8"/>
      <c r="EP260" s="8"/>
      <c r="EQ260" s="8"/>
      <c r="ER260" s="8"/>
      <c r="ES260" s="8"/>
      <c r="ET260" s="8"/>
      <c r="EU260" s="8"/>
      <c r="EV260" s="8"/>
      <c r="EW260" s="8"/>
      <c r="EX260" s="8"/>
      <c r="EY260" s="8"/>
      <c r="EZ260" s="8"/>
      <c r="FA260" s="8"/>
      <c r="FB260" s="8"/>
      <c r="FC260" s="8"/>
      <c r="FD260" s="8"/>
      <c r="FE260" s="8"/>
      <c r="FF260" s="8"/>
      <c r="FG260" s="8"/>
      <c r="FH260" s="8"/>
      <c r="FI260" s="8"/>
      <c r="FJ260" s="8"/>
      <c r="FK260" s="8"/>
      <c r="FL260" s="8"/>
      <c r="FM260" s="8"/>
      <c r="FN260" s="8"/>
      <c r="FO260" s="8"/>
      <c r="FP260" s="8"/>
      <c r="FQ260" s="8"/>
      <c r="FR260" s="8"/>
      <c r="FS260" s="8"/>
      <c r="FT260" s="8"/>
    </row>
    <row r="261" spans="1:254" x14ac:dyDescent="0.25">
      <c r="A261">
        <v>2</v>
      </c>
      <c r="B261" s="8">
        <f t="shared" si="1857"/>
        <v>29.666934458607511</v>
      </c>
      <c r="N261">
        <f>_xlfn.STDEV.S(J254,L254)</f>
        <v>8.5115917908001286</v>
      </c>
      <c r="AA261" t="s">
        <v>227</v>
      </c>
      <c r="CM261">
        <f>B8/0.00025</f>
        <v>0</v>
      </c>
      <c r="CN261" s="8">
        <f t="shared" ref="CN261:DL261" si="1859">C8/0.00025</f>
        <v>0.04</v>
      </c>
      <c r="CO261" s="8">
        <f t="shared" si="1859"/>
        <v>0.08</v>
      </c>
      <c r="CP261" s="8">
        <f t="shared" si="1859"/>
        <v>0.12000000000000001</v>
      </c>
      <c r="CQ261" s="8">
        <f t="shared" si="1859"/>
        <v>0.16</v>
      </c>
      <c r="CR261" s="8">
        <f t="shared" si="1859"/>
        <v>0.2</v>
      </c>
      <c r="CS261" s="8">
        <f t="shared" si="1859"/>
        <v>0.24</v>
      </c>
      <c r="CT261" s="8">
        <f t="shared" si="1859"/>
        <v>0.28000000000000003</v>
      </c>
      <c r="CU261" s="8">
        <f t="shared" si="1859"/>
        <v>0.32</v>
      </c>
      <c r="CV261" s="8">
        <f t="shared" si="1859"/>
        <v>0.36000000000000004</v>
      </c>
      <c r="CW261" s="8">
        <f t="shared" si="1859"/>
        <v>0.4</v>
      </c>
      <c r="CX261" s="8">
        <f t="shared" si="1859"/>
        <v>0.44</v>
      </c>
      <c r="CY261" s="8">
        <f t="shared" si="1859"/>
        <v>0.48</v>
      </c>
      <c r="CZ261" s="8">
        <f t="shared" si="1859"/>
        <v>0.52</v>
      </c>
      <c r="DA261" s="8">
        <f t="shared" si="1859"/>
        <v>0.56000000000000005</v>
      </c>
      <c r="DB261" s="8">
        <f t="shared" si="1859"/>
        <v>0.60000000000000009</v>
      </c>
      <c r="DC261" s="8">
        <f t="shared" si="1859"/>
        <v>0.64</v>
      </c>
      <c r="DD261" s="8">
        <f t="shared" si="1859"/>
        <v>0.68</v>
      </c>
      <c r="DE261" s="8">
        <f t="shared" si="1859"/>
        <v>0.72000000000000008</v>
      </c>
      <c r="DF261" s="8">
        <f t="shared" si="1859"/>
        <v>0.76</v>
      </c>
      <c r="DG261" s="8">
        <f t="shared" si="1859"/>
        <v>0.8</v>
      </c>
      <c r="DH261" s="8">
        <f t="shared" si="1859"/>
        <v>0.84</v>
      </c>
      <c r="DI261" s="8">
        <f t="shared" si="1859"/>
        <v>0.88</v>
      </c>
      <c r="DJ261" s="8">
        <f t="shared" si="1859"/>
        <v>0.92</v>
      </c>
      <c r="DK261" s="8">
        <f t="shared" si="1859"/>
        <v>0.96</v>
      </c>
      <c r="DL261" s="8">
        <f t="shared" si="1859"/>
        <v>1</v>
      </c>
      <c r="DM261" s="8"/>
      <c r="DN261" s="8"/>
      <c r="DO261" s="8"/>
    </row>
    <row r="262" spans="1:254" x14ac:dyDescent="0.25">
      <c r="A262">
        <v>12</v>
      </c>
      <c r="B262" s="8">
        <f t="shared" si="1857"/>
        <v>47.973635463984643</v>
      </c>
      <c r="N262" s="8">
        <f t="shared" ref="N262" si="1860">_xlfn.STDEV.S(J255,L255)</f>
        <v>9.2179277665299466</v>
      </c>
      <c r="AA262">
        <f>_xlfn.STDEV.S(W253:W256)</f>
        <v>8.4600512205628817</v>
      </c>
      <c r="AB262">
        <f>_xlfn.STDEV.S(X253,X255,X256)</f>
        <v>5.3908739111478461</v>
      </c>
      <c r="AC262">
        <f>_xlfn.STDEV.S(Y253,Y254)</f>
        <v>9.0057605112122907</v>
      </c>
      <c r="CM262">
        <f>B8/0.0005</f>
        <v>0</v>
      </c>
      <c r="CN262" s="8">
        <f t="shared" ref="CN262:EK262" si="1861">C8/0.0005</f>
        <v>0.02</v>
      </c>
      <c r="CO262" s="8">
        <f t="shared" si="1861"/>
        <v>0.04</v>
      </c>
      <c r="CP262" s="8">
        <f t="shared" si="1861"/>
        <v>6.0000000000000005E-2</v>
      </c>
      <c r="CQ262" s="8">
        <f t="shared" si="1861"/>
        <v>0.08</v>
      </c>
      <c r="CR262" s="8">
        <f t="shared" si="1861"/>
        <v>0.1</v>
      </c>
      <c r="CS262" s="8">
        <f t="shared" si="1861"/>
        <v>0.12</v>
      </c>
      <c r="CT262" s="8">
        <f t="shared" si="1861"/>
        <v>0.14000000000000001</v>
      </c>
      <c r="CU262" s="8">
        <f t="shared" si="1861"/>
        <v>0.16</v>
      </c>
      <c r="CV262" s="8">
        <f t="shared" si="1861"/>
        <v>0.18000000000000002</v>
      </c>
      <c r="CW262" s="8">
        <f t="shared" si="1861"/>
        <v>0.2</v>
      </c>
      <c r="CX262" s="8">
        <f t="shared" si="1861"/>
        <v>0.22</v>
      </c>
      <c r="CY262" s="8">
        <f t="shared" si="1861"/>
        <v>0.24</v>
      </c>
      <c r="CZ262" s="8">
        <f t="shared" si="1861"/>
        <v>0.26</v>
      </c>
      <c r="DA262" s="8">
        <f t="shared" si="1861"/>
        <v>0.28000000000000003</v>
      </c>
      <c r="DB262" s="8">
        <f t="shared" si="1861"/>
        <v>0.30000000000000004</v>
      </c>
      <c r="DC262" s="8">
        <f t="shared" si="1861"/>
        <v>0.32</v>
      </c>
      <c r="DD262" s="8">
        <f t="shared" si="1861"/>
        <v>0.34</v>
      </c>
      <c r="DE262" s="8">
        <f t="shared" si="1861"/>
        <v>0.36000000000000004</v>
      </c>
      <c r="DF262" s="8">
        <f t="shared" si="1861"/>
        <v>0.38</v>
      </c>
      <c r="DG262" s="8">
        <f t="shared" si="1861"/>
        <v>0.4</v>
      </c>
      <c r="DH262" s="8">
        <f t="shared" si="1861"/>
        <v>0.42</v>
      </c>
      <c r="DI262" s="8">
        <f t="shared" si="1861"/>
        <v>0.44</v>
      </c>
      <c r="DJ262" s="8">
        <f t="shared" si="1861"/>
        <v>0.46</v>
      </c>
      <c r="DK262" s="8">
        <f t="shared" si="1861"/>
        <v>0.48</v>
      </c>
      <c r="DL262" s="8">
        <f t="shared" si="1861"/>
        <v>0.5</v>
      </c>
      <c r="DM262" s="8">
        <f t="shared" si="1861"/>
        <v>0.52</v>
      </c>
      <c r="DN262" s="8">
        <f t="shared" si="1861"/>
        <v>0.54000000000000015</v>
      </c>
      <c r="DO262" s="8">
        <f t="shared" si="1861"/>
        <v>0.56000000000000016</v>
      </c>
      <c r="DP262" s="8">
        <f t="shared" si="1861"/>
        <v>0.58000000000000018</v>
      </c>
      <c r="DQ262" s="8">
        <f t="shared" si="1861"/>
        <v>0.60000000000000031</v>
      </c>
      <c r="DR262" s="8">
        <f t="shared" si="1861"/>
        <v>0.62000000000000033</v>
      </c>
      <c r="DS262" s="8">
        <f t="shared" si="1861"/>
        <v>0.64000000000000035</v>
      </c>
      <c r="DT262" s="8">
        <f t="shared" si="1861"/>
        <v>0.66000000000000036</v>
      </c>
      <c r="DU262" s="8">
        <f t="shared" si="1861"/>
        <v>0.68000000000000049</v>
      </c>
      <c r="DV262" s="8">
        <f t="shared" si="1861"/>
        <v>0.70000000000000051</v>
      </c>
      <c r="DW262" s="8">
        <f t="shared" si="1861"/>
        <v>0.72000000000000053</v>
      </c>
      <c r="DX262" s="8">
        <f t="shared" si="1861"/>
        <v>0.74000000000000066</v>
      </c>
      <c r="DY262" s="8">
        <f t="shared" si="1861"/>
        <v>0.76000000000000068</v>
      </c>
      <c r="DZ262" s="8">
        <f t="shared" si="1861"/>
        <v>0.78000000000000069</v>
      </c>
      <c r="EA262" s="8">
        <f t="shared" si="1861"/>
        <v>0.80000000000000082</v>
      </c>
      <c r="EB262" s="8">
        <f t="shared" si="1861"/>
        <v>0.82000000000000084</v>
      </c>
      <c r="EC262" s="8">
        <f t="shared" si="1861"/>
        <v>0.84000000000000086</v>
      </c>
      <c r="ED262" s="8">
        <f t="shared" si="1861"/>
        <v>0.86000000000000099</v>
      </c>
      <c r="EE262" s="8">
        <f t="shared" si="1861"/>
        <v>0.880000000000001</v>
      </c>
      <c r="EF262" s="8">
        <f t="shared" si="1861"/>
        <v>0.90000000000000102</v>
      </c>
      <c r="EG262" s="8">
        <f t="shared" si="1861"/>
        <v>0.92000000000000104</v>
      </c>
      <c r="EH262" s="8">
        <f t="shared" si="1861"/>
        <v>0.94000000000000117</v>
      </c>
      <c r="EI262" s="8">
        <f t="shared" si="1861"/>
        <v>0.96000000000000119</v>
      </c>
      <c r="EJ262" s="8">
        <f t="shared" si="1861"/>
        <v>0.9800000000000012</v>
      </c>
      <c r="EK262" s="8">
        <f t="shared" si="1861"/>
        <v>1.0000000000000013</v>
      </c>
      <c r="EL262" s="8"/>
      <c r="EM262" s="8"/>
    </row>
    <row r="263" spans="1:254" x14ac:dyDescent="0.25">
      <c r="A263">
        <v>7</v>
      </c>
      <c r="B263">
        <f>A243</f>
        <v>12.484796717711864</v>
      </c>
      <c r="N263" s="8">
        <f>_xlfn.STDEV.S(J256,L256,K256)</f>
        <v>3.403049464092744</v>
      </c>
      <c r="CM263">
        <f>B8/0.0008</f>
        <v>0</v>
      </c>
      <c r="CN263" s="8">
        <f t="shared" ref="CN263:EY263" si="1862">C8/0.0008</f>
        <v>1.2500000000000001E-2</v>
      </c>
      <c r="CO263" s="8">
        <f t="shared" si="1862"/>
        <v>2.5000000000000001E-2</v>
      </c>
      <c r="CP263" s="8">
        <f t="shared" si="1862"/>
        <v>3.7500000000000006E-2</v>
      </c>
      <c r="CQ263" s="8">
        <f t="shared" si="1862"/>
        <v>0.05</v>
      </c>
      <c r="CR263" s="8">
        <f t="shared" si="1862"/>
        <v>6.25E-2</v>
      </c>
      <c r="CS263" s="8">
        <f t="shared" si="1862"/>
        <v>7.4999999999999997E-2</v>
      </c>
      <c r="CT263" s="8">
        <f t="shared" si="1862"/>
        <v>8.7500000000000008E-2</v>
      </c>
      <c r="CU263" s="8">
        <f t="shared" si="1862"/>
        <v>0.1</v>
      </c>
      <c r="CV263" s="8">
        <f t="shared" si="1862"/>
        <v>0.1125</v>
      </c>
      <c r="CW263" s="8">
        <f t="shared" si="1862"/>
        <v>0.125</v>
      </c>
      <c r="CX263" s="8">
        <f t="shared" si="1862"/>
        <v>0.13750000000000001</v>
      </c>
      <c r="CY263" s="8">
        <f t="shared" si="1862"/>
        <v>0.15</v>
      </c>
      <c r="CZ263" s="8">
        <f t="shared" si="1862"/>
        <v>0.16250000000000001</v>
      </c>
      <c r="DA263" s="8">
        <f t="shared" si="1862"/>
        <v>0.17500000000000002</v>
      </c>
      <c r="DB263" s="8">
        <f t="shared" si="1862"/>
        <v>0.1875</v>
      </c>
      <c r="DC263" s="8">
        <f t="shared" si="1862"/>
        <v>0.2</v>
      </c>
      <c r="DD263" s="8">
        <f t="shared" si="1862"/>
        <v>0.21249999999999999</v>
      </c>
      <c r="DE263" s="8">
        <f t="shared" si="1862"/>
        <v>0.22500000000000001</v>
      </c>
      <c r="DF263" s="8">
        <f t="shared" si="1862"/>
        <v>0.23749999999999999</v>
      </c>
      <c r="DG263" s="8">
        <f t="shared" si="1862"/>
        <v>0.25</v>
      </c>
      <c r="DH263" s="8">
        <f t="shared" si="1862"/>
        <v>0.26250000000000001</v>
      </c>
      <c r="DI263" s="8">
        <f t="shared" si="1862"/>
        <v>0.27500000000000002</v>
      </c>
      <c r="DJ263" s="8">
        <f t="shared" si="1862"/>
        <v>0.28749999999999998</v>
      </c>
      <c r="DK263" s="8">
        <f t="shared" si="1862"/>
        <v>0.3</v>
      </c>
      <c r="DL263" s="8">
        <f t="shared" si="1862"/>
        <v>0.3125</v>
      </c>
      <c r="DM263" s="8">
        <f t="shared" si="1862"/>
        <v>0.32500000000000001</v>
      </c>
      <c r="DN263" s="8">
        <f t="shared" si="1862"/>
        <v>0.33750000000000008</v>
      </c>
      <c r="DO263" s="8">
        <f t="shared" si="1862"/>
        <v>0.35000000000000009</v>
      </c>
      <c r="DP263" s="8">
        <f t="shared" si="1862"/>
        <v>0.3625000000000001</v>
      </c>
      <c r="DQ263" s="8">
        <f t="shared" si="1862"/>
        <v>0.37500000000000017</v>
      </c>
      <c r="DR263" s="8">
        <f t="shared" si="1862"/>
        <v>0.38750000000000018</v>
      </c>
      <c r="DS263" s="8">
        <f t="shared" si="1862"/>
        <v>0.40000000000000024</v>
      </c>
      <c r="DT263" s="8">
        <f t="shared" si="1862"/>
        <v>0.41250000000000026</v>
      </c>
      <c r="DU263" s="8">
        <f t="shared" si="1862"/>
        <v>0.42500000000000027</v>
      </c>
      <c r="DV263" s="8">
        <f t="shared" si="1862"/>
        <v>0.43750000000000033</v>
      </c>
      <c r="DW263" s="8">
        <f t="shared" si="1862"/>
        <v>0.45000000000000034</v>
      </c>
      <c r="DX263" s="8">
        <f t="shared" si="1862"/>
        <v>0.46250000000000036</v>
      </c>
      <c r="DY263" s="8">
        <f t="shared" si="1862"/>
        <v>0.47500000000000042</v>
      </c>
      <c r="DZ263" s="8">
        <f t="shared" si="1862"/>
        <v>0.48750000000000043</v>
      </c>
      <c r="EA263" s="8">
        <f t="shared" si="1862"/>
        <v>0.50000000000000044</v>
      </c>
      <c r="EB263" s="8">
        <f t="shared" si="1862"/>
        <v>0.51250000000000051</v>
      </c>
      <c r="EC263" s="8">
        <f t="shared" si="1862"/>
        <v>0.52500000000000058</v>
      </c>
      <c r="ED263" s="8">
        <f t="shared" si="1862"/>
        <v>0.53750000000000053</v>
      </c>
      <c r="EE263" s="8">
        <f t="shared" si="1862"/>
        <v>0.5500000000000006</v>
      </c>
      <c r="EF263" s="8">
        <f t="shared" si="1862"/>
        <v>0.56250000000000067</v>
      </c>
      <c r="EG263" s="8">
        <f t="shared" si="1862"/>
        <v>0.57500000000000062</v>
      </c>
      <c r="EH263" s="8">
        <f t="shared" si="1862"/>
        <v>0.58750000000000069</v>
      </c>
      <c r="EI263" s="8">
        <f t="shared" si="1862"/>
        <v>0.60000000000000075</v>
      </c>
      <c r="EJ263" s="8">
        <f t="shared" si="1862"/>
        <v>0.61250000000000071</v>
      </c>
      <c r="EK263" s="8">
        <f t="shared" si="1862"/>
        <v>0.62500000000000078</v>
      </c>
      <c r="EL263" s="8">
        <f t="shared" si="1862"/>
        <v>0.63750000000000084</v>
      </c>
      <c r="EM263" s="8">
        <f t="shared" si="1862"/>
        <v>0.65000000000000091</v>
      </c>
      <c r="EN263" s="8">
        <f t="shared" si="1862"/>
        <v>0.66250000000000087</v>
      </c>
      <c r="EO263" s="8">
        <f t="shared" si="1862"/>
        <v>0.67500000000000093</v>
      </c>
      <c r="EP263" s="8">
        <f t="shared" si="1862"/>
        <v>0.687500000000001</v>
      </c>
      <c r="EQ263" s="8">
        <f t="shared" si="1862"/>
        <v>0.70000000000000095</v>
      </c>
      <c r="ER263" s="8">
        <f t="shared" si="1862"/>
        <v>0.71250000000000102</v>
      </c>
      <c r="ES263" s="8">
        <f t="shared" si="1862"/>
        <v>0.72500000000000109</v>
      </c>
      <c r="ET263" s="8">
        <f t="shared" si="1862"/>
        <v>0.73750000000000104</v>
      </c>
      <c r="EU263" s="8">
        <f t="shared" si="1862"/>
        <v>0.75000000000000111</v>
      </c>
      <c r="EV263" s="8">
        <f t="shared" si="1862"/>
        <v>0.76250000000000118</v>
      </c>
      <c r="EW263" s="8">
        <f t="shared" si="1862"/>
        <v>0.77500000000000113</v>
      </c>
      <c r="EX263" s="8">
        <f t="shared" si="1862"/>
        <v>0.7875000000000012</v>
      </c>
      <c r="EY263" s="8">
        <f t="shared" si="1862"/>
        <v>0.80000000000000127</v>
      </c>
      <c r="EZ263" s="8">
        <f t="shared" ref="EZ263:FO263" si="1863">BO8/0.0008</f>
        <v>0.81250000000000133</v>
      </c>
      <c r="FA263" s="8">
        <f t="shared" si="1863"/>
        <v>0.82500000000000129</v>
      </c>
      <c r="FB263" s="8">
        <f t="shared" si="1863"/>
        <v>0.83750000000000135</v>
      </c>
      <c r="FC263" s="8">
        <f t="shared" si="1863"/>
        <v>0.85000000000000142</v>
      </c>
      <c r="FD263" s="8">
        <f t="shared" si="1863"/>
        <v>0.86250000000000138</v>
      </c>
      <c r="FE263" s="8">
        <f t="shared" si="1863"/>
        <v>0.87500000000000144</v>
      </c>
      <c r="FF263" s="8">
        <f t="shared" si="1863"/>
        <v>0.88750000000000151</v>
      </c>
      <c r="FG263" s="8">
        <f t="shared" si="1863"/>
        <v>0.90000000000000147</v>
      </c>
      <c r="FH263" s="8">
        <f t="shared" si="1863"/>
        <v>0.91250000000000153</v>
      </c>
      <c r="FI263" s="8">
        <f t="shared" si="1863"/>
        <v>0.9250000000000016</v>
      </c>
      <c r="FJ263" s="8">
        <f t="shared" si="1863"/>
        <v>0.93750000000000155</v>
      </c>
      <c r="FK263" s="8">
        <f t="shared" si="1863"/>
        <v>0.95000000000000162</v>
      </c>
      <c r="FL263" s="8">
        <f t="shared" si="1863"/>
        <v>0.96250000000000169</v>
      </c>
      <c r="FM263" s="8">
        <f t="shared" si="1863"/>
        <v>0.97500000000000164</v>
      </c>
      <c r="FN263" s="8">
        <f t="shared" si="1863"/>
        <v>0.98750000000000171</v>
      </c>
      <c r="FO263" s="8">
        <f t="shared" si="1863"/>
        <v>1.0000000000000018</v>
      </c>
    </row>
    <row r="264" spans="1:254" x14ac:dyDescent="0.25">
      <c r="N264" s="8">
        <f>_xlfn.STDEV.S(J257,L257)</f>
        <v>0.88175198449565839</v>
      </c>
    </row>
    <row r="265" spans="1:254" x14ac:dyDescent="0.25">
      <c r="A265" t="s">
        <v>216</v>
      </c>
    </row>
    <row r="266" spans="1:254" x14ac:dyDescent="0.25">
      <c r="A266">
        <v>9</v>
      </c>
      <c r="B266" s="8">
        <f>A244</f>
        <v>70.335749019023666</v>
      </c>
    </row>
    <row r="267" spans="1:254" x14ac:dyDescent="0.25">
      <c r="A267">
        <v>14</v>
      </c>
      <c r="B267" s="8">
        <f>A246</f>
        <v>241.11297626659419</v>
      </c>
    </row>
    <row r="268" spans="1:254" x14ac:dyDescent="0.25">
      <c r="B268" s="8"/>
      <c r="CM268">
        <f>B103/0.00015</f>
        <v>0</v>
      </c>
      <c r="CN268" s="8">
        <f t="shared" ref="CN268:DP268" si="1864">C103/0.00015</f>
        <v>3.333333333333334E-2</v>
      </c>
      <c r="CO268" s="8">
        <f t="shared" si="1864"/>
        <v>6.666666666666668E-2</v>
      </c>
      <c r="CP268" s="8">
        <f t="shared" si="1864"/>
        <v>0.10000000000000002</v>
      </c>
      <c r="CQ268" s="8">
        <f t="shared" si="1864"/>
        <v>0.13333333333333336</v>
      </c>
      <c r="CR268" s="8">
        <f t="shared" si="1864"/>
        <v>0.16666666666666669</v>
      </c>
      <c r="CS268" s="8">
        <f t="shared" si="1864"/>
        <v>0.2</v>
      </c>
      <c r="CT268" s="8">
        <f t="shared" si="1864"/>
        <v>0.23333333333333336</v>
      </c>
      <c r="CU268" s="8">
        <f t="shared" si="1864"/>
        <v>0.26666666666666672</v>
      </c>
      <c r="CV268" s="8">
        <f t="shared" si="1864"/>
        <v>0.30000000000000004</v>
      </c>
      <c r="CW268" s="8">
        <f t="shared" si="1864"/>
        <v>0.33333333333333337</v>
      </c>
      <c r="CX268" s="8">
        <f t="shared" si="1864"/>
        <v>0.3666666666666667</v>
      </c>
      <c r="CY268" s="8">
        <f t="shared" si="1864"/>
        <v>0.4</v>
      </c>
      <c r="CZ268" s="8">
        <f t="shared" si="1864"/>
        <v>0.4333333333333334</v>
      </c>
      <c r="DA268" s="8">
        <f t="shared" si="1864"/>
        <v>0.46666666666666673</v>
      </c>
      <c r="DB268" s="8">
        <f t="shared" si="1864"/>
        <v>0.50000000000000011</v>
      </c>
      <c r="DC268" s="8">
        <f t="shared" si="1864"/>
        <v>0.53333333333333344</v>
      </c>
      <c r="DD268" s="8">
        <f t="shared" si="1864"/>
        <v>0.56666666666666676</v>
      </c>
      <c r="DE268" s="8">
        <f t="shared" si="1864"/>
        <v>0.60000000000000009</v>
      </c>
      <c r="DF268" s="8">
        <f t="shared" si="1864"/>
        <v>0.63333333333333341</v>
      </c>
      <c r="DG268" s="8">
        <f t="shared" si="1864"/>
        <v>0.66666666666666674</v>
      </c>
      <c r="DH268" s="8">
        <f t="shared" si="1864"/>
        <v>0.70000000000000007</v>
      </c>
      <c r="DI268" s="8">
        <f t="shared" si="1864"/>
        <v>0.73333333333333339</v>
      </c>
      <c r="DJ268" s="8">
        <f t="shared" si="1864"/>
        <v>0.76666666666666672</v>
      </c>
      <c r="DK268" s="8">
        <f t="shared" si="1864"/>
        <v>0.8</v>
      </c>
      <c r="DL268" s="8">
        <f t="shared" si="1864"/>
        <v>0.83333333333333337</v>
      </c>
      <c r="DM268" s="8">
        <f t="shared" si="1864"/>
        <v>0.86666666666666681</v>
      </c>
      <c r="DN268" s="8">
        <f t="shared" si="1864"/>
        <v>0.90000000000000024</v>
      </c>
      <c r="DO268" s="8">
        <f t="shared" si="1864"/>
        <v>0.93333333333333368</v>
      </c>
      <c r="DP268" s="8">
        <f t="shared" si="1864"/>
        <v>0.96666666666666712</v>
      </c>
      <c r="DQ268" s="8">
        <f>AF103/0.00015</f>
        <v>1.0000000000000004</v>
      </c>
      <c r="DR268" s="8"/>
      <c r="DS268" s="8"/>
      <c r="DT268" s="8"/>
      <c r="DU268" s="8"/>
      <c r="DV268" s="8"/>
      <c r="DW268" s="8"/>
      <c r="DX268" s="8"/>
      <c r="DY268" s="8"/>
      <c r="DZ268" s="8"/>
      <c r="EA268" s="8"/>
      <c r="EB268" s="8"/>
      <c r="EC268" s="8"/>
      <c r="ED268" s="8"/>
      <c r="EE268" s="8"/>
      <c r="EF268" s="8"/>
      <c r="EG268" s="8"/>
      <c r="EH268" s="8"/>
      <c r="EI268" s="8"/>
      <c r="EJ268" s="8"/>
      <c r="EK268" s="8"/>
      <c r="EL268" s="8"/>
      <c r="EM268" s="8"/>
      <c r="EN268" s="8"/>
      <c r="EO268" s="8"/>
      <c r="EP268" s="8"/>
      <c r="EQ268" s="8"/>
      <c r="ER268" s="8"/>
      <c r="ES268" s="8"/>
      <c r="ET268" s="8"/>
    </row>
    <row r="269" spans="1:254" x14ac:dyDescent="0.25">
      <c r="CM269">
        <f>B103/0.00025</f>
        <v>0</v>
      </c>
      <c r="CN269" s="8">
        <f t="shared" ref="CN269:EK269" si="1865">C103/0.00025</f>
        <v>0.02</v>
      </c>
      <c r="CO269" s="8">
        <f t="shared" si="1865"/>
        <v>0.04</v>
      </c>
      <c r="CP269" s="8">
        <f t="shared" si="1865"/>
        <v>6.0000000000000005E-2</v>
      </c>
      <c r="CQ269" s="8">
        <f t="shared" si="1865"/>
        <v>0.08</v>
      </c>
      <c r="CR269" s="8">
        <f t="shared" si="1865"/>
        <v>0.1</v>
      </c>
      <c r="CS269" s="8">
        <f t="shared" si="1865"/>
        <v>0.12</v>
      </c>
      <c r="CT269" s="8">
        <f t="shared" si="1865"/>
        <v>0.14000000000000001</v>
      </c>
      <c r="CU269" s="8">
        <f t="shared" si="1865"/>
        <v>0.16</v>
      </c>
      <c r="CV269" s="8">
        <f t="shared" si="1865"/>
        <v>0.18000000000000002</v>
      </c>
      <c r="CW269" s="8">
        <f t="shared" si="1865"/>
        <v>0.2</v>
      </c>
      <c r="CX269" s="8">
        <f t="shared" si="1865"/>
        <v>0.22</v>
      </c>
      <c r="CY269" s="8">
        <f t="shared" si="1865"/>
        <v>0.24</v>
      </c>
      <c r="CZ269" s="8">
        <f t="shared" si="1865"/>
        <v>0.26</v>
      </c>
      <c r="DA269" s="8">
        <f t="shared" si="1865"/>
        <v>0.28000000000000003</v>
      </c>
      <c r="DB269" s="8">
        <f t="shared" si="1865"/>
        <v>0.30000000000000004</v>
      </c>
      <c r="DC269" s="8">
        <f t="shared" si="1865"/>
        <v>0.32</v>
      </c>
      <c r="DD269" s="8">
        <f t="shared" si="1865"/>
        <v>0.34</v>
      </c>
      <c r="DE269" s="8">
        <f t="shared" si="1865"/>
        <v>0.36000000000000004</v>
      </c>
      <c r="DF269" s="8">
        <f t="shared" si="1865"/>
        <v>0.38</v>
      </c>
      <c r="DG269" s="8">
        <f t="shared" si="1865"/>
        <v>0.4</v>
      </c>
      <c r="DH269" s="8">
        <f t="shared" si="1865"/>
        <v>0.42</v>
      </c>
      <c r="DI269" s="8">
        <f t="shared" si="1865"/>
        <v>0.44</v>
      </c>
      <c r="DJ269" s="8">
        <f t="shared" si="1865"/>
        <v>0.46</v>
      </c>
      <c r="DK269" s="8">
        <f t="shared" si="1865"/>
        <v>0.48</v>
      </c>
      <c r="DL269" s="8">
        <f t="shared" si="1865"/>
        <v>0.5</v>
      </c>
      <c r="DM269" s="8">
        <f t="shared" si="1865"/>
        <v>0.52</v>
      </c>
      <c r="DN269" s="8">
        <f t="shared" si="1865"/>
        <v>0.54000000000000015</v>
      </c>
      <c r="DO269" s="8">
        <f t="shared" si="1865"/>
        <v>0.56000000000000016</v>
      </c>
      <c r="DP269" s="8">
        <f t="shared" si="1865"/>
        <v>0.58000000000000018</v>
      </c>
      <c r="DQ269" s="8">
        <f t="shared" si="1865"/>
        <v>0.60000000000000031</v>
      </c>
      <c r="DR269" s="8">
        <f t="shared" si="1865"/>
        <v>0.62000000000000033</v>
      </c>
      <c r="DS269" s="8">
        <f t="shared" si="1865"/>
        <v>0.64000000000000035</v>
      </c>
      <c r="DT269" s="8">
        <f t="shared" si="1865"/>
        <v>0.66000000000000036</v>
      </c>
      <c r="DU269" s="8">
        <f t="shared" si="1865"/>
        <v>0.68000000000000049</v>
      </c>
      <c r="DV269" s="8">
        <f t="shared" si="1865"/>
        <v>0.70000000000000051</v>
      </c>
      <c r="DW269" s="8">
        <f t="shared" si="1865"/>
        <v>0.72000000000000053</v>
      </c>
      <c r="DX269" s="8">
        <f t="shared" si="1865"/>
        <v>0.74000000000000066</v>
      </c>
      <c r="DY269" s="8">
        <f t="shared" si="1865"/>
        <v>0.76000000000000068</v>
      </c>
      <c r="DZ269" s="8">
        <f t="shared" si="1865"/>
        <v>0.78000000000000069</v>
      </c>
      <c r="EA269" s="8">
        <f t="shared" si="1865"/>
        <v>0.80000000000000082</v>
      </c>
      <c r="EB269" s="8">
        <f t="shared" si="1865"/>
        <v>0.82000000000000084</v>
      </c>
      <c r="EC269" s="8">
        <f t="shared" si="1865"/>
        <v>0.84000000000000086</v>
      </c>
      <c r="ED269" s="8">
        <f t="shared" si="1865"/>
        <v>0.86000000000000099</v>
      </c>
      <c r="EE269" s="8">
        <f t="shared" si="1865"/>
        <v>0.880000000000001</v>
      </c>
      <c r="EF269" s="8">
        <f t="shared" si="1865"/>
        <v>0.90000000000000102</v>
      </c>
      <c r="EG269" s="8">
        <f t="shared" si="1865"/>
        <v>0.92000000000000104</v>
      </c>
      <c r="EH269" s="8">
        <f t="shared" si="1865"/>
        <v>0.94000000000000117</v>
      </c>
      <c r="EI269" s="8">
        <f t="shared" si="1865"/>
        <v>0.96000000000000119</v>
      </c>
      <c r="EJ269" s="8">
        <f t="shared" si="1865"/>
        <v>0.9800000000000012</v>
      </c>
      <c r="EK269" s="8">
        <f t="shared" si="1865"/>
        <v>1.0000000000000013</v>
      </c>
      <c r="EL269" s="8"/>
    </row>
    <row r="270" spans="1:254" x14ac:dyDescent="0.25">
      <c r="CM270">
        <f>B103/0.0005</f>
        <v>0</v>
      </c>
      <c r="CN270" s="8">
        <f t="shared" ref="CN270:EY270" si="1866">C103/0.0005</f>
        <v>0.01</v>
      </c>
      <c r="CO270" s="8">
        <f t="shared" si="1866"/>
        <v>0.02</v>
      </c>
      <c r="CP270" s="8">
        <f t="shared" si="1866"/>
        <v>3.0000000000000002E-2</v>
      </c>
      <c r="CQ270" s="8">
        <f t="shared" si="1866"/>
        <v>0.04</v>
      </c>
      <c r="CR270" s="8">
        <f t="shared" si="1866"/>
        <v>0.05</v>
      </c>
      <c r="CS270" s="8">
        <f t="shared" si="1866"/>
        <v>0.06</v>
      </c>
      <c r="CT270" s="8">
        <f t="shared" si="1866"/>
        <v>7.0000000000000007E-2</v>
      </c>
      <c r="CU270" s="8">
        <f t="shared" si="1866"/>
        <v>0.08</v>
      </c>
      <c r="CV270" s="8">
        <f t="shared" si="1866"/>
        <v>9.0000000000000011E-2</v>
      </c>
      <c r="CW270" s="8">
        <f t="shared" si="1866"/>
        <v>0.1</v>
      </c>
      <c r="CX270" s="8">
        <f t="shared" si="1866"/>
        <v>0.11</v>
      </c>
      <c r="CY270" s="8">
        <f t="shared" si="1866"/>
        <v>0.12</v>
      </c>
      <c r="CZ270" s="8">
        <f t="shared" si="1866"/>
        <v>0.13</v>
      </c>
      <c r="DA270" s="8">
        <f t="shared" si="1866"/>
        <v>0.14000000000000001</v>
      </c>
      <c r="DB270" s="8">
        <f t="shared" si="1866"/>
        <v>0.15000000000000002</v>
      </c>
      <c r="DC270" s="8">
        <f t="shared" si="1866"/>
        <v>0.16</v>
      </c>
      <c r="DD270" s="8">
        <f t="shared" si="1866"/>
        <v>0.17</v>
      </c>
      <c r="DE270" s="8">
        <f t="shared" si="1866"/>
        <v>0.18000000000000002</v>
      </c>
      <c r="DF270" s="8">
        <f t="shared" si="1866"/>
        <v>0.19</v>
      </c>
      <c r="DG270" s="8">
        <f t="shared" si="1866"/>
        <v>0.2</v>
      </c>
      <c r="DH270" s="8">
        <f t="shared" si="1866"/>
        <v>0.21</v>
      </c>
      <c r="DI270" s="8">
        <f t="shared" si="1866"/>
        <v>0.22</v>
      </c>
      <c r="DJ270" s="8">
        <f t="shared" si="1866"/>
        <v>0.23</v>
      </c>
      <c r="DK270" s="8">
        <f t="shared" si="1866"/>
        <v>0.24</v>
      </c>
      <c r="DL270" s="8">
        <f t="shared" si="1866"/>
        <v>0.25</v>
      </c>
      <c r="DM270" s="8">
        <f t="shared" si="1866"/>
        <v>0.26</v>
      </c>
      <c r="DN270" s="8">
        <f t="shared" si="1866"/>
        <v>0.27000000000000007</v>
      </c>
      <c r="DO270" s="8">
        <f t="shared" si="1866"/>
        <v>0.28000000000000008</v>
      </c>
      <c r="DP270" s="8">
        <f t="shared" si="1866"/>
        <v>0.29000000000000009</v>
      </c>
      <c r="DQ270" s="8">
        <f t="shared" si="1866"/>
        <v>0.30000000000000016</v>
      </c>
      <c r="DR270" s="8">
        <f t="shared" si="1866"/>
        <v>0.31000000000000016</v>
      </c>
      <c r="DS270" s="8">
        <f t="shared" si="1866"/>
        <v>0.32000000000000017</v>
      </c>
      <c r="DT270" s="8">
        <f t="shared" si="1866"/>
        <v>0.33000000000000018</v>
      </c>
      <c r="DU270" s="8">
        <f t="shared" si="1866"/>
        <v>0.34000000000000025</v>
      </c>
      <c r="DV270" s="8">
        <f t="shared" si="1866"/>
        <v>0.35000000000000026</v>
      </c>
      <c r="DW270" s="8">
        <f t="shared" si="1866"/>
        <v>0.36000000000000026</v>
      </c>
      <c r="DX270" s="8">
        <f t="shared" si="1866"/>
        <v>0.37000000000000033</v>
      </c>
      <c r="DY270" s="8">
        <f t="shared" si="1866"/>
        <v>0.38000000000000034</v>
      </c>
      <c r="DZ270" s="8">
        <f t="shared" si="1866"/>
        <v>0.39000000000000035</v>
      </c>
      <c r="EA270" s="8">
        <f t="shared" si="1866"/>
        <v>0.40000000000000041</v>
      </c>
      <c r="EB270" s="8">
        <f t="shared" si="1866"/>
        <v>0.41000000000000042</v>
      </c>
      <c r="EC270" s="8">
        <f t="shared" si="1866"/>
        <v>0.42000000000000043</v>
      </c>
      <c r="ED270" s="8">
        <f t="shared" si="1866"/>
        <v>0.43000000000000049</v>
      </c>
      <c r="EE270" s="8">
        <f t="shared" si="1866"/>
        <v>0.4400000000000005</v>
      </c>
      <c r="EF270" s="8">
        <f t="shared" si="1866"/>
        <v>0.45000000000000051</v>
      </c>
      <c r="EG270" s="8">
        <f t="shared" si="1866"/>
        <v>0.46000000000000052</v>
      </c>
      <c r="EH270" s="8">
        <f t="shared" si="1866"/>
        <v>0.47000000000000058</v>
      </c>
      <c r="EI270" s="8">
        <f t="shared" si="1866"/>
        <v>0.48000000000000059</v>
      </c>
      <c r="EJ270" s="8">
        <f t="shared" si="1866"/>
        <v>0.4900000000000006</v>
      </c>
      <c r="EK270" s="8">
        <f t="shared" si="1866"/>
        <v>0.50000000000000067</v>
      </c>
      <c r="EL270" s="8">
        <f t="shared" si="1866"/>
        <v>0.51000000000000068</v>
      </c>
      <c r="EM270" s="8">
        <f t="shared" si="1866"/>
        <v>0.52000000000000068</v>
      </c>
      <c r="EN270" s="8">
        <f t="shared" si="1866"/>
        <v>0.53000000000000069</v>
      </c>
      <c r="EO270" s="8">
        <f t="shared" si="1866"/>
        <v>0.5400000000000007</v>
      </c>
      <c r="EP270" s="8">
        <f t="shared" si="1866"/>
        <v>0.55000000000000082</v>
      </c>
      <c r="EQ270" s="8">
        <f t="shared" si="1866"/>
        <v>0.56000000000000083</v>
      </c>
      <c r="ER270" s="8">
        <f t="shared" si="1866"/>
        <v>0.57000000000000084</v>
      </c>
      <c r="ES270" s="8">
        <f t="shared" si="1866"/>
        <v>0.58000000000000085</v>
      </c>
      <c r="ET270" s="8">
        <f t="shared" si="1866"/>
        <v>0.59000000000000086</v>
      </c>
      <c r="EU270" s="8">
        <f t="shared" si="1866"/>
        <v>0.60000000000000087</v>
      </c>
      <c r="EV270" s="8">
        <f t="shared" si="1866"/>
        <v>0.61000000000000099</v>
      </c>
      <c r="EW270" s="8">
        <f t="shared" si="1866"/>
        <v>0.62000000000000099</v>
      </c>
      <c r="EX270" s="8">
        <f t="shared" si="1866"/>
        <v>0.630000000000001</v>
      </c>
      <c r="EY270" s="8">
        <f t="shared" si="1866"/>
        <v>0.64000000000000101</v>
      </c>
      <c r="EZ270" s="8">
        <f t="shared" ref="EZ270:GI270" si="1867">BO103/0.0005</f>
        <v>0.65000000000000102</v>
      </c>
      <c r="FA270" s="8">
        <f t="shared" si="1867"/>
        <v>0.66000000000000103</v>
      </c>
      <c r="FB270" s="8">
        <f t="shared" si="1867"/>
        <v>0.67000000000000104</v>
      </c>
      <c r="FC270" s="8">
        <f t="shared" si="1867"/>
        <v>0.68000000000000116</v>
      </c>
      <c r="FD270" s="8">
        <f t="shared" si="1867"/>
        <v>0.69000000000000117</v>
      </c>
      <c r="FE270" s="8">
        <f t="shared" si="1867"/>
        <v>0.70000000000000118</v>
      </c>
      <c r="FF270" s="8">
        <f t="shared" si="1867"/>
        <v>0.71000000000000119</v>
      </c>
      <c r="FG270" s="8">
        <f t="shared" si="1867"/>
        <v>0.72000000000000119</v>
      </c>
      <c r="FH270" s="8">
        <f t="shared" si="1867"/>
        <v>0.7300000000000012</v>
      </c>
      <c r="FI270" s="8">
        <f t="shared" si="1867"/>
        <v>0.74000000000000132</v>
      </c>
      <c r="FJ270" s="8">
        <f t="shared" si="1867"/>
        <v>0.75000000000000133</v>
      </c>
      <c r="FK270" s="8">
        <f t="shared" si="1867"/>
        <v>0.76000000000000134</v>
      </c>
      <c r="FL270" s="8">
        <f t="shared" si="1867"/>
        <v>0.77000000000000135</v>
      </c>
      <c r="FM270" s="8">
        <f t="shared" si="1867"/>
        <v>0.78000000000000136</v>
      </c>
      <c r="FN270" s="8">
        <f t="shared" si="1867"/>
        <v>0.79000000000000137</v>
      </c>
      <c r="FO270" s="8">
        <f t="shared" si="1867"/>
        <v>0.80000000000000138</v>
      </c>
      <c r="FP270" s="8">
        <f t="shared" si="1867"/>
        <v>0.8100000000000015</v>
      </c>
      <c r="FQ270" s="8">
        <f t="shared" si="1867"/>
        <v>0.82000000000000151</v>
      </c>
      <c r="FR270" s="8">
        <f t="shared" si="1867"/>
        <v>0.83000000000000151</v>
      </c>
      <c r="FS270" s="8">
        <f t="shared" si="1867"/>
        <v>0.84000000000000152</v>
      </c>
      <c r="FT270" s="8">
        <f t="shared" si="1867"/>
        <v>0.85000000000000153</v>
      </c>
      <c r="FU270" s="8">
        <f t="shared" si="1867"/>
        <v>0.86000000000000154</v>
      </c>
      <c r="FV270" s="8">
        <f t="shared" si="1867"/>
        <v>0.87000000000000166</v>
      </c>
      <c r="FW270" s="8">
        <f t="shared" si="1867"/>
        <v>0.88000000000000167</v>
      </c>
      <c r="FX270" s="8">
        <f t="shared" si="1867"/>
        <v>0.89000000000000168</v>
      </c>
      <c r="FY270" s="8">
        <f t="shared" si="1867"/>
        <v>0.90000000000000169</v>
      </c>
      <c r="FZ270" s="8">
        <f t="shared" si="1867"/>
        <v>0.9100000000000017</v>
      </c>
      <c r="GA270" s="8">
        <f t="shared" si="1867"/>
        <v>0.92000000000000171</v>
      </c>
      <c r="GB270" s="8">
        <f t="shared" si="1867"/>
        <v>0.93000000000000171</v>
      </c>
      <c r="GC270" s="8">
        <f t="shared" si="1867"/>
        <v>0.94000000000000183</v>
      </c>
      <c r="GD270" s="8">
        <f t="shared" si="1867"/>
        <v>0.95000000000000184</v>
      </c>
      <c r="GE270" s="8">
        <f t="shared" si="1867"/>
        <v>0.96000000000000185</v>
      </c>
      <c r="GF270" s="8">
        <f t="shared" si="1867"/>
        <v>0.97000000000000186</v>
      </c>
      <c r="GG270" s="8">
        <f t="shared" si="1867"/>
        <v>0.98000000000000187</v>
      </c>
      <c r="GH270" s="8">
        <f t="shared" si="1867"/>
        <v>0.99000000000000188</v>
      </c>
      <c r="GI270" s="8">
        <f t="shared" si="1867"/>
        <v>1.000000000000002</v>
      </c>
      <c r="GJ270" s="8"/>
      <c r="GK270" s="8"/>
      <c r="GL270" s="8"/>
      <c r="GM270" s="8"/>
      <c r="GN270" s="8"/>
      <c r="GO270" s="8"/>
      <c r="GP270" s="8"/>
    </row>
    <row r="271" spans="1:254" x14ac:dyDescent="0.25">
      <c r="CM271">
        <f>B103/0.0008</f>
        <v>0</v>
      </c>
      <c r="CN271" s="8">
        <f t="shared" ref="CN271:EY271" si="1868">C103/0.0008</f>
        <v>6.2500000000000003E-3</v>
      </c>
      <c r="CO271" s="8">
        <f t="shared" si="1868"/>
        <v>1.2500000000000001E-2</v>
      </c>
      <c r="CP271" s="8">
        <f t="shared" si="1868"/>
        <v>1.8750000000000003E-2</v>
      </c>
      <c r="CQ271" s="8">
        <f t="shared" si="1868"/>
        <v>2.5000000000000001E-2</v>
      </c>
      <c r="CR271" s="8">
        <f t="shared" si="1868"/>
        <v>3.125E-2</v>
      </c>
      <c r="CS271" s="8">
        <f t="shared" si="1868"/>
        <v>3.7499999999999999E-2</v>
      </c>
      <c r="CT271" s="8">
        <f t="shared" si="1868"/>
        <v>4.3750000000000004E-2</v>
      </c>
      <c r="CU271" s="8">
        <f t="shared" si="1868"/>
        <v>0.05</v>
      </c>
      <c r="CV271" s="8">
        <f t="shared" si="1868"/>
        <v>5.6250000000000001E-2</v>
      </c>
      <c r="CW271" s="8">
        <f t="shared" si="1868"/>
        <v>6.25E-2</v>
      </c>
      <c r="CX271" s="8">
        <f t="shared" si="1868"/>
        <v>6.8750000000000006E-2</v>
      </c>
      <c r="CY271" s="8">
        <f t="shared" si="1868"/>
        <v>7.4999999999999997E-2</v>
      </c>
      <c r="CZ271" s="8">
        <f t="shared" si="1868"/>
        <v>8.1250000000000003E-2</v>
      </c>
      <c r="DA271" s="8">
        <f t="shared" si="1868"/>
        <v>8.7500000000000008E-2</v>
      </c>
      <c r="DB271" s="8">
        <f t="shared" si="1868"/>
        <v>9.375E-2</v>
      </c>
      <c r="DC271" s="8">
        <f t="shared" si="1868"/>
        <v>0.1</v>
      </c>
      <c r="DD271" s="8">
        <f t="shared" si="1868"/>
        <v>0.10625</v>
      </c>
      <c r="DE271" s="8">
        <f t="shared" si="1868"/>
        <v>0.1125</v>
      </c>
      <c r="DF271" s="8">
        <f t="shared" si="1868"/>
        <v>0.11874999999999999</v>
      </c>
      <c r="DG271" s="8">
        <f t="shared" si="1868"/>
        <v>0.125</v>
      </c>
      <c r="DH271" s="8">
        <f t="shared" si="1868"/>
        <v>0.13125000000000001</v>
      </c>
      <c r="DI271" s="8">
        <f t="shared" si="1868"/>
        <v>0.13750000000000001</v>
      </c>
      <c r="DJ271" s="8">
        <f t="shared" si="1868"/>
        <v>0.14374999999999999</v>
      </c>
      <c r="DK271" s="8">
        <f t="shared" si="1868"/>
        <v>0.15</v>
      </c>
      <c r="DL271" s="8">
        <f t="shared" si="1868"/>
        <v>0.15625</v>
      </c>
      <c r="DM271" s="8">
        <f t="shared" si="1868"/>
        <v>0.16250000000000001</v>
      </c>
      <c r="DN271" s="8">
        <f t="shared" si="1868"/>
        <v>0.16875000000000004</v>
      </c>
      <c r="DO271" s="8">
        <f t="shared" si="1868"/>
        <v>0.17500000000000004</v>
      </c>
      <c r="DP271" s="8">
        <f t="shared" si="1868"/>
        <v>0.18125000000000005</v>
      </c>
      <c r="DQ271" s="8">
        <f t="shared" si="1868"/>
        <v>0.18750000000000008</v>
      </c>
      <c r="DR271" s="8">
        <f t="shared" si="1868"/>
        <v>0.19375000000000009</v>
      </c>
      <c r="DS271" s="8">
        <f t="shared" si="1868"/>
        <v>0.20000000000000012</v>
      </c>
      <c r="DT271" s="8">
        <f t="shared" si="1868"/>
        <v>0.20625000000000013</v>
      </c>
      <c r="DU271" s="8">
        <f t="shared" si="1868"/>
        <v>0.21250000000000013</v>
      </c>
      <c r="DV271" s="8">
        <f t="shared" si="1868"/>
        <v>0.21875000000000017</v>
      </c>
      <c r="DW271" s="8">
        <f t="shared" si="1868"/>
        <v>0.22500000000000017</v>
      </c>
      <c r="DX271" s="8">
        <f t="shared" si="1868"/>
        <v>0.23125000000000018</v>
      </c>
      <c r="DY271" s="8">
        <f t="shared" si="1868"/>
        <v>0.23750000000000021</v>
      </c>
      <c r="DZ271" s="8">
        <f t="shared" si="1868"/>
        <v>0.24375000000000022</v>
      </c>
      <c r="EA271" s="8">
        <f t="shared" si="1868"/>
        <v>0.25000000000000022</v>
      </c>
      <c r="EB271" s="8">
        <f t="shared" si="1868"/>
        <v>0.25625000000000026</v>
      </c>
      <c r="EC271" s="8">
        <f t="shared" si="1868"/>
        <v>0.26250000000000029</v>
      </c>
      <c r="ED271" s="8">
        <f t="shared" si="1868"/>
        <v>0.26875000000000027</v>
      </c>
      <c r="EE271" s="8">
        <f t="shared" si="1868"/>
        <v>0.2750000000000003</v>
      </c>
      <c r="EF271" s="8">
        <f t="shared" si="1868"/>
        <v>0.28125000000000033</v>
      </c>
      <c r="EG271" s="8">
        <f t="shared" si="1868"/>
        <v>0.28750000000000031</v>
      </c>
      <c r="EH271" s="8">
        <f t="shared" si="1868"/>
        <v>0.29375000000000034</v>
      </c>
      <c r="EI271" s="8">
        <f t="shared" si="1868"/>
        <v>0.30000000000000038</v>
      </c>
      <c r="EJ271" s="8">
        <f t="shared" si="1868"/>
        <v>0.30625000000000036</v>
      </c>
      <c r="EK271" s="8">
        <f t="shared" si="1868"/>
        <v>0.31250000000000039</v>
      </c>
      <c r="EL271" s="8">
        <f t="shared" si="1868"/>
        <v>0.31875000000000042</v>
      </c>
      <c r="EM271" s="8">
        <f t="shared" si="1868"/>
        <v>0.32500000000000046</v>
      </c>
      <c r="EN271" s="8">
        <f t="shared" si="1868"/>
        <v>0.33125000000000043</v>
      </c>
      <c r="EO271" s="8">
        <f t="shared" si="1868"/>
        <v>0.33750000000000047</v>
      </c>
      <c r="EP271" s="8">
        <f t="shared" si="1868"/>
        <v>0.3437500000000005</v>
      </c>
      <c r="EQ271" s="8">
        <f t="shared" si="1868"/>
        <v>0.35000000000000048</v>
      </c>
      <c r="ER271" s="8">
        <f t="shared" si="1868"/>
        <v>0.35625000000000051</v>
      </c>
      <c r="ES271" s="8">
        <f t="shared" si="1868"/>
        <v>0.36250000000000054</v>
      </c>
      <c r="ET271" s="8">
        <f t="shared" si="1868"/>
        <v>0.36875000000000052</v>
      </c>
      <c r="EU271" s="8">
        <f t="shared" si="1868"/>
        <v>0.37500000000000056</v>
      </c>
      <c r="EV271" s="8">
        <f t="shared" si="1868"/>
        <v>0.38125000000000059</v>
      </c>
      <c r="EW271" s="8">
        <f t="shared" si="1868"/>
        <v>0.38750000000000057</v>
      </c>
      <c r="EX271" s="8">
        <f t="shared" si="1868"/>
        <v>0.3937500000000006</v>
      </c>
      <c r="EY271" s="8">
        <f t="shared" si="1868"/>
        <v>0.40000000000000063</v>
      </c>
      <c r="EZ271" s="8">
        <f t="shared" ref="EZ271:HK271" si="1869">BO103/0.0008</f>
        <v>0.40625000000000067</v>
      </c>
      <c r="FA271" s="8">
        <f t="shared" si="1869"/>
        <v>0.41250000000000064</v>
      </c>
      <c r="FB271" s="8">
        <f t="shared" si="1869"/>
        <v>0.41875000000000068</v>
      </c>
      <c r="FC271" s="8">
        <f t="shared" si="1869"/>
        <v>0.42500000000000071</v>
      </c>
      <c r="FD271" s="8">
        <f t="shared" si="1869"/>
        <v>0.43125000000000069</v>
      </c>
      <c r="FE271" s="8">
        <f t="shared" si="1869"/>
        <v>0.43750000000000072</v>
      </c>
      <c r="FF271" s="8">
        <f t="shared" si="1869"/>
        <v>0.44375000000000075</v>
      </c>
      <c r="FG271" s="8">
        <f t="shared" si="1869"/>
        <v>0.45000000000000073</v>
      </c>
      <c r="FH271" s="8">
        <f t="shared" si="1869"/>
        <v>0.45625000000000077</v>
      </c>
      <c r="FI271" s="8">
        <f t="shared" si="1869"/>
        <v>0.4625000000000008</v>
      </c>
      <c r="FJ271" s="8">
        <f t="shared" si="1869"/>
        <v>0.46875000000000078</v>
      </c>
      <c r="FK271" s="8">
        <f t="shared" si="1869"/>
        <v>0.47500000000000081</v>
      </c>
      <c r="FL271" s="8">
        <f t="shared" si="1869"/>
        <v>0.48125000000000084</v>
      </c>
      <c r="FM271" s="8">
        <f t="shared" si="1869"/>
        <v>0.48750000000000082</v>
      </c>
      <c r="FN271" s="8">
        <f t="shared" si="1869"/>
        <v>0.49375000000000085</v>
      </c>
      <c r="FO271" s="8">
        <f t="shared" si="1869"/>
        <v>0.50000000000000089</v>
      </c>
      <c r="FP271" s="8">
        <f t="shared" si="1869"/>
        <v>0.50625000000000087</v>
      </c>
      <c r="FQ271" s="8">
        <f t="shared" si="1869"/>
        <v>0.51250000000000095</v>
      </c>
      <c r="FR271" s="8">
        <f t="shared" si="1869"/>
        <v>0.51875000000000093</v>
      </c>
      <c r="FS271" s="8">
        <f t="shared" si="1869"/>
        <v>0.52500000000000091</v>
      </c>
      <c r="FT271" s="8">
        <f t="shared" si="1869"/>
        <v>0.531250000000001</v>
      </c>
      <c r="FU271" s="8">
        <f t="shared" si="1869"/>
        <v>0.53750000000000098</v>
      </c>
      <c r="FV271" s="8">
        <f t="shared" si="1869"/>
        <v>0.54375000000000095</v>
      </c>
      <c r="FW271" s="8">
        <f t="shared" si="1869"/>
        <v>0.55000000000000104</v>
      </c>
      <c r="FX271" s="8">
        <f t="shared" si="1869"/>
        <v>0.55625000000000102</v>
      </c>
      <c r="FY271" s="8">
        <f t="shared" si="1869"/>
        <v>0.562500000000001</v>
      </c>
      <c r="FZ271" s="8">
        <f t="shared" si="1869"/>
        <v>0.56875000000000109</v>
      </c>
      <c r="GA271" s="8">
        <f t="shared" si="1869"/>
        <v>0.57500000000000107</v>
      </c>
      <c r="GB271" s="8">
        <f t="shared" si="1869"/>
        <v>0.58125000000000104</v>
      </c>
      <c r="GC271" s="8">
        <f t="shared" si="1869"/>
        <v>0.58750000000000113</v>
      </c>
      <c r="GD271" s="8">
        <f t="shared" si="1869"/>
        <v>0.59375000000000111</v>
      </c>
      <c r="GE271" s="8">
        <f t="shared" si="1869"/>
        <v>0.60000000000000109</v>
      </c>
      <c r="GF271" s="8">
        <f t="shared" si="1869"/>
        <v>0.60625000000000118</v>
      </c>
      <c r="GG271" s="8">
        <f t="shared" si="1869"/>
        <v>0.61250000000000115</v>
      </c>
      <c r="GH271" s="8">
        <f t="shared" si="1869"/>
        <v>0.61875000000000113</v>
      </c>
      <c r="GI271" s="8">
        <f t="shared" si="1869"/>
        <v>0.62500000000000122</v>
      </c>
      <c r="GJ271" s="8">
        <f t="shared" si="1869"/>
        <v>0.6312500000000012</v>
      </c>
      <c r="GK271" s="8">
        <f t="shared" si="1869"/>
        <v>0.63750000000000129</v>
      </c>
      <c r="GL271" s="8">
        <f t="shared" si="1869"/>
        <v>0.64375000000000127</v>
      </c>
      <c r="GM271" s="8">
        <f t="shared" si="1869"/>
        <v>0.65000000000000124</v>
      </c>
      <c r="GN271" s="8">
        <f t="shared" si="1869"/>
        <v>0.65625000000000133</v>
      </c>
      <c r="GO271" s="8">
        <f t="shared" si="1869"/>
        <v>0.66250000000000131</v>
      </c>
      <c r="GP271" s="8">
        <f t="shared" si="1869"/>
        <v>0.66875000000000129</v>
      </c>
      <c r="GQ271" s="8">
        <f t="shared" si="1869"/>
        <v>0.67500000000000138</v>
      </c>
      <c r="GR271" s="8">
        <f t="shared" si="1869"/>
        <v>0.68125000000000135</v>
      </c>
      <c r="GS271" s="8">
        <f t="shared" si="1869"/>
        <v>0.68750000000000133</v>
      </c>
      <c r="GT271" s="8">
        <f t="shared" si="1869"/>
        <v>0.69375000000000142</v>
      </c>
      <c r="GU271" s="8">
        <f t="shared" si="1869"/>
        <v>0.7000000000000014</v>
      </c>
      <c r="GV271" s="8">
        <f t="shared" si="1869"/>
        <v>0.70625000000000138</v>
      </c>
      <c r="GW271" s="8">
        <f t="shared" si="1869"/>
        <v>0.71250000000000147</v>
      </c>
      <c r="GX271" s="8">
        <f t="shared" si="1869"/>
        <v>0.71875000000000144</v>
      </c>
      <c r="GY271" s="8">
        <f t="shared" si="1869"/>
        <v>0.72500000000000142</v>
      </c>
      <c r="GZ271" s="8">
        <f t="shared" si="1869"/>
        <v>0.73125000000000151</v>
      </c>
      <c r="HA271" s="8">
        <f t="shared" si="1869"/>
        <v>0.73750000000000149</v>
      </c>
      <c r="HB271" s="8">
        <f t="shared" si="1869"/>
        <v>0.74375000000000147</v>
      </c>
      <c r="HC271" s="8">
        <f t="shared" si="1869"/>
        <v>0.75000000000000155</v>
      </c>
      <c r="HD271" s="8">
        <f t="shared" si="1869"/>
        <v>0.75625000000000153</v>
      </c>
      <c r="HE271" s="8">
        <f t="shared" si="1869"/>
        <v>0.76250000000000151</v>
      </c>
      <c r="HF271" s="8">
        <f t="shared" si="1869"/>
        <v>0.7687500000000016</v>
      </c>
      <c r="HG271" s="8">
        <f t="shared" si="1869"/>
        <v>0.77500000000000158</v>
      </c>
      <c r="HH271" s="8">
        <f t="shared" si="1869"/>
        <v>0.78125000000000155</v>
      </c>
      <c r="HI271" s="8">
        <f t="shared" si="1869"/>
        <v>0.78750000000000164</v>
      </c>
      <c r="HJ271" s="8">
        <f t="shared" si="1869"/>
        <v>0.79375000000000162</v>
      </c>
      <c r="HK271" s="8">
        <f t="shared" si="1869"/>
        <v>0.8000000000000016</v>
      </c>
      <c r="HL271" s="8">
        <f t="shared" ref="HL271:IO271" si="1870">EA103/0.0008</f>
        <v>0.80625000000000169</v>
      </c>
      <c r="HM271" s="8">
        <f t="shared" si="1870"/>
        <v>0.81250000000000167</v>
      </c>
      <c r="HN271" s="8">
        <f t="shared" si="1870"/>
        <v>0.81875000000000175</v>
      </c>
      <c r="HO271" s="8">
        <f t="shared" si="1870"/>
        <v>0.82500000000000173</v>
      </c>
      <c r="HP271" s="8">
        <f t="shared" si="1870"/>
        <v>0.83125000000000171</v>
      </c>
      <c r="HQ271" s="8">
        <f t="shared" si="1870"/>
        <v>0.8375000000000018</v>
      </c>
      <c r="HR271" s="8">
        <f t="shared" si="1870"/>
        <v>0.84375000000000178</v>
      </c>
      <c r="HS271" s="8">
        <f t="shared" si="1870"/>
        <v>0.85000000000000175</v>
      </c>
      <c r="HT271" s="8">
        <f t="shared" si="1870"/>
        <v>0.85625000000000184</v>
      </c>
      <c r="HU271" s="8">
        <f t="shared" si="1870"/>
        <v>0.86250000000000182</v>
      </c>
      <c r="HV271" s="8">
        <f t="shared" si="1870"/>
        <v>0.8687500000000018</v>
      </c>
      <c r="HW271" s="8">
        <f t="shared" si="1870"/>
        <v>0.87500000000000189</v>
      </c>
      <c r="HX271" s="8">
        <f t="shared" si="1870"/>
        <v>0.88125000000000187</v>
      </c>
      <c r="HY271" s="8">
        <f t="shared" si="1870"/>
        <v>0.88750000000000184</v>
      </c>
      <c r="HZ271" s="8">
        <f t="shared" si="1870"/>
        <v>0.89375000000000193</v>
      </c>
      <c r="IA271" s="8">
        <f t="shared" si="1870"/>
        <v>0.90000000000000191</v>
      </c>
      <c r="IB271" s="8">
        <f t="shared" si="1870"/>
        <v>0.90625000000000189</v>
      </c>
      <c r="IC271" s="8">
        <f t="shared" si="1870"/>
        <v>0.91250000000000198</v>
      </c>
      <c r="ID271" s="8">
        <f t="shared" si="1870"/>
        <v>0.91875000000000195</v>
      </c>
      <c r="IE271" s="8">
        <f t="shared" si="1870"/>
        <v>0.92500000000000193</v>
      </c>
      <c r="IF271" s="8">
        <f t="shared" si="1870"/>
        <v>0.93125000000000202</v>
      </c>
      <c r="IG271" s="8">
        <f t="shared" si="1870"/>
        <v>0.937500000000002</v>
      </c>
      <c r="IH271" s="8">
        <f t="shared" si="1870"/>
        <v>0.94375000000000198</v>
      </c>
      <c r="II271" s="8">
        <f t="shared" si="1870"/>
        <v>0.95000000000000207</v>
      </c>
      <c r="IJ271" s="8">
        <f t="shared" si="1870"/>
        <v>0.95625000000000204</v>
      </c>
      <c r="IK271" s="8">
        <f t="shared" si="1870"/>
        <v>0.96250000000000202</v>
      </c>
      <c r="IL271" s="8">
        <f t="shared" si="1870"/>
        <v>0.96875000000000211</v>
      </c>
      <c r="IM271" s="8">
        <f t="shared" si="1870"/>
        <v>0.97500000000000209</v>
      </c>
      <c r="IN271" s="8">
        <f t="shared" si="1870"/>
        <v>0.98125000000000207</v>
      </c>
      <c r="IO271" s="8">
        <f t="shared" si="1870"/>
        <v>0.98750000000000215</v>
      </c>
      <c r="IP271" s="8">
        <v>1</v>
      </c>
      <c r="IQ271" s="8"/>
      <c r="IR271" s="8"/>
      <c r="IS271" s="8"/>
      <c r="IT271" s="8"/>
    </row>
    <row r="277" spans="70:251" x14ac:dyDescent="0.25">
      <c r="CN277">
        <f>-CM260</f>
        <v>0</v>
      </c>
      <c r="CO277" s="8">
        <f t="shared" ref="CO277:DC277" si="1871">-CN260</f>
        <v>-6.666666666666668E-2</v>
      </c>
      <c r="CP277" s="8">
        <f t="shared" si="1871"/>
        <v>-0.13333333333333336</v>
      </c>
      <c r="CQ277" s="8">
        <f t="shared" si="1871"/>
        <v>-0.20000000000000004</v>
      </c>
      <c r="CR277" s="8">
        <f t="shared" si="1871"/>
        <v>-0.26666666666666672</v>
      </c>
      <c r="CS277" s="8">
        <f t="shared" si="1871"/>
        <v>-0.33333333333333337</v>
      </c>
      <c r="CT277" s="8">
        <f t="shared" si="1871"/>
        <v>-0.4</v>
      </c>
      <c r="CU277" s="8">
        <f t="shared" si="1871"/>
        <v>-0.46666666666666673</v>
      </c>
      <c r="CV277" s="8">
        <f t="shared" si="1871"/>
        <v>-0.53333333333333344</v>
      </c>
      <c r="CW277" s="8">
        <f t="shared" si="1871"/>
        <v>-0.60000000000000009</v>
      </c>
      <c r="CX277" s="8">
        <f t="shared" si="1871"/>
        <v>-0.66666666666666674</v>
      </c>
      <c r="CY277" s="8">
        <f t="shared" si="1871"/>
        <v>-0.73333333333333339</v>
      </c>
      <c r="CZ277" s="8">
        <f t="shared" si="1871"/>
        <v>-0.8</v>
      </c>
      <c r="DA277" s="8">
        <f t="shared" si="1871"/>
        <v>-0.86666666666666681</v>
      </c>
      <c r="DB277" s="8">
        <f t="shared" si="1871"/>
        <v>-0.93333333333333346</v>
      </c>
      <c r="DC277" s="8">
        <f t="shared" si="1871"/>
        <v>-1.0000000000000002</v>
      </c>
    </row>
    <row r="278" spans="70:251" x14ac:dyDescent="0.25">
      <c r="CN278">
        <f>-CM268</f>
        <v>0</v>
      </c>
      <c r="CO278" s="8">
        <f t="shared" ref="CO278:DQ278" si="1872">-CN268</f>
        <v>-3.333333333333334E-2</v>
      </c>
      <c r="CP278" s="8">
        <f t="shared" si="1872"/>
        <v>-6.666666666666668E-2</v>
      </c>
      <c r="CQ278" s="8">
        <f t="shared" si="1872"/>
        <v>-0.10000000000000002</v>
      </c>
      <c r="CR278" s="8">
        <f t="shared" si="1872"/>
        <v>-0.13333333333333336</v>
      </c>
      <c r="CS278" s="8">
        <f t="shared" si="1872"/>
        <v>-0.16666666666666669</v>
      </c>
      <c r="CT278" s="8">
        <f t="shared" si="1872"/>
        <v>-0.2</v>
      </c>
      <c r="CU278" s="8">
        <f t="shared" si="1872"/>
        <v>-0.23333333333333336</v>
      </c>
      <c r="CV278" s="8">
        <f t="shared" si="1872"/>
        <v>-0.26666666666666672</v>
      </c>
      <c r="CW278" s="8">
        <f t="shared" si="1872"/>
        <v>-0.30000000000000004</v>
      </c>
      <c r="CX278" s="8">
        <f t="shared" si="1872"/>
        <v>-0.33333333333333337</v>
      </c>
      <c r="CY278" s="8">
        <f t="shared" si="1872"/>
        <v>-0.3666666666666667</v>
      </c>
      <c r="CZ278" s="8">
        <f t="shared" si="1872"/>
        <v>-0.4</v>
      </c>
      <c r="DA278" s="8">
        <f t="shared" si="1872"/>
        <v>-0.4333333333333334</v>
      </c>
      <c r="DB278" s="8">
        <f t="shared" si="1872"/>
        <v>-0.46666666666666673</v>
      </c>
      <c r="DC278" s="8">
        <f t="shared" si="1872"/>
        <v>-0.50000000000000011</v>
      </c>
      <c r="DD278" s="8">
        <f t="shared" si="1872"/>
        <v>-0.53333333333333344</v>
      </c>
      <c r="DE278" s="8">
        <f t="shared" si="1872"/>
        <v>-0.56666666666666676</v>
      </c>
      <c r="DF278" s="8">
        <f t="shared" si="1872"/>
        <v>-0.60000000000000009</v>
      </c>
      <c r="DG278" s="8">
        <f t="shared" si="1872"/>
        <v>-0.63333333333333341</v>
      </c>
      <c r="DH278" s="8">
        <f t="shared" si="1872"/>
        <v>-0.66666666666666674</v>
      </c>
      <c r="DI278" s="8">
        <f t="shared" si="1872"/>
        <v>-0.70000000000000007</v>
      </c>
      <c r="DJ278" s="8">
        <f t="shared" si="1872"/>
        <v>-0.73333333333333339</v>
      </c>
      <c r="DK278" s="8">
        <f t="shared" si="1872"/>
        <v>-0.76666666666666672</v>
      </c>
      <c r="DL278" s="8">
        <f t="shared" si="1872"/>
        <v>-0.8</v>
      </c>
      <c r="DM278" s="8">
        <f t="shared" si="1872"/>
        <v>-0.83333333333333337</v>
      </c>
      <c r="DN278" s="8">
        <f t="shared" si="1872"/>
        <v>-0.86666666666666681</v>
      </c>
      <c r="DO278" s="8">
        <f t="shared" si="1872"/>
        <v>-0.90000000000000024</v>
      </c>
      <c r="DP278" s="8">
        <f t="shared" si="1872"/>
        <v>-0.93333333333333368</v>
      </c>
      <c r="DQ278" s="8">
        <f t="shared" si="1872"/>
        <v>-0.96666666666666712</v>
      </c>
      <c r="DR278" s="8">
        <f>-DQ268</f>
        <v>-1.0000000000000004</v>
      </c>
    </row>
    <row r="279" spans="70:251" ht="26.25" x14ac:dyDescent="0.4">
      <c r="CF279" s="34" t="s">
        <v>325</v>
      </c>
    </row>
    <row r="280" spans="70:251" x14ac:dyDescent="0.25">
      <c r="CN280">
        <f>-CM261</f>
        <v>0</v>
      </c>
      <c r="CO280" s="8">
        <f t="shared" ref="CO280:DM280" si="1873">-CN261</f>
        <v>-0.04</v>
      </c>
      <c r="CP280" s="8">
        <f t="shared" si="1873"/>
        <v>-0.08</v>
      </c>
      <c r="CQ280" s="8">
        <f t="shared" si="1873"/>
        <v>-0.12000000000000001</v>
      </c>
      <c r="CR280" s="8">
        <f t="shared" si="1873"/>
        <v>-0.16</v>
      </c>
      <c r="CS280" s="8">
        <f t="shared" si="1873"/>
        <v>-0.2</v>
      </c>
      <c r="CT280" s="8">
        <f t="shared" si="1873"/>
        <v>-0.24</v>
      </c>
      <c r="CU280" s="8">
        <f t="shared" si="1873"/>
        <v>-0.28000000000000003</v>
      </c>
      <c r="CV280" s="8">
        <f t="shared" si="1873"/>
        <v>-0.32</v>
      </c>
      <c r="CW280" s="8">
        <f t="shared" si="1873"/>
        <v>-0.36000000000000004</v>
      </c>
      <c r="CX280" s="8">
        <f t="shared" si="1873"/>
        <v>-0.4</v>
      </c>
      <c r="CY280" s="8">
        <f t="shared" si="1873"/>
        <v>-0.44</v>
      </c>
      <c r="CZ280" s="8">
        <f t="shared" si="1873"/>
        <v>-0.48</v>
      </c>
      <c r="DA280" s="8">
        <f t="shared" si="1873"/>
        <v>-0.52</v>
      </c>
      <c r="DB280" s="8">
        <f t="shared" si="1873"/>
        <v>-0.56000000000000005</v>
      </c>
      <c r="DC280" s="8">
        <f t="shared" si="1873"/>
        <v>-0.60000000000000009</v>
      </c>
      <c r="DD280" s="8">
        <f t="shared" si="1873"/>
        <v>-0.64</v>
      </c>
      <c r="DE280" s="8">
        <f t="shared" si="1873"/>
        <v>-0.68</v>
      </c>
      <c r="DF280" s="8">
        <f t="shared" si="1873"/>
        <v>-0.72000000000000008</v>
      </c>
      <c r="DG280" s="8">
        <f t="shared" si="1873"/>
        <v>-0.76</v>
      </c>
      <c r="DH280" s="8">
        <f t="shared" si="1873"/>
        <v>-0.8</v>
      </c>
      <c r="DI280" s="8">
        <f t="shared" si="1873"/>
        <v>-0.84</v>
      </c>
      <c r="DJ280" s="8">
        <f t="shared" si="1873"/>
        <v>-0.88</v>
      </c>
      <c r="DK280" s="8">
        <f t="shared" si="1873"/>
        <v>-0.92</v>
      </c>
      <c r="DL280" s="8">
        <f t="shared" si="1873"/>
        <v>-0.96</v>
      </c>
      <c r="DM280" s="8">
        <f t="shared" si="1873"/>
        <v>-1</v>
      </c>
    </row>
    <row r="281" spans="70:251" x14ac:dyDescent="0.25">
      <c r="CN281">
        <f>-CM269</f>
        <v>0</v>
      </c>
      <c r="CO281" s="8">
        <f t="shared" ref="CO281:EL281" si="1874">-CN269</f>
        <v>-0.02</v>
      </c>
      <c r="CP281" s="8">
        <f t="shared" si="1874"/>
        <v>-0.04</v>
      </c>
      <c r="CQ281" s="8">
        <f t="shared" si="1874"/>
        <v>-6.0000000000000005E-2</v>
      </c>
      <c r="CR281" s="8">
        <f t="shared" si="1874"/>
        <v>-0.08</v>
      </c>
      <c r="CS281" s="8">
        <f t="shared" si="1874"/>
        <v>-0.1</v>
      </c>
      <c r="CT281" s="8">
        <f t="shared" si="1874"/>
        <v>-0.12</v>
      </c>
      <c r="CU281" s="8">
        <f t="shared" si="1874"/>
        <v>-0.14000000000000001</v>
      </c>
      <c r="CV281" s="8">
        <f t="shared" si="1874"/>
        <v>-0.16</v>
      </c>
      <c r="CW281" s="8">
        <f t="shared" si="1874"/>
        <v>-0.18000000000000002</v>
      </c>
      <c r="CX281" s="8">
        <f t="shared" si="1874"/>
        <v>-0.2</v>
      </c>
      <c r="CY281" s="8">
        <f t="shared" si="1874"/>
        <v>-0.22</v>
      </c>
      <c r="CZ281" s="8">
        <f t="shared" si="1874"/>
        <v>-0.24</v>
      </c>
      <c r="DA281" s="8">
        <f t="shared" si="1874"/>
        <v>-0.26</v>
      </c>
      <c r="DB281" s="8">
        <f t="shared" si="1874"/>
        <v>-0.28000000000000003</v>
      </c>
      <c r="DC281" s="8">
        <f t="shared" si="1874"/>
        <v>-0.30000000000000004</v>
      </c>
      <c r="DD281" s="8">
        <f t="shared" si="1874"/>
        <v>-0.32</v>
      </c>
      <c r="DE281" s="8">
        <f t="shared" si="1874"/>
        <v>-0.34</v>
      </c>
      <c r="DF281" s="8">
        <f t="shared" si="1874"/>
        <v>-0.36000000000000004</v>
      </c>
      <c r="DG281" s="8">
        <f t="shared" si="1874"/>
        <v>-0.38</v>
      </c>
      <c r="DH281" s="8">
        <f t="shared" si="1874"/>
        <v>-0.4</v>
      </c>
      <c r="DI281" s="8">
        <f t="shared" si="1874"/>
        <v>-0.42</v>
      </c>
      <c r="DJ281" s="8">
        <f t="shared" si="1874"/>
        <v>-0.44</v>
      </c>
      <c r="DK281" s="8">
        <f t="shared" si="1874"/>
        <v>-0.46</v>
      </c>
      <c r="DL281" s="8">
        <f t="shared" si="1874"/>
        <v>-0.48</v>
      </c>
      <c r="DM281" s="8">
        <f t="shared" si="1874"/>
        <v>-0.5</v>
      </c>
      <c r="DN281" s="8">
        <f t="shared" si="1874"/>
        <v>-0.52</v>
      </c>
      <c r="DO281" s="8">
        <f t="shared" si="1874"/>
        <v>-0.54000000000000015</v>
      </c>
      <c r="DP281" s="8">
        <f t="shared" si="1874"/>
        <v>-0.56000000000000016</v>
      </c>
      <c r="DQ281" s="8">
        <f t="shared" si="1874"/>
        <v>-0.58000000000000018</v>
      </c>
      <c r="DR281" s="8">
        <f t="shared" si="1874"/>
        <v>-0.60000000000000031</v>
      </c>
      <c r="DS281" s="8">
        <f t="shared" si="1874"/>
        <v>-0.62000000000000033</v>
      </c>
      <c r="DT281" s="8">
        <f t="shared" si="1874"/>
        <v>-0.64000000000000035</v>
      </c>
      <c r="DU281" s="8">
        <f t="shared" si="1874"/>
        <v>-0.66000000000000036</v>
      </c>
      <c r="DV281" s="8">
        <f t="shared" si="1874"/>
        <v>-0.68000000000000049</v>
      </c>
      <c r="DW281" s="8">
        <f t="shared" si="1874"/>
        <v>-0.70000000000000051</v>
      </c>
      <c r="DX281" s="8">
        <f t="shared" si="1874"/>
        <v>-0.72000000000000053</v>
      </c>
      <c r="DY281" s="8">
        <f t="shared" si="1874"/>
        <v>-0.74000000000000066</v>
      </c>
      <c r="DZ281" s="8">
        <f t="shared" si="1874"/>
        <v>-0.76000000000000068</v>
      </c>
      <c r="EA281" s="8">
        <f t="shared" si="1874"/>
        <v>-0.78000000000000069</v>
      </c>
      <c r="EB281" s="8">
        <f t="shared" si="1874"/>
        <v>-0.80000000000000082</v>
      </c>
      <c r="EC281" s="8">
        <f t="shared" si="1874"/>
        <v>-0.82000000000000084</v>
      </c>
      <c r="ED281" s="8">
        <f t="shared" si="1874"/>
        <v>-0.84000000000000086</v>
      </c>
      <c r="EE281" s="8">
        <f t="shared" si="1874"/>
        <v>-0.86000000000000099</v>
      </c>
      <c r="EF281" s="8">
        <f t="shared" si="1874"/>
        <v>-0.880000000000001</v>
      </c>
      <c r="EG281" s="8">
        <f t="shared" si="1874"/>
        <v>-0.90000000000000102</v>
      </c>
      <c r="EH281" s="8">
        <f t="shared" si="1874"/>
        <v>-0.92000000000000104</v>
      </c>
      <c r="EI281" s="8">
        <f t="shared" si="1874"/>
        <v>-0.94000000000000117</v>
      </c>
      <c r="EJ281" s="8">
        <f t="shared" si="1874"/>
        <v>-0.96000000000000119</v>
      </c>
      <c r="EK281" s="8">
        <f t="shared" si="1874"/>
        <v>-0.9800000000000012</v>
      </c>
      <c r="EL281" s="8">
        <f t="shared" si="1874"/>
        <v>-1.0000000000000013</v>
      </c>
      <c r="EM281" s="8"/>
    </row>
    <row r="283" spans="70:251" x14ac:dyDescent="0.25">
      <c r="CN283">
        <f>-CM262</f>
        <v>0</v>
      </c>
      <c r="CO283" s="8">
        <f t="shared" ref="CO283:EK283" si="1875">-CN262</f>
        <v>-0.02</v>
      </c>
      <c r="CP283" s="8">
        <f t="shared" si="1875"/>
        <v>-0.04</v>
      </c>
      <c r="CQ283" s="8">
        <f t="shared" si="1875"/>
        <v>-6.0000000000000005E-2</v>
      </c>
      <c r="CR283" s="8">
        <f t="shared" si="1875"/>
        <v>-0.08</v>
      </c>
      <c r="CS283" s="8">
        <f t="shared" si="1875"/>
        <v>-0.1</v>
      </c>
      <c r="CT283" s="8">
        <f t="shared" si="1875"/>
        <v>-0.12</v>
      </c>
      <c r="CU283" s="8">
        <f t="shared" si="1875"/>
        <v>-0.14000000000000001</v>
      </c>
      <c r="CV283" s="8">
        <f t="shared" si="1875"/>
        <v>-0.16</v>
      </c>
      <c r="CW283" s="8">
        <f t="shared" si="1875"/>
        <v>-0.18000000000000002</v>
      </c>
      <c r="CX283" s="8">
        <f t="shared" si="1875"/>
        <v>-0.2</v>
      </c>
      <c r="CY283" s="8">
        <f t="shared" si="1875"/>
        <v>-0.22</v>
      </c>
      <c r="CZ283" s="8">
        <f t="shared" si="1875"/>
        <v>-0.24</v>
      </c>
      <c r="DA283" s="8">
        <f t="shared" si="1875"/>
        <v>-0.26</v>
      </c>
      <c r="DB283" s="8">
        <f t="shared" si="1875"/>
        <v>-0.28000000000000003</v>
      </c>
      <c r="DC283" s="8">
        <f t="shared" si="1875"/>
        <v>-0.30000000000000004</v>
      </c>
      <c r="DD283" s="8">
        <f t="shared" si="1875"/>
        <v>-0.32</v>
      </c>
      <c r="DE283" s="8">
        <f t="shared" si="1875"/>
        <v>-0.34</v>
      </c>
      <c r="DF283" s="8">
        <f t="shared" si="1875"/>
        <v>-0.36000000000000004</v>
      </c>
      <c r="DG283" s="8">
        <f t="shared" si="1875"/>
        <v>-0.38</v>
      </c>
      <c r="DH283" s="8">
        <f t="shared" si="1875"/>
        <v>-0.4</v>
      </c>
      <c r="DI283" s="8">
        <f t="shared" si="1875"/>
        <v>-0.42</v>
      </c>
      <c r="DJ283" s="8">
        <f t="shared" si="1875"/>
        <v>-0.44</v>
      </c>
      <c r="DK283" s="8">
        <f t="shared" si="1875"/>
        <v>-0.46</v>
      </c>
      <c r="DL283" s="8">
        <f t="shared" si="1875"/>
        <v>-0.48</v>
      </c>
      <c r="DM283" s="8">
        <f t="shared" si="1875"/>
        <v>-0.5</v>
      </c>
      <c r="DN283" s="8">
        <f t="shared" si="1875"/>
        <v>-0.52</v>
      </c>
      <c r="DO283" s="8">
        <f t="shared" si="1875"/>
        <v>-0.54000000000000015</v>
      </c>
      <c r="DP283" s="8">
        <f t="shared" si="1875"/>
        <v>-0.56000000000000016</v>
      </c>
      <c r="DQ283" s="8">
        <f t="shared" si="1875"/>
        <v>-0.58000000000000018</v>
      </c>
      <c r="DR283" s="8">
        <f t="shared" si="1875"/>
        <v>-0.60000000000000031</v>
      </c>
      <c r="DS283" s="8">
        <f t="shared" si="1875"/>
        <v>-0.62000000000000033</v>
      </c>
      <c r="DT283" s="8">
        <f t="shared" si="1875"/>
        <v>-0.64000000000000035</v>
      </c>
      <c r="DU283" s="8">
        <f t="shared" si="1875"/>
        <v>-0.66000000000000036</v>
      </c>
      <c r="DV283" s="8">
        <f t="shared" si="1875"/>
        <v>-0.68000000000000049</v>
      </c>
      <c r="DW283" s="8">
        <f t="shared" si="1875"/>
        <v>-0.70000000000000051</v>
      </c>
      <c r="DX283" s="8">
        <f t="shared" si="1875"/>
        <v>-0.72000000000000053</v>
      </c>
      <c r="DY283" s="8">
        <f t="shared" si="1875"/>
        <v>-0.74000000000000066</v>
      </c>
      <c r="DZ283" s="8">
        <f t="shared" si="1875"/>
        <v>-0.76000000000000068</v>
      </c>
      <c r="EA283" s="8">
        <f t="shared" si="1875"/>
        <v>-0.78000000000000069</v>
      </c>
      <c r="EB283" s="8">
        <f t="shared" si="1875"/>
        <v>-0.80000000000000082</v>
      </c>
      <c r="EC283" s="8">
        <f t="shared" si="1875"/>
        <v>-0.82000000000000084</v>
      </c>
      <c r="ED283" s="8">
        <f t="shared" si="1875"/>
        <v>-0.84000000000000086</v>
      </c>
      <c r="EE283" s="8">
        <f t="shared" si="1875"/>
        <v>-0.86000000000000099</v>
      </c>
      <c r="EF283" s="8">
        <f t="shared" si="1875"/>
        <v>-0.880000000000001</v>
      </c>
      <c r="EG283" s="8">
        <f t="shared" si="1875"/>
        <v>-0.90000000000000102</v>
      </c>
      <c r="EH283" s="8">
        <f t="shared" si="1875"/>
        <v>-0.92000000000000104</v>
      </c>
      <c r="EI283" s="8">
        <f t="shared" si="1875"/>
        <v>-0.94000000000000117</v>
      </c>
      <c r="EJ283" s="8">
        <f t="shared" si="1875"/>
        <v>-0.96000000000000119</v>
      </c>
      <c r="EK283" s="8">
        <f t="shared" si="1875"/>
        <v>-0.9800000000000012</v>
      </c>
      <c r="EL283" s="8">
        <f>-EK262</f>
        <v>-1.0000000000000013</v>
      </c>
    </row>
    <row r="284" spans="70:251" x14ac:dyDescent="0.25">
      <c r="CN284">
        <f>-CM270</f>
        <v>0</v>
      </c>
      <c r="CO284" s="8">
        <f t="shared" ref="CO284:EZ284" si="1876">-CN270</f>
        <v>-0.01</v>
      </c>
      <c r="CP284" s="8">
        <f t="shared" si="1876"/>
        <v>-0.02</v>
      </c>
      <c r="CQ284" s="8">
        <f t="shared" si="1876"/>
        <v>-3.0000000000000002E-2</v>
      </c>
      <c r="CR284" s="8">
        <f t="shared" si="1876"/>
        <v>-0.04</v>
      </c>
      <c r="CS284" s="8">
        <f t="shared" si="1876"/>
        <v>-0.05</v>
      </c>
      <c r="CT284" s="8">
        <f t="shared" si="1876"/>
        <v>-0.06</v>
      </c>
      <c r="CU284" s="8">
        <f t="shared" si="1876"/>
        <v>-7.0000000000000007E-2</v>
      </c>
      <c r="CV284" s="8">
        <f t="shared" si="1876"/>
        <v>-0.08</v>
      </c>
      <c r="CW284" s="8">
        <f t="shared" si="1876"/>
        <v>-9.0000000000000011E-2</v>
      </c>
      <c r="CX284" s="8">
        <f t="shared" si="1876"/>
        <v>-0.1</v>
      </c>
      <c r="CY284" s="8">
        <f t="shared" si="1876"/>
        <v>-0.11</v>
      </c>
      <c r="CZ284" s="8">
        <f t="shared" si="1876"/>
        <v>-0.12</v>
      </c>
      <c r="DA284" s="8">
        <f t="shared" si="1876"/>
        <v>-0.13</v>
      </c>
      <c r="DB284" s="8">
        <f t="shared" si="1876"/>
        <v>-0.14000000000000001</v>
      </c>
      <c r="DC284" s="8">
        <f t="shared" si="1876"/>
        <v>-0.15000000000000002</v>
      </c>
      <c r="DD284" s="8">
        <f t="shared" si="1876"/>
        <v>-0.16</v>
      </c>
      <c r="DE284" s="8">
        <f t="shared" si="1876"/>
        <v>-0.17</v>
      </c>
      <c r="DF284" s="8">
        <f t="shared" si="1876"/>
        <v>-0.18000000000000002</v>
      </c>
      <c r="DG284" s="8">
        <f t="shared" si="1876"/>
        <v>-0.19</v>
      </c>
      <c r="DH284" s="8">
        <f t="shared" si="1876"/>
        <v>-0.2</v>
      </c>
      <c r="DI284" s="8">
        <f t="shared" si="1876"/>
        <v>-0.21</v>
      </c>
      <c r="DJ284" s="8">
        <f t="shared" si="1876"/>
        <v>-0.22</v>
      </c>
      <c r="DK284" s="8">
        <f t="shared" si="1876"/>
        <v>-0.23</v>
      </c>
      <c r="DL284" s="8">
        <f t="shared" si="1876"/>
        <v>-0.24</v>
      </c>
      <c r="DM284" s="8">
        <f t="shared" si="1876"/>
        <v>-0.25</v>
      </c>
      <c r="DN284" s="8">
        <f t="shared" si="1876"/>
        <v>-0.26</v>
      </c>
      <c r="DO284" s="8">
        <f t="shared" si="1876"/>
        <v>-0.27000000000000007</v>
      </c>
      <c r="DP284" s="8">
        <f t="shared" si="1876"/>
        <v>-0.28000000000000008</v>
      </c>
      <c r="DQ284" s="8">
        <f t="shared" si="1876"/>
        <v>-0.29000000000000009</v>
      </c>
      <c r="DR284" s="8">
        <f t="shared" si="1876"/>
        <v>-0.30000000000000016</v>
      </c>
      <c r="DS284" s="8">
        <f t="shared" si="1876"/>
        <v>-0.31000000000000016</v>
      </c>
      <c r="DT284" s="8">
        <f t="shared" si="1876"/>
        <v>-0.32000000000000017</v>
      </c>
      <c r="DU284" s="8">
        <f t="shared" si="1876"/>
        <v>-0.33000000000000018</v>
      </c>
      <c r="DV284" s="8">
        <f t="shared" si="1876"/>
        <v>-0.34000000000000025</v>
      </c>
      <c r="DW284" s="8">
        <f t="shared" si="1876"/>
        <v>-0.35000000000000026</v>
      </c>
      <c r="DX284" s="8">
        <f t="shared" si="1876"/>
        <v>-0.36000000000000026</v>
      </c>
      <c r="DY284" s="8">
        <f t="shared" si="1876"/>
        <v>-0.37000000000000033</v>
      </c>
      <c r="DZ284" s="8">
        <f t="shared" si="1876"/>
        <v>-0.38000000000000034</v>
      </c>
      <c r="EA284" s="8">
        <f t="shared" si="1876"/>
        <v>-0.39000000000000035</v>
      </c>
      <c r="EB284" s="8">
        <f t="shared" si="1876"/>
        <v>-0.40000000000000041</v>
      </c>
      <c r="EC284" s="8">
        <f t="shared" si="1876"/>
        <v>-0.41000000000000042</v>
      </c>
      <c r="ED284" s="8">
        <f t="shared" si="1876"/>
        <v>-0.42000000000000043</v>
      </c>
      <c r="EE284" s="8">
        <f t="shared" si="1876"/>
        <v>-0.43000000000000049</v>
      </c>
      <c r="EF284" s="8">
        <f t="shared" si="1876"/>
        <v>-0.4400000000000005</v>
      </c>
      <c r="EG284" s="8">
        <f t="shared" si="1876"/>
        <v>-0.45000000000000051</v>
      </c>
      <c r="EH284" s="8">
        <f t="shared" si="1876"/>
        <v>-0.46000000000000052</v>
      </c>
      <c r="EI284" s="8">
        <f t="shared" si="1876"/>
        <v>-0.47000000000000058</v>
      </c>
      <c r="EJ284" s="8">
        <f t="shared" si="1876"/>
        <v>-0.48000000000000059</v>
      </c>
      <c r="EK284" s="8">
        <f t="shared" si="1876"/>
        <v>-0.4900000000000006</v>
      </c>
      <c r="EL284" s="8">
        <f t="shared" si="1876"/>
        <v>-0.50000000000000067</v>
      </c>
      <c r="EM284" s="8">
        <f t="shared" si="1876"/>
        <v>-0.51000000000000068</v>
      </c>
      <c r="EN284" s="8">
        <f t="shared" si="1876"/>
        <v>-0.52000000000000068</v>
      </c>
      <c r="EO284" s="8">
        <f t="shared" si="1876"/>
        <v>-0.53000000000000069</v>
      </c>
      <c r="EP284" s="8">
        <f t="shared" si="1876"/>
        <v>-0.5400000000000007</v>
      </c>
      <c r="EQ284" s="8">
        <f t="shared" si="1876"/>
        <v>-0.55000000000000082</v>
      </c>
      <c r="ER284" s="8">
        <f t="shared" si="1876"/>
        <v>-0.56000000000000083</v>
      </c>
      <c r="ES284" s="8">
        <f t="shared" si="1876"/>
        <v>-0.57000000000000084</v>
      </c>
      <c r="ET284" s="8">
        <f t="shared" si="1876"/>
        <v>-0.58000000000000085</v>
      </c>
      <c r="EU284" s="8">
        <f t="shared" si="1876"/>
        <v>-0.59000000000000086</v>
      </c>
      <c r="EV284" s="8">
        <f t="shared" si="1876"/>
        <v>-0.60000000000000087</v>
      </c>
      <c r="EW284" s="8">
        <f t="shared" si="1876"/>
        <v>-0.61000000000000099</v>
      </c>
      <c r="EX284" s="8">
        <f t="shared" si="1876"/>
        <v>-0.62000000000000099</v>
      </c>
      <c r="EY284" s="8">
        <f t="shared" si="1876"/>
        <v>-0.630000000000001</v>
      </c>
      <c r="EZ284" s="8">
        <f t="shared" si="1876"/>
        <v>-0.64000000000000101</v>
      </c>
      <c r="FA284" s="8">
        <f t="shared" ref="FA284:GJ284" si="1877">-EZ270</f>
        <v>-0.65000000000000102</v>
      </c>
      <c r="FB284" s="8">
        <f t="shared" si="1877"/>
        <v>-0.66000000000000103</v>
      </c>
      <c r="FC284" s="8">
        <f t="shared" si="1877"/>
        <v>-0.67000000000000104</v>
      </c>
      <c r="FD284" s="8">
        <f t="shared" si="1877"/>
        <v>-0.68000000000000116</v>
      </c>
      <c r="FE284" s="8">
        <f t="shared" si="1877"/>
        <v>-0.69000000000000117</v>
      </c>
      <c r="FF284" s="8">
        <f t="shared" si="1877"/>
        <v>-0.70000000000000118</v>
      </c>
      <c r="FG284" s="8">
        <f t="shared" si="1877"/>
        <v>-0.71000000000000119</v>
      </c>
      <c r="FH284" s="8">
        <f t="shared" si="1877"/>
        <v>-0.72000000000000119</v>
      </c>
      <c r="FI284" s="8">
        <f t="shared" si="1877"/>
        <v>-0.7300000000000012</v>
      </c>
      <c r="FJ284" s="8">
        <f t="shared" si="1877"/>
        <v>-0.74000000000000132</v>
      </c>
      <c r="FK284" s="8">
        <f t="shared" si="1877"/>
        <v>-0.75000000000000133</v>
      </c>
      <c r="FL284" s="8">
        <f t="shared" si="1877"/>
        <v>-0.76000000000000134</v>
      </c>
      <c r="FM284" s="8">
        <f t="shared" si="1877"/>
        <v>-0.77000000000000135</v>
      </c>
      <c r="FN284" s="8">
        <f t="shared" si="1877"/>
        <v>-0.78000000000000136</v>
      </c>
      <c r="FO284" s="8">
        <f t="shared" si="1877"/>
        <v>-0.79000000000000137</v>
      </c>
      <c r="FP284" s="8">
        <f t="shared" si="1877"/>
        <v>-0.80000000000000138</v>
      </c>
      <c r="FQ284" s="8">
        <f t="shared" si="1877"/>
        <v>-0.8100000000000015</v>
      </c>
      <c r="FR284" s="8">
        <f t="shared" si="1877"/>
        <v>-0.82000000000000151</v>
      </c>
      <c r="FS284" s="8">
        <f t="shared" si="1877"/>
        <v>-0.83000000000000151</v>
      </c>
      <c r="FT284" s="8">
        <f t="shared" si="1877"/>
        <v>-0.84000000000000152</v>
      </c>
      <c r="FU284" s="8">
        <f t="shared" si="1877"/>
        <v>-0.85000000000000153</v>
      </c>
      <c r="FV284" s="8">
        <f t="shared" si="1877"/>
        <v>-0.86000000000000154</v>
      </c>
      <c r="FW284" s="8">
        <f t="shared" si="1877"/>
        <v>-0.87000000000000166</v>
      </c>
      <c r="FX284" s="8">
        <f t="shared" si="1877"/>
        <v>-0.88000000000000167</v>
      </c>
      <c r="FY284" s="8">
        <f t="shared" si="1877"/>
        <v>-0.89000000000000168</v>
      </c>
      <c r="FZ284" s="8">
        <f t="shared" si="1877"/>
        <v>-0.90000000000000169</v>
      </c>
      <c r="GA284" s="8">
        <f t="shared" si="1877"/>
        <v>-0.9100000000000017</v>
      </c>
      <c r="GB284" s="8">
        <f t="shared" si="1877"/>
        <v>-0.92000000000000171</v>
      </c>
      <c r="GC284" s="8">
        <f t="shared" si="1877"/>
        <v>-0.93000000000000171</v>
      </c>
      <c r="GD284" s="8">
        <f t="shared" si="1877"/>
        <v>-0.94000000000000183</v>
      </c>
      <c r="GE284" s="8">
        <f t="shared" si="1877"/>
        <v>-0.95000000000000184</v>
      </c>
      <c r="GF284" s="8">
        <f t="shared" si="1877"/>
        <v>-0.96000000000000185</v>
      </c>
      <c r="GG284" s="8">
        <f t="shared" si="1877"/>
        <v>-0.97000000000000186</v>
      </c>
      <c r="GH284" s="8">
        <f t="shared" si="1877"/>
        <v>-0.98000000000000187</v>
      </c>
      <c r="GI284" s="8">
        <f t="shared" si="1877"/>
        <v>-0.99000000000000188</v>
      </c>
      <c r="GJ284" s="8">
        <f t="shared" si="1877"/>
        <v>-1.000000000000002</v>
      </c>
    </row>
    <row r="286" spans="70:251" x14ac:dyDescent="0.25">
      <c r="CN286">
        <f>-CM263</f>
        <v>0</v>
      </c>
      <c r="CO286" s="8">
        <f t="shared" ref="CO286:EZ286" si="1878">-CN263</f>
        <v>-1.2500000000000001E-2</v>
      </c>
      <c r="CP286" s="8">
        <f t="shared" si="1878"/>
        <v>-2.5000000000000001E-2</v>
      </c>
      <c r="CQ286" s="8">
        <f t="shared" si="1878"/>
        <v>-3.7500000000000006E-2</v>
      </c>
      <c r="CR286" s="8">
        <f t="shared" si="1878"/>
        <v>-0.05</v>
      </c>
      <c r="CS286" s="8">
        <f t="shared" si="1878"/>
        <v>-6.25E-2</v>
      </c>
      <c r="CT286" s="8">
        <f t="shared" si="1878"/>
        <v>-7.4999999999999997E-2</v>
      </c>
      <c r="CU286" s="8">
        <f t="shared" si="1878"/>
        <v>-8.7500000000000008E-2</v>
      </c>
      <c r="CV286" s="8">
        <f t="shared" si="1878"/>
        <v>-0.1</v>
      </c>
      <c r="CW286" s="8">
        <f t="shared" si="1878"/>
        <v>-0.1125</v>
      </c>
      <c r="CX286" s="8">
        <f t="shared" si="1878"/>
        <v>-0.125</v>
      </c>
      <c r="CY286" s="8">
        <f t="shared" si="1878"/>
        <v>-0.13750000000000001</v>
      </c>
      <c r="CZ286" s="8">
        <f t="shared" si="1878"/>
        <v>-0.15</v>
      </c>
      <c r="DA286" s="8">
        <f t="shared" si="1878"/>
        <v>-0.16250000000000001</v>
      </c>
      <c r="DB286" s="8">
        <f t="shared" si="1878"/>
        <v>-0.17500000000000002</v>
      </c>
      <c r="DC286" s="8">
        <f t="shared" si="1878"/>
        <v>-0.1875</v>
      </c>
      <c r="DD286" s="8">
        <f t="shared" si="1878"/>
        <v>-0.2</v>
      </c>
      <c r="DE286" s="8">
        <f t="shared" si="1878"/>
        <v>-0.21249999999999999</v>
      </c>
      <c r="DF286" s="8">
        <f t="shared" si="1878"/>
        <v>-0.22500000000000001</v>
      </c>
      <c r="DG286" s="8">
        <f t="shared" si="1878"/>
        <v>-0.23749999999999999</v>
      </c>
      <c r="DH286" s="8">
        <f t="shared" si="1878"/>
        <v>-0.25</v>
      </c>
      <c r="DI286" s="8">
        <f t="shared" si="1878"/>
        <v>-0.26250000000000001</v>
      </c>
      <c r="DJ286" s="8">
        <f t="shared" si="1878"/>
        <v>-0.27500000000000002</v>
      </c>
      <c r="DK286" s="8">
        <f t="shared" si="1878"/>
        <v>-0.28749999999999998</v>
      </c>
      <c r="DL286" s="8">
        <f t="shared" si="1878"/>
        <v>-0.3</v>
      </c>
      <c r="DM286" s="8">
        <f t="shared" si="1878"/>
        <v>-0.3125</v>
      </c>
      <c r="DN286" s="8">
        <f t="shared" si="1878"/>
        <v>-0.32500000000000001</v>
      </c>
      <c r="DO286" s="8">
        <f t="shared" si="1878"/>
        <v>-0.33750000000000008</v>
      </c>
      <c r="DP286" s="8">
        <f t="shared" si="1878"/>
        <v>-0.35000000000000009</v>
      </c>
      <c r="DQ286" s="8">
        <f t="shared" si="1878"/>
        <v>-0.3625000000000001</v>
      </c>
      <c r="DR286" s="8">
        <f t="shared" si="1878"/>
        <v>-0.37500000000000017</v>
      </c>
      <c r="DS286" s="8">
        <f t="shared" si="1878"/>
        <v>-0.38750000000000018</v>
      </c>
      <c r="DT286" s="8">
        <f t="shared" si="1878"/>
        <v>-0.40000000000000024</v>
      </c>
      <c r="DU286" s="8">
        <f t="shared" si="1878"/>
        <v>-0.41250000000000026</v>
      </c>
      <c r="DV286" s="8">
        <f t="shared" si="1878"/>
        <v>-0.42500000000000027</v>
      </c>
      <c r="DW286" s="8">
        <f t="shared" si="1878"/>
        <v>-0.43750000000000033</v>
      </c>
      <c r="DX286" s="8">
        <f t="shared" si="1878"/>
        <v>-0.45000000000000034</v>
      </c>
      <c r="DY286" s="8">
        <f t="shared" si="1878"/>
        <v>-0.46250000000000036</v>
      </c>
      <c r="DZ286" s="8">
        <f t="shared" si="1878"/>
        <v>-0.47500000000000042</v>
      </c>
      <c r="EA286" s="8">
        <f t="shared" si="1878"/>
        <v>-0.48750000000000043</v>
      </c>
      <c r="EB286" s="8">
        <f t="shared" si="1878"/>
        <v>-0.50000000000000044</v>
      </c>
      <c r="EC286" s="8">
        <f t="shared" si="1878"/>
        <v>-0.51250000000000051</v>
      </c>
      <c r="ED286" s="8">
        <f t="shared" si="1878"/>
        <v>-0.52500000000000058</v>
      </c>
      <c r="EE286" s="8">
        <f t="shared" si="1878"/>
        <v>-0.53750000000000053</v>
      </c>
      <c r="EF286" s="8">
        <f t="shared" si="1878"/>
        <v>-0.5500000000000006</v>
      </c>
      <c r="EG286" s="8">
        <f t="shared" si="1878"/>
        <v>-0.56250000000000067</v>
      </c>
      <c r="EH286" s="8">
        <f t="shared" si="1878"/>
        <v>-0.57500000000000062</v>
      </c>
      <c r="EI286" s="8">
        <f t="shared" si="1878"/>
        <v>-0.58750000000000069</v>
      </c>
      <c r="EJ286" s="8">
        <f t="shared" si="1878"/>
        <v>-0.60000000000000075</v>
      </c>
      <c r="EK286" s="8">
        <f t="shared" si="1878"/>
        <v>-0.61250000000000071</v>
      </c>
      <c r="EL286" s="8">
        <f t="shared" si="1878"/>
        <v>-0.62500000000000078</v>
      </c>
      <c r="EM286" s="8">
        <f t="shared" si="1878"/>
        <v>-0.63750000000000084</v>
      </c>
      <c r="EN286" s="8">
        <f t="shared" si="1878"/>
        <v>-0.65000000000000091</v>
      </c>
      <c r="EO286" s="8">
        <f t="shared" si="1878"/>
        <v>-0.66250000000000087</v>
      </c>
      <c r="EP286" s="8">
        <f t="shared" si="1878"/>
        <v>-0.67500000000000093</v>
      </c>
      <c r="EQ286" s="8">
        <f t="shared" si="1878"/>
        <v>-0.687500000000001</v>
      </c>
      <c r="ER286" s="8">
        <f t="shared" si="1878"/>
        <v>-0.70000000000000095</v>
      </c>
      <c r="ES286" s="8">
        <f t="shared" si="1878"/>
        <v>-0.71250000000000102</v>
      </c>
      <c r="ET286" s="8">
        <f t="shared" si="1878"/>
        <v>-0.72500000000000109</v>
      </c>
      <c r="EU286" s="8">
        <f t="shared" si="1878"/>
        <v>-0.73750000000000104</v>
      </c>
      <c r="EV286" s="8">
        <f t="shared" si="1878"/>
        <v>-0.75000000000000111</v>
      </c>
      <c r="EW286" s="8">
        <f t="shared" si="1878"/>
        <v>-0.76250000000000118</v>
      </c>
      <c r="EX286" s="8">
        <f t="shared" si="1878"/>
        <v>-0.77500000000000113</v>
      </c>
      <c r="EY286" s="8">
        <f t="shared" si="1878"/>
        <v>-0.7875000000000012</v>
      </c>
      <c r="EZ286" s="8">
        <f t="shared" si="1878"/>
        <v>-0.80000000000000127</v>
      </c>
      <c r="FA286" s="8">
        <f t="shared" ref="FA286:FP286" si="1879">-EZ263</f>
        <v>-0.81250000000000133</v>
      </c>
      <c r="FB286" s="8">
        <f t="shared" si="1879"/>
        <v>-0.82500000000000129</v>
      </c>
      <c r="FC286" s="8">
        <f t="shared" si="1879"/>
        <v>-0.83750000000000135</v>
      </c>
      <c r="FD286" s="8">
        <f t="shared" si="1879"/>
        <v>-0.85000000000000142</v>
      </c>
      <c r="FE286" s="8">
        <f t="shared" si="1879"/>
        <v>-0.86250000000000138</v>
      </c>
      <c r="FF286" s="8">
        <f t="shared" si="1879"/>
        <v>-0.87500000000000144</v>
      </c>
      <c r="FG286" s="8">
        <f t="shared" si="1879"/>
        <v>-0.88750000000000151</v>
      </c>
      <c r="FH286" s="8">
        <f t="shared" si="1879"/>
        <v>-0.90000000000000147</v>
      </c>
      <c r="FI286" s="8">
        <f t="shared" si="1879"/>
        <v>-0.91250000000000153</v>
      </c>
      <c r="FJ286" s="8">
        <f t="shared" si="1879"/>
        <v>-0.9250000000000016</v>
      </c>
      <c r="FK286" s="8">
        <f t="shared" si="1879"/>
        <v>-0.93750000000000155</v>
      </c>
      <c r="FL286" s="8">
        <f t="shared" si="1879"/>
        <v>-0.95000000000000162</v>
      </c>
      <c r="FM286" s="8">
        <f t="shared" si="1879"/>
        <v>-0.96250000000000169</v>
      </c>
      <c r="FN286" s="8">
        <f t="shared" si="1879"/>
        <v>-0.97500000000000164</v>
      </c>
      <c r="FO286" s="8">
        <f t="shared" si="1879"/>
        <v>-0.98750000000000171</v>
      </c>
      <c r="FP286" s="8">
        <f t="shared" si="1879"/>
        <v>-1.0000000000000018</v>
      </c>
      <c r="FQ286" s="8"/>
    </row>
    <row r="287" spans="70:251" x14ac:dyDescent="0.25">
      <c r="CN287">
        <f>-CM271</f>
        <v>0</v>
      </c>
      <c r="CO287" s="8">
        <f t="shared" ref="CO287:EZ287" si="1880">-CN271</f>
        <v>-6.2500000000000003E-3</v>
      </c>
      <c r="CP287" s="8">
        <f t="shared" si="1880"/>
        <v>-1.2500000000000001E-2</v>
      </c>
      <c r="CQ287" s="8">
        <f t="shared" si="1880"/>
        <v>-1.8750000000000003E-2</v>
      </c>
      <c r="CR287" s="8">
        <f t="shared" si="1880"/>
        <v>-2.5000000000000001E-2</v>
      </c>
      <c r="CS287" s="8">
        <f t="shared" si="1880"/>
        <v>-3.125E-2</v>
      </c>
      <c r="CT287" s="8">
        <f t="shared" si="1880"/>
        <v>-3.7499999999999999E-2</v>
      </c>
      <c r="CU287" s="8">
        <f t="shared" si="1880"/>
        <v>-4.3750000000000004E-2</v>
      </c>
      <c r="CV287" s="8">
        <f t="shared" si="1880"/>
        <v>-0.05</v>
      </c>
      <c r="CW287" s="8">
        <f t="shared" si="1880"/>
        <v>-5.6250000000000001E-2</v>
      </c>
      <c r="CX287" s="8">
        <f t="shared" si="1880"/>
        <v>-6.25E-2</v>
      </c>
      <c r="CY287" s="8">
        <f t="shared" si="1880"/>
        <v>-6.8750000000000006E-2</v>
      </c>
      <c r="CZ287" s="8">
        <f t="shared" si="1880"/>
        <v>-7.4999999999999997E-2</v>
      </c>
      <c r="DA287" s="8">
        <f t="shared" si="1880"/>
        <v>-8.1250000000000003E-2</v>
      </c>
      <c r="DB287" s="8">
        <f t="shared" si="1880"/>
        <v>-8.7500000000000008E-2</v>
      </c>
      <c r="DC287" s="8">
        <f t="shared" si="1880"/>
        <v>-9.375E-2</v>
      </c>
      <c r="DD287" s="8">
        <f t="shared" si="1880"/>
        <v>-0.1</v>
      </c>
      <c r="DE287" s="8">
        <f t="shared" si="1880"/>
        <v>-0.10625</v>
      </c>
      <c r="DF287" s="8">
        <f t="shared" si="1880"/>
        <v>-0.1125</v>
      </c>
      <c r="DG287" s="8">
        <f t="shared" si="1880"/>
        <v>-0.11874999999999999</v>
      </c>
      <c r="DH287" s="8">
        <f t="shared" si="1880"/>
        <v>-0.125</v>
      </c>
      <c r="DI287" s="8">
        <f t="shared" si="1880"/>
        <v>-0.13125000000000001</v>
      </c>
      <c r="DJ287" s="8">
        <f t="shared" si="1880"/>
        <v>-0.13750000000000001</v>
      </c>
      <c r="DK287" s="8">
        <f t="shared" si="1880"/>
        <v>-0.14374999999999999</v>
      </c>
      <c r="DL287" s="8">
        <f t="shared" si="1880"/>
        <v>-0.15</v>
      </c>
      <c r="DM287" s="8">
        <f t="shared" si="1880"/>
        <v>-0.15625</v>
      </c>
      <c r="DN287" s="8">
        <f t="shared" si="1880"/>
        <v>-0.16250000000000001</v>
      </c>
      <c r="DO287" s="8">
        <f t="shared" si="1880"/>
        <v>-0.16875000000000004</v>
      </c>
      <c r="DP287" s="8">
        <f t="shared" si="1880"/>
        <v>-0.17500000000000004</v>
      </c>
      <c r="DQ287" s="8">
        <f t="shared" si="1880"/>
        <v>-0.18125000000000005</v>
      </c>
      <c r="DR287" s="8">
        <f t="shared" si="1880"/>
        <v>-0.18750000000000008</v>
      </c>
      <c r="DS287" s="8">
        <f t="shared" si="1880"/>
        <v>-0.19375000000000009</v>
      </c>
      <c r="DT287" s="8">
        <f t="shared" si="1880"/>
        <v>-0.20000000000000012</v>
      </c>
      <c r="DU287" s="8">
        <f t="shared" si="1880"/>
        <v>-0.20625000000000013</v>
      </c>
      <c r="DV287" s="8">
        <f t="shared" si="1880"/>
        <v>-0.21250000000000013</v>
      </c>
      <c r="DW287" s="8">
        <f t="shared" si="1880"/>
        <v>-0.21875000000000017</v>
      </c>
      <c r="DX287" s="8">
        <f t="shared" si="1880"/>
        <v>-0.22500000000000017</v>
      </c>
      <c r="DY287" s="8">
        <f t="shared" si="1880"/>
        <v>-0.23125000000000018</v>
      </c>
      <c r="DZ287" s="8">
        <f t="shared" si="1880"/>
        <v>-0.23750000000000021</v>
      </c>
      <c r="EA287" s="8">
        <f t="shared" si="1880"/>
        <v>-0.24375000000000022</v>
      </c>
      <c r="EB287" s="8">
        <f t="shared" si="1880"/>
        <v>-0.25000000000000022</v>
      </c>
      <c r="EC287" s="8">
        <f t="shared" si="1880"/>
        <v>-0.25625000000000026</v>
      </c>
      <c r="ED287" s="8">
        <f t="shared" si="1880"/>
        <v>-0.26250000000000029</v>
      </c>
      <c r="EE287" s="8">
        <f t="shared" si="1880"/>
        <v>-0.26875000000000027</v>
      </c>
      <c r="EF287" s="8">
        <f t="shared" si="1880"/>
        <v>-0.2750000000000003</v>
      </c>
      <c r="EG287" s="8">
        <f t="shared" si="1880"/>
        <v>-0.28125000000000033</v>
      </c>
      <c r="EH287" s="8">
        <f t="shared" si="1880"/>
        <v>-0.28750000000000031</v>
      </c>
      <c r="EI287" s="8">
        <f t="shared" si="1880"/>
        <v>-0.29375000000000034</v>
      </c>
      <c r="EJ287" s="8">
        <f t="shared" si="1880"/>
        <v>-0.30000000000000038</v>
      </c>
      <c r="EK287" s="8">
        <f t="shared" si="1880"/>
        <v>-0.30625000000000036</v>
      </c>
      <c r="EL287" s="8">
        <f t="shared" si="1880"/>
        <v>-0.31250000000000039</v>
      </c>
      <c r="EM287" s="8">
        <f t="shared" si="1880"/>
        <v>-0.31875000000000042</v>
      </c>
      <c r="EN287" s="8">
        <f t="shared" si="1880"/>
        <v>-0.32500000000000046</v>
      </c>
      <c r="EO287" s="8">
        <f t="shared" si="1880"/>
        <v>-0.33125000000000043</v>
      </c>
      <c r="EP287" s="8">
        <f t="shared" si="1880"/>
        <v>-0.33750000000000047</v>
      </c>
      <c r="EQ287" s="8">
        <f t="shared" si="1880"/>
        <v>-0.3437500000000005</v>
      </c>
      <c r="ER287" s="8">
        <f t="shared" si="1880"/>
        <v>-0.35000000000000048</v>
      </c>
      <c r="ES287" s="8">
        <f t="shared" si="1880"/>
        <v>-0.35625000000000051</v>
      </c>
      <c r="ET287" s="8">
        <f t="shared" si="1880"/>
        <v>-0.36250000000000054</v>
      </c>
      <c r="EU287" s="8">
        <f t="shared" si="1880"/>
        <v>-0.36875000000000052</v>
      </c>
      <c r="EV287" s="8">
        <f t="shared" si="1880"/>
        <v>-0.37500000000000056</v>
      </c>
      <c r="EW287" s="8">
        <f t="shared" si="1880"/>
        <v>-0.38125000000000059</v>
      </c>
      <c r="EX287" s="8">
        <f t="shared" si="1880"/>
        <v>-0.38750000000000057</v>
      </c>
      <c r="EY287" s="8">
        <f t="shared" si="1880"/>
        <v>-0.3937500000000006</v>
      </c>
      <c r="EZ287" s="8">
        <f t="shared" si="1880"/>
        <v>-0.40000000000000063</v>
      </c>
      <c r="FA287" s="8">
        <f t="shared" ref="FA287:HL287" si="1881">-EZ271</f>
        <v>-0.40625000000000067</v>
      </c>
      <c r="FB287" s="8">
        <f t="shared" si="1881"/>
        <v>-0.41250000000000064</v>
      </c>
      <c r="FC287" s="8">
        <f t="shared" si="1881"/>
        <v>-0.41875000000000068</v>
      </c>
      <c r="FD287" s="8">
        <f t="shared" si="1881"/>
        <v>-0.42500000000000071</v>
      </c>
      <c r="FE287" s="8">
        <f t="shared" si="1881"/>
        <v>-0.43125000000000069</v>
      </c>
      <c r="FF287" s="8">
        <f t="shared" si="1881"/>
        <v>-0.43750000000000072</v>
      </c>
      <c r="FG287" s="8">
        <f t="shared" si="1881"/>
        <v>-0.44375000000000075</v>
      </c>
      <c r="FH287" s="8">
        <f t="shared" si="1881"/>
        <v>-0.45000000000000073</v>
      </c>
      <c r="FI287" s="8">
        <f t="shared" si="1881"/>
        <v>-0.45625000000000077</v>
      </c>
      <c r="FJ287" s="8">
        <f t="shared" si="1881"/>
        <v>-0.4625000000000008</v>
      </c>
      <c r="FK287" s="8">
        <f t="shared" si="1881"/>
        <v>-0.46875000000000078</v>
      </c>
      <c r="FL287" s="8">
        <f t="shared" si="1881"/>
        <v>-0.47500000000000081</v>
      </c>
      <c r="FM287" s="8">
        <f t="shared" si="1881"/>
        <v>-0.48125000000000084</v>
      </c>
      <c r="FN287" s="8">
        <f t="shared" si="1881"/>
        <v>-0.48750000000000082</v>
      </c>
      <c r="FO287" s="8">
        <f t="shared" si="1881"/>
        <v>-0.49375000000000085</v>
      </c>
      <c r="FP287" s="8">
        <f t="shared" si="1881"/>
        <v>-0.50000000000000089</v>
      </c>
      <c r="FQ287" s="8">
        <f t="shared" si="1881"/>
        <v>-0.50625000000000087</v>
      </c>
      <c r="FR287" s="8">
        <f t="shared" si="1881"/>
        <v>-0.51250000000000095</v>
      </c>
      <c r="FS287" s="8">
        <f t="shared" si="1881"/>
        <v>-0.51875000000000093</v>
      </c>
      <c r="FT287" s="8">
        <f t="shared" si="1881"/>
        <v>-0.52500000000000091</v>
      </c>
      <c r="FU287" s="8">
        <f t="shared" si="1881"/>
        <v>-0.531250000000001</v>
      </c>
      <c r="FV287" s="8">
        <f t="shared" si="1881"/>
        <v>-0.53750000000000098</v>
      </c>
      <c r="FW287" s="8">
        <f t="shared" si="1881"/>
        <v>-0.54375000000000095</v>
      </c>
      <c r="FX287" s="8">
        <f t="shared" si="1881"/>
        <v>-0.55000000000000104</v>
      </c>
      <c r="FY287" s="8">
        <f t="shared" si="1881"/>
        <v>-0.55625000000000102</v>
      </c>
      <c r="FZ287" s="8">
        <f t="shared" si="1881"/>
        <v>-0.562500000000001</v>
      </c>
      <c r="GA287" s="8">
        <f t="shared" si="1881"/>
        <v>-0.56875000000000109</v>
      </c>
      <c r="GB287" s="8">
        <f t="shared" si="1881"/>
        <v>-0.57500000000000107</v>
      </c>
      <c r="GC287" s="8">
        <f t="shared" si="1881"/>
        <v>-0.58125000000000104</v>
      </c>
      <c r="GD287" s="8">
        <f t="shared" si="1881"/>
        <v>-0.58750000000000113</v>
      </c>
      <c r="GE287" s="8">
        <f t="shared" si="1881"/>
        <v>-0.59375000000000111</v>
      </c>
      <c r="GF287" s="8">
        <f t="shared" si="1881"/>
        <v>-0.60000000000000109</v>
      </c>
      <c r="GG287" s="8">
        <f t="shared" si="1881"/>
        <v>-0.60625000000000118</v>
      </c>
      <c r="GH287" s="8">
        <f t="shared" si="1881"/>
        <v>-0.61250000000000115</v>
      </c>
      <c r="GI287" s="8">
        <f t="shared" si="1881"/>
        <v>-0.61875000000000113</v>
      </c>
      <c r="GJ287" s="8">
        <f t="shared" si="1881"/>
        <v>-0.62500000000000122</v>
      </c>
      <c r="GK287" s="8">
        <f t="shared" si="1881"/>
        <v>-0.6312500000000012</v>
      </c>
      <c r="GL287" s="8">
        <f t="shared" si="1881"/>
        <v>-0.63750000000000129</v>
      </c>
      <c r="GM287" s="8">
        <f t="shared" si="1881"/>
        <v>-0.64375000000000127</v>
      </c>
      <c r="GN287" s="8">
        <f t="shared" si="1881"/>
        <v>-0.65000000000000124</v>
      </c>
      <c r="GO287" s="8">
        <f t="shared" si="1881"/>
        <v>-0.65625000000000133</v>
      </c>
      <c r="GP287" s="8">
        <f t="shared" si="1881"/>
        <v>-0.66250000000000131</v>
      </c>
      <c r="GQ287" s="8">
        <f t="shared" si="1881"/>
        <v>-0.66875000000000129</v>
      </c>
      <c r="GR287" s="8">
        <f t="shared" si="1881"/>
        <v>-0.67500000000000138</v>
      </c>
      <c r="GS287" s="8">
        <f t="shared" si="1881"/>
        <v>-0.68125000000000135</v>
      </c>
      <c r="GT287" s="8">
        <f t="shared" si="1881"/>
        <v>-0.68750000000000133</v>
      </c>
      <c r="GU287" s="8">
        <f t="shared" si="1881"/>
        <v>-0.69375000000000142</v>
      </c>
      <c r="GV287" s="8">
        <f t="shared" si="1881"/>
        <v>-0.7000000000000014</v>
      </c>
      <c r="GW287" s="8">
        <f t="shared" si="1881"/>
        <v>-0.70625000000000138</v>
      </c>
      <c r="GX287" s="8">
        <f t="shared" si="1881"/>
        <v>-0.71250000000000147</v>
      </c>
      <c r="GY287" s="8">
        <f t="shared" si="1881"/>
        <v>-0.71875000000000144</v>
      </c>
      <c r="GZ287" s="8">
        <f t="shared" si="1881"/>
        <v>-0.72500000000000142</v>
      </c>
      <c r="HA287" s="8">
        <f t="shared" si="1881"/>
        <v>-0.73125000000000151</v>
      </c>
      <c r="HB287" s="8">
        <f t="shared" si="1881"/>
        <v>-0.73750000000000149</v>
      </c>
      <c r="HC287" s="8">
        <f t="shared" si="1881"/>
        <v>-0.74375000000000147</v>
      </c>
      <c r="HD287" s="8">
        <f t="shared" si="1881"/>
        <v>-0.75000000000000155</v>
      </c>
      <c r="HE287" s="8">
        <f t="shared" si="1881"/>
        <v>-0.75625000000000153</v>
      </c>
      <c r="HF287" s="8">
        <f t="shared" si="1881"/>
        <v>-0.76250000000000151</v>
      </c>
      <c r="HG287" s="8">
        <f t="shared" si="1881"/>
        <v>-0.7687500000000016</v>
      </c>
      <c r="HH287" s="8">
        <f t="shared" si="1881"/>
        <v>-0.77500000000000158</v>
      </c>
      <c r="HI287" s="8">
        <f t="shared" si="1881"/>
        <v>-0.78125000000000155</v>
      </c>
      <c r="HJ287" s="8">
        <f t="shared" si="1881"/>
        <v>-0.78750000000000164</v>
      </c>
      <c r="HK287" s="8">
        <f t="shared" si="1881"/>
        <v>-0.79375000000000162</v>
      </c>
      <c r="HL287" s="8">
        <f t="shared" si="1881"/>
        <v>-0.8000000000000016</v>
      </c>
      <c r="HM287" s="8">
        <f t="shared" ref="HM287:IQ287" si="1882">-HL271</f>
        <v>-0.80625000000000169</v>
      </c>
      <c r="HN287" s="8">
        <f t="shared" si="1882"/>
        <v>-0.81250000000000167</v>
      </c>
      <c r="HO287" s="8">
        <f t="shared" si="1882"/>
        <v>-0.81875000000000175</v>
      </c>
      <c r="HP287" s="8">
        <f t="shared" si="1882"/>
        <v>-0.82500000000000173</v>
      </c>
      <c r="HQ287" s="8">
        <f t="shared" si="1882"/>
        <v>-0.83125000000000171</v>
      </c>
      <c r="HR287" s="8">
        <f t="shared" si="1882"/>
        <v>-0.8375000000000018</v>
      </c>
      <c r="HS287" s="8">
        <f t="shared" si="1882"/>
        <v>-0.84375000000000178</v>
      </c>
      <c r="HT287" s="8">
        <f t="shared" si="1882"/>
        <v>-0.85000000000000175</v>
      </c>
      <c r="HU287" s="8">
        <f t="shared" si="1882"/>
        <v>-0.85625000000000184</v>
      </c>
      <c r="HV287" s="8">
        <f t="shared" si="1882"/>
        <v>-0.86250000000000182</v>
      </c>
      <c r="HW287" s="8">
        <f t="shared" si="1882"/>
        <v>-0.8687500000000018</v>
      </c>
      <c r="HX287" s="8">
        <f t="shared" si="1882"/>
        <v>-0.87500000000000189</v>
      </c>
      <c r="HY287" s="8">
        <f t="shared" si="1882"/>
        <v>-0.88125000000000187</v>
      </c>
      <c r="HZ287" s="8">
        <f t="shared" si="1882"/>
        <v>-0.88750000000000184</v>
      </c>
      <c r="IA287" s="8">
        <f t="shared" si="1882"/>
        <v>-0.89375000000000193</v>
      </c>
      <c r="IB287" s="8">
        <f t="shared" si="1882"/>
        <v>-0.90000000000000191</v>
      </c>
      <c r="IC287" s="8">
        <f t="shared" si="1882"/>
        <v>-0.90625000000000189</v>
      </c>
      <c r="ID287" s="8">
        <f t="shared" si="1882"/>
        <v>-0.91250000000000198</v>
      </c>
      <c r="IE287" s="8">
        <f t="shared" si="1882"/>
        <v>-0.91875000000000195</v>
      </c>
      <c r="IF287" s="8">
        <f t="shared" si="1882"/>
        <v>-0.92500000000000193</v>
      </c>
      <c r="IG287" s="8">
        <f t="shared" si="1882"/>
        <v>-0.93125000000000202</v>
      </c>
      <c r="IH287" s="8">
        <f t="shared" si="1882"/>
        <v>-0.937500000000002</v>
      </c>
      <c r="II287" s="8">
        <f t="shared" si="1882"/>
        <v>-0.94375000000000198</v>
      </c>
      <c r="IJ287" s="8">
        <f t="shared" si="1882"/>
        <v>-0.95000000000000207</v>
      </c>
      <c r="IK287" s="8">
        <f t="shared" si="1882"/>
        <v>-0.95625000000000204</v>
      </c>
      <c r="IL287" s="8">
        <f t="shared" si="1882"/>
        <v>-0.96250000000000202</v>
      </c>
      <c r="IM287" s="8">
        <f t="shared" si="1882"/>
        <v>-0.96875000000000211</v>
      </c>
      <c r="IN287" s="8">
        <f t="shared" si="1882"/>
        <v>-0.97500000000000209</v>
      </c>
      <c r="IO287" s="8">
        <f t="shared" si="1882"/>
        <v>-0.98125000000000207</v>
      </c>
      <c r="IP287" s="8">
        <f t="shared" si="1882"/>
        <v>-0.98750000000000215</v>
      </c>
      <c r="IQ287" s="8">
        <f t="shared" si="1882"/>
        <v>-1</v>
      </c>
    </row>
    <row r="288" spans="70:251" x14ac:dyDescent="0.25">
      <c r="BR288" t="s">
        <v>347</v>
      </c>
    </row>
    <row r="289" spans="74:74" x14ac:dyDescent="0.25">
      <c r="BV289" t="s">
        <v>348</v>
      </c>
    </row>
    <row r="290" spans="74:74" x14ac:dyDescent="0.25">
      <c r="BV290" t="s">
        <v>349</v>
      </c>
    </row>
    <row r="346" spans="65:65" x14ac:dyDescent="0.25">
      <c r="BM346" t="s">
        <v>350</v>
      </c>
    </row>
    <row r="485" spans="1:1" x14ac:dyDescent="0.25">
      <c r="A485" t="s">
        <v>232</v>
      </c>
    </row>
    <row r="486" spans="1:1" x14ac:dyDescent="0.25">
      <c r="A486" t="s">
        <v>233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estimates new</vt:lpstr>
      <vt:lpstr>Sheet2</vt:lpstr>
      <vt:lpstr>Sheet1</vt:lpstr>
      <vt:lpstr>NEW MODELLING FOR SHEAR RATES</vt:lpstr>
      <vt:lpstr>Plots for injection pts</vt:lpstr>
      <vt:lpstr>shear rates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Spyros Ploussiou</dc:creator>
  <cp:lastModifiedBy>Spyros Ploussiou</cp:lastModifiedBy>
  <dcterms:created xsi:type="dcterms:W3CDTF">2021-01-26T11:40:17Z</dcterms:created>
  <dcterms:modified xsi:type="dcterms:W3CDTF">2021-04-09T14:40:29Z</dcterms:modified>
</cp:coreProperties>
</file>